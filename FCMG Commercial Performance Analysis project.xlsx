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lekhanhlinh/Desktop/Modeling 101/"/>
    </mc:Choice>
  </mc:AlternateContent>
  <xr:revisionPtr revIDLastSave="0" documentId="8_{B0DF81FC-9D41-8347-90A1-02C7E348BA69}" xr6:coauthVersionLast="47" xr6:coauthVersionMax="47" xr10:uidLastSave="{00000000-0000-0000-0000-000000000000}"/>
  <bookViews>
    <workbookView xWindow="0" yWindow="500" windowWidth="28800" windowHeight="16080" activeTab="2" xr2:uid="{FA709DD5-F6F6-6F42-9D34-2FB1D9FB0C6D}"/>
  </bookViews>
  <sheets>
    <sheet name="Cover" sheetId="10" r:id="rId1"/>
    <sheet name="Product_Master" sheetId="1" r:id="rId2"/>
    <sheet name="Raw Data" sheetId="2" r:id="rId3"/>
    <sheet name="Revenue Dashboard" sheetId="4" r:id="rId4"/>
    <sheet name="Category Analysis" sheetId="5" r:id="rId5"/>
    <sheet name="Product-level Analysis" sheetId="6" r:id="rId6"/>
    <sheet name="Country x Channel" sheetId="7" r:id="rId7"/>
    <sheet name="Promotion Performance" sheetId="8" r:id="rId8"/>
  </sheets>
  <externalReferences>
    <externalReference r:id="rId9"/>
  </externalReferences>
  <definedNames>
    <definedName name="NativeTimeline_Date">#N/A</definedName>
    <definedName name="Slicer_Category">#N/A</definedName>
    <definedName name="Slicer_Channel">#N/A</definedName>
    <definedName name="Slicer_Country">#N/A</definedName>
  </definedNames>
  <calcPr calcId="191029"/>
  <pivotCaches>
    <pivotCache cacheId="6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O1001" i="2"/>
  <c r="P1001" i="2" s="1"/>
  <c r="J1001" i="2"/>
  <c r="M1001" i="2" s="1"/>
  <c r="N1001" i="2" s="1"/>
  <c r="O1000" i="2"/>
  <c r="P1000" i="2" s="1"/>
  <c r="J1000" i="2"/>
  <c r="M1000" i="2" s="1"/>
  <c r="N1000" i="2" s="1"/>
  <c r="O999" i="2"/>
  <c r="P999" i="2" s="1"/>
  <c r="J999" i="2"/>
  <c r="M999" i="2" s="1"/>
  <c r="N999" i="2" s="1"/>
  <c r="O998" i="2"/>
  <c r="P998" i="2" s="1"/>
  <c r="J998" i="2"/>
  <c r="M998" i="2" s="1"/>
  <c r="N998" i="2" s="1"/>
  <c r="O997" i="2"/>
  <c r="P997" i="2" s="1"/>
  <c r="J997" i="2"/>
  <c r="O996" i="2"/>
  <c r="P996" i="2" s="1"/>
  <c r="J996" i="2"/>
  <c r="O995" i="2"/>
  <c r="P995" i="2" s="1"/>
  <c r="J995" i="2"/>
  <c r="O994" i="2"/>
  <c r="P994" i="2" s="1"/>
  <c r="J994" i="2"/>
  <c r="M994" i="2" s="1"/>
  <c r="N994" i="2" s="1"/>
  <c r="O993" i="2"/>
  <c r="P993" i="2" s="1"/>
  <c r="J993" i="2"/>
  <c r="M993" i="2" s="1"/>
  <c r="N993" i="2" s="1"/>
  <c r="O992" i="2"/>
  <c r="P992" i="2" s="1"/>
  <c r="J992" i="2"/>
  <c r="M992" i="2" s="1"/>
  <c r="N992" i="2" s="1"/>
  <c r="O991" i="2"/>
  <c r="P991" i="2" s="1"/>
  <c r="J991" i="2"/>
  <c r="O990" i="2"/>
  <c r="P990" i="2" s="1"/>
  <c r="J990" i="2"/>
  <c r="O989" i="2"/>
  <c r="P989" i="2" s="1"/>
  <c r="J989" i="2"/>
  <c r="O988" i="2"/>
  <c r="P988" i="2" s="1"/>
  <c r="J988" i="2"/>
  <c r="O987" i="2"/>
  <c r="P987" i="2" s="1"/>
  <c r="J987" i="2"/>
  <c r="O986" i="2"/>
  <c r="P986" i="2" s="1"/>
  <c r="J986" i="2"/>
  <c r="O985" i="2"/>
  <c r="P985" i="2" s="1"/>
  <c r="J985" i="2"/>
  <c r="O984" i="2"/>
  <c r="P984" i="2" s="1"/>
  <c r="J984" i="2"/>
  <c r="O983" i="2"/>
  <c r="P983" i="2" s="1"/>
  <c r="J983" i="2"/>
  <c r="O982" i="2"/>
  <c r="P982" i="2" s="1"/>
  <c r="J982" i="2"/>
  <c r="O981" i="2"/>
  <c r="P981" i="2" s="1"/>
  <c r="J981" i="2"/>
  <c r="M981" i="2" s="1"/>
  <c r="N981" i="2" s="1"/>
  <c r="O980" i="2"/>
  <c r="P980" i="2" s="1"/>
  <c r="J980" i="2"/>
  <c r="M980" i="2" s="1"/>
  <c r="N980" i="2" s="1"/>
  <c r="O979" i="2"/>
  <c r="P979" i="2" s="1"/>
  <c r="J979" i="2"/>
  <c r="M979" i="2" s="1"/>
  <c r="N979" i="2" s="1"/>
  <c r="O978" i="2"/>
  <c r="P978" i="2" s="1"/>
  <c r="J978" i="2"/>
  <c r="M978" i="2" s="1"/>
  <c r="N978" i="2" s="1"/>
  <c r="O977" i="2"/>
  <c r="P977" i="2" s="1"/>
  <c r="J977" i="2"/>
  <c r="M977" i="2" s="1"/>
  <c r="N977" i="2" s="1"/>
  <c r="O976" i="2"/>
  <c r="P976" i="2" s="1"/>
  <c r="J976" i="2"/>
  <c r="M976" i="2" s="1"/>
  <c r="N976" i="2" s="1"/>
  <c r="O975" i="2"/>
  <c r="P975" i="2" s="1"/>
  <c r="J975" i="2"/>
  <c r="M975" i="2" s="1"/>
  <c r="N975" i="2" s="1"/>
  <c r="O974" i="2"/>
  <c r="P974" i="2" s="1"/>
  <c r="J974" i="2"/>
  <c r="M974" i="2" s="1"/>
  <c r="N974" i="2" s="1"/>
  <c r="O973" i="2"/>
  <c r="P973" i="2" s="1"/>
  <c r="J973" i="2"/>
  <c r="O972" i="2"/>
  <c r="P972" i="2" s="1"/>
  <c r="J972" i="2"/>
  <c r="O971" i="2"/>
  <c r="P971" i="2" s="1"/>
  <c r="J971" i="2"/>
  <c r="O970" i="2"/>
  <c r="P970" i="2" s="1"/>
  <c r="J970" i="2"/>
  <c r="O969" i="2"/>
  <c r="P969" i="2" s="1"/>
  <c r="J969" i="2"/>
  <c r="M969" i="2" s="1"/>
  <c r="N969" i="2" s="1"/>
  <c r="O968" i="2"/>
  <c r="P968" i="2" s="1"/>
  <c r="J968" i="2"/>
  <c r="O967" i="2"/>
  <c r="P967" i="2" s="1"/>
  <c r="J967" i="2"/>
  <c r="O966" i="2"/>
  <c r="P966" i="2" s="1"/>
  <c r="J966" i="2"/>
  <c r="O965" i="2"/>
  <c r="P965" i="2" s="1"/>
  <c r="J965" i="2"/>
  <c r="O964" i="2"/>
  <c r="P964" i="2" s="1"/>
  <c r="J964" i="2"/>
  <c r="O963" i="2"/>
  <c r="P963" i="2" s="1"/>
  <c r="J963" i="2"/>
  <c r="O962" i="2"/>
  <c r="P962" i="2" s="1"/>
  <c r="J962" i="2"/>
  <c r="T962" i="2" s="1"/>
  <c r="O961" i="2"/>
  <c r="P961" i="2" s="1"/>
  <c r="J961" i="2"/>
  <c r="O960" i="2"/>
  <c r="P960" i="2" s="1"/>
  <c r="J960" i="2"/>
  <c r="O959" i="2"/>
  <c r="P959" i="2" s="1"/>
  <c r="J959" i="2"/>
  <c r="O958" i="2"/>
  <c r="P958" i="2" s="1"/>
  <c r="J958" i="2"/>
  <c r="O957" i="2"/>
  <c r="P957" i="2" s="1"/>
  <c r="J957" i="2"/>
  <c r="O956" i="2"/>
  <c r="P956" i="2" s="1"/>
  <c r="J956" i="2"/>
  <c r="T956" i="2" s="1"/>
  <c r="O955" i="2"/>
  <c r="P955" i="2" s="1"/>
  <c r="J955" i="2"/>
  <c r="O954" i="2"/>
  <c r="P954" i="2" s="1"/>
  <c r="J954" i="2"/>
  <c r="O953" i="2"/>
  <c r="P953" i="2" s="1"/>
  <c r="J953" i="2"/>
  <c r="O952" i="2"/>
  <c r="P952" i="2" s="1"/>
  <c r="J952" i="2"/>
  <c r="O951" i="2"/>
  <c r="P951" i="2" s="1"/>
  <c r="J951" i="2"/>
  <c r="O950" i="2"/>
  <c r="P950" i="2" s="1"/>
  <c r="J950" i="2"/>
  <c r="O949" i="2"/>
  <c r="P949" i="2" s="1"/>
  <c r="J949" i="2"/>
  <c r="O948" i="2"/>
  <c r="P948" i="2" s="1"/>
  <c r="J948" i="2"/>
  <c r="O947" i="2"/>
  <c r="P947" i="2" s="1"/>
  <c r="J947" i="2"/>
  <c r="O946" i="2"/>
  <c r="P946" i="2" s="1"/>
  <c r="J946" i="2"/>
  <c r="O945" i="2"/>
  <c r="P945" i="2" s="1"/>
  <c r="J945" i="2"/>
  <c r="O944" i="2"/>
  <c r="P944" i="2" s="1"/>
  <c r="J944" i="2"/>
  <c r="T944" i="2" s="1"/>
  <c r="O943" i="2"/>
  <c r="P943" i="2" s="1"/>
  <c r="J943" i="2"/>
  <c r="O942" i="2"/>
  <c r="P942" i="2" s="1"/>
  <c r="J942" i="2"/>
  <c r="O941" i="2"/>
  <c r="P941" i="2" s="1"/>
  <c r="J941" i="2"/>
  <c r="T941" i="2" s="1"/>
  <c r="O940" i="2"/>
  <c r="P940" i="2" s="1"/>
  <c r="J940" i="2"/>
  <c r="O939" i="2"/>
  <c r="P939" i="2" s="1"/>
  <c r="J939" i="2"/>
  <c r="O938" i="2"/>
  <c r="P938" i="2" s="1"/>
  <c r="J938" i="2"/>
  <c r="O937" i="2"/>
  <c r="P937" i="2" s="1"/>
  <c r="J937" i="2"/>
  <c r="O936" i="2"/>
  <c r="P936" i="2" s="1"/>
  <c r="J936" i="2"/>
  <c r="O935" i="2"/>
  <c r="P935" i="2" s="1"/>
  <c r="J935" i="2"/>
  <c r="O934" i="2"/>
  <c r="P934" i="2" s="1"/>
  <c r="J934" i="2"/>
  <c r="O933" i="2"/>
  <c r="P933" i="2" s="1"/>
  <c r="J933" i="2"/>
  <c r="O932" i="2"/>
  <c r="P932" i="2" s="1"/>
  <c r="J932" i="2"/>
  <c r="O931" i="2"/>
  <c r="P931" i="2" s="1"/>
  <c r="J931" i="2"/>
  <c r="O930" i="2"/>
  <c r="P930" i="2" s="1"/>
  <c r="J930" i="2"/>
  <c r="O929" i="2"/>
  <c r="P929" i="2" s="1"/>
  <c r="J929" i="2"/>
  <c r="O928" i="2"/>
  <c r="P928" i="2" s="1"/>
  <c r="J928" i="2"/>
  <c r="O927" i="2"/>
  <c r="P927" i="2" s="1"/>
  <c r="J927" i="2"/>
  <c r="O926" i="2"/>
  <c r="P926" i="2" s="1"/>
  <c r="J926" i="2"/>
  <c r="O925" i="2"/>
  <c r="P925" i="2" s="1"/>
  <c r="J925" i="2"/>
  <c r="O924" i="2"/>
  <c r="P924" i="2" s="1"/>
  <c r="J924" i="2"/>
  <c r="O923" i="2"/>
  <c r="P923" i="2" s="1"/>
  <c r="J923" i="2"/>
  <c r="O922" i="2"/>
  <c r="P922" i="2" s="1"/>
  <c r="J922" i="2"/>
  <c r="O921" i="2"/>
  <c r="P921" i="2" s="1"/>
  <c r="J921" i="2"/>
  <c r="O920" i="2"/>
  <c r="P920" i="2" s="1"/>
  <c r="J920" i="2"/>
  <c r="O919" i="2"/>
  <c r="P919" i="2" s="1"/>
  <c r="J919" i="2"/>
  <c r="T919" i="2" s="1"/>
  <c r="O918" i="2"/>
  <c r="P918" i="2" s="1"/>
  <c r="J918" i="2"/>
  <c r="O917" i="2"/>
  <c r="P917" i="2" s="1"/>
  <c r="J917" i="2"/>
  <c r="O916" i="2"/>
  <c r="P916" i="2" s="1"/>
  <c r="J916" i="2"/>
  <c r="O915" i="2"/>
  <c r="P915" i="2" s="1"/>
  <c r="J915" i="2"/>
  <c r="O914" i="2"/>
  <c r="P914" i="2" s="1"/>
  <c r="J914" i="2"/>
  <c r="O913" i="2"/>
  <c r="P913" i="2" s="1"/>
  <c r="J913" i="2"/>
  <c r="O912" i="2"/>
  <c r="P912" i="2" s="1"/>
  <c r="J912" i="2"/>
  <c r="O911" i="2"/>
  <c r="P911" i="2" s="1"/>
  <c r="J911" i="2"/>
  <c r="O910" i="2"/>
  <c r="P910" i="2" s="1"/>
  <c r="J910" i="2"/>
  <c r="O909" i="2"/>
  <c r="P909" i="2" s="1"/>
  <c r="J909" i="2"/>
  <c r="O908" i="2"/>
  <c r="P908" i="2" s="1"/>
  <c r="J908" i="2"/>
  <c r="O907" i="2"/>
  <c r="P907" i="2" s="1"/>
  <c r="J907" i="2"/>
  <c r="O906" i="2"/>
  <c r="P906" i="2" s="1"/>
  <c r="J906" i="2"/>
  <c r="O905" i="2"/>
  <c r="P905" i="2" s="1"/>
  <c r="J905" i="2"/>
  <c r="O904" i="2"/>
  <c r="P904" i="2" s="1"/>
  <c r="J904" i="2"/>
  <c r="O903" i="2"/>
  <c r="P903" i="2" s="1"/>
  <c r="J903" i="2"/>
  <c r="O902" i="2"/>
  <c r="P902" i="2" s="1"/>
  <c r="J902" i="2"/>
  <c r="O901" i="2"/>
  <c r="P901" i="2" s="1"/>
  <c r="J901" i="2"/>
  <c r="O900" i="2"/>
  <c r="P900" i="2" s="1"/>
  <c r="J900" i="2"/>
  <c r="T900" i="2" s="1"/>
  <c r="O899" i="2"/>
  <c r="P899" i="2" s="1"/>
  <c r="J899" i="2"/>
  <c r="O898" i="2"/>
  <c r="P898" i="2" s="1"/>
  <c r="J898" i="2"/>
  <c r="O897" i="2"/>
  <c r="P897" i="2" s="1"/>
  <c r="J897" i="2"/>
  <c r="O896" i="2"/>
  <c r="P896" i="2" s="1"/>
  <c r="J896" i="2"/>
  <c r="O895" i="2"/>
  <c r="P895" i="2" s="1"/>
  <c r="J895" i="2"/>
  <c r="O894" i="2"/>
  <c r="P894" i="2" s="1"/>
  <c r="J894" i="2"/>
  <c r="O893" i="2"/>
  <c r="P893" i="2" s="1"/>
  <c r="J893" i="2"/>
  <c r="O892" i="2"/>
  <c r="P892" i="2" s="1"/>
  <c r="J892" i="2"/>
  <c r="O891" i="2"/>
  <c r="P891" i="2" s="1"/>
  <c r="J891" i="2"/>
  <c r="O890" i="2"/>
  <c r="P890" i="2" s="1"/>
  <c r="J890" i="2"/>
  <c r="O889" i="2"/>
  <c r="P889" i="2" s="1"/>
  <c r="J889" i="2"/>
  <c r="O888" i="2"/>
  <c r="P888" i="2" s="1"/>
  <c r="J888" i="2"/>
  <c r="O887" i="2"/>
  <c r="P887" i="2" s="1"/>
  <c r="J887" i="2"/>
  <c r="O886" i="2"/>
  <c r="P886" i="2" s="1"/>
  <c r="J886" i="2"/>
  <c r="O885" i="2"/>
  <c r="P885" i="2" s="1"/>
  <c r="J885" i="2"/>
  <c r="O884" i="2"/>
  <c r="P884" i="2" s="1"/>
  <c r="J884" i="2"/>
  <c r="O883" i="2"/>
  <c r="P883" i="2" s="1"/>
  <c r="J883" i="2"/>
  <c r="O882" i="2"/>
  <c r="P882" i="2" s="1"/>
  <c r="J882" i="2"/>
  <c r="O881" i="2"/>
  <c r="P881" i="2" s="1"/>
  <c r="J881" i="2"/>
  <c r="O880" i="2"/>
  <c r="P880" i="2" s="1"/>
  <c r="J880" i="2"/>
  <c r="O879" i="2"/>
  <c r="P879" i="2" s="1"/>
  <c r="J879" i="2"/>
  <c r="O878" i="2"/>
  <c r="P878" i="2" s="1"/>
  <c r="J878" i="2"/>
  <c r="O877" i="2"/>
  <c r="P877" i="2" s="1"/>
  <c r="J877" i="2"/>
  <c r="O876" i="2"/>
  <c r="P876" i="2" s="1"/>
  <c r="J876" i="2"/>
  <c r="O875" i="2"/>
  <c r="P875" i="2" s="1"/>
  <c r="J875" i="2"/>
  <c r="O874" i="2"/>
  <c r="P874" i="2" s="1"/>
  <c r="J874" i="2"/>
  <c r="O873" i="2"/>
  <c r="P873" i="2" s="1"/>
  <c r="J873" i="2"/>
  <c r="O872" i="2"/>
  <c r="P872" i="2" s="1"/>
  <c r="J872" i="2"/>
  <c r="O871" i="2"/>
  <c r="P871" i="2" s="1"/>
  <c r="J871" i="2"/>
  <c r="O870" i="2"/>
  <c r="P870" i="2" s="1"/>
  <c r="J870" i="2"/>
  <c r="O869" i="2"/>
  <c r="P869" i="2" s="1"/>
  <c r="J869" i="2"/>
  <c r="O868" i="2"/>
  <c r="P868" i="2" s="1"/>
  <c r="J868" i="2"/>
  <c r="T868" i="2" s="1"/>
  <c r="O867" i="2"/>
  <c r="P867" i="2" s="1"/>
  <c r="J867" i="2"/>
  <c r="O866" i="2"/>
  <c r="P866" i="2" s="1"/>
  <c r="J866" i="2"/>
  <c r="O865" i="2"/>
  <c r="P865" i="2" s="1"/>
  <c r="J865" i="2"/>
  <c r="O864" i="2"/>
  <c r="P864" i="2" s="1"/>
  <c r="J864" i="2"/>
  <c r="O863" i="2"/>
  <c r="P863" i="2" s="1"/>
  <c r="J863" i="2"/>
  <c r="O862" i="2"/>
  <c r="P862" i="2" s="1"/>
  <c r="J862" i="2"/>
  <c r="O861" i="2"/>
  <c r="P861" i="2" s="1"/>
  <c r="J861" i="2"/>
  <c r="O860" i="2"/>
  <c r="P860" i="2" s="1"/>
  <c r="J860" i="2"/>
  <c r="O859" i="2"/>
  <c r="P859" i="2" s="1"/>
  <c r="J859" i="2"/>
  <c r="O858" i="2"/>
  <c r="P858" i="2" s="1"/>
  <c r="J858" i="2"/>
  <c r="O857" i="2"/>
  <c r="P857" i="2" s="1"/>
  <c r="J857" i="2"/>
  <c r="O856" i="2"/>
  <c r="P856" i="2" s="1"/>
  <c r="J856" i="2"/>
  <c r="O855" i="2"/>
  <c r="P855" i="2" s="1"/>
  <c r="J855" i="2"/>
  <c r="O854" i="2"/>
  <c r="P854" i="2" s="1"/>
  <c r="J854" i="2"/>
  <c r="O853" i="2"/>
  <c r="P853" i="2" s="1"/>
  <c r="J853" i="2"/>
  <c r="T853" i="2" s="1"/>
  <c r="O852" i="2"/>
  <c r="P852" i="2" s="1"/>
  <c r="J852" i="2"/>
  <c r="O851" i="2"/>
  <c r="P851" i="2" s="1"/>
  <c r="J851" i="2"/>
  <c r="O850" i="2"/>
  <c r="P850" i="2" s="1"/>
  <c r="J850" i="2"/>
  <c r="O849" i="2"/>
  <c r="P849" i="2" s="1"/>
  <c r="J849" i="2"/>
  <c r="O848" i="2"/>
  <c r="P848" i="2" s="1"/>
  <c r="J848" i="2"/>
  <c r="O847" i="2"/>
  <c r="P847" i="2" s="1"/>
  <c r="J847" i="2"/>
  <c r="T847" i="2" s="1"/>
  <c r="O846" i="2"/>
  <c r="P846" i="2" s="1"/>
  <c r="J846" i="2"/>
  <c r="O845" i="2"/>
  <c r="P845" i="2" s="1"/>
  <c r="J845" i="2"/>
  <c r="O844" i="2"/>
  <c r="P844" i="2" s="1"/>
  <c r="J844" i="2"/>
  <c r="O843" i="2"/>
  <c r="P843" i="2" s="1"/>
  <c r="J843" i="2"/>
  <c r="O842" i="2"/>
  <c r="P842" i="2" s="1"/>
  <c r="J842" i="2"/>
  <c r="O841" i="2"/>
  <c r="P841" i="2" s="1"/>
  <c r="J841" i="2"/>
  <c r="O840" i="2"/>
  <c r="P840" i="2" s="1"/>
  <c r="J840" i="2"/>
  <c r="O839" i="2"/>
  <c r="P839" i="2" s="1"/>
  <c r="J839" i="2"/>
  <c r="O838" i="2"/>
  <c r="P838" i="2" s="1"/>
  <c r="J838" i="2"/>
  <c r="O837" i="2"/>
  <c r="P837" i="2" s="1"/>
  <c r="J837" i="2"/>
  <c r="O836" i="2"/>
  <c r="P836" i="2" s="1"/>
  <c r="J836" i="2"/>
  <c r="O835" i="2"/>
  <c r="P835" i="2" s="1"/>
  <c r="J835" i="2"/>
  <c r="T835" i="2" s="1"/>
  <c r="O834" i="2"/>
  <c r="P834" i="2" s="1"/>
  <c r="J834" i="2"/>
  <c r="O833" i="2"/>
  <c r="P833" i="2" s="1"/>
  <c r="J833" i="2"/>
  <c r="O832" i="2"/>
  <c r="P832" i="2" s="1"/>
  <c r="J832" i="2"/>
  <c r="O831" i="2"/>
  <c r="P831" i="2" s="1"/>
  <c r="J831" i="2"/>
  <c r="O830" i="2"/>
  <c r="P830" i="2" s="1"/>
  <c r="J830" i="2"/>
  <c r="O829" i="2"/>
  <c r="P829" i="2" s="1"/>
  <c r="J829" i="2"/>
  <c r="O828" i="2"/>
  <c r="P828" i="2" s="1"/>
  <c r="J828" i="2"/>
  <c r="O827" i="2"/>
  <c r="P827" i="2" s="1"/>
  <c r="J827" i="2"/>
  <c r="O826" i="2"/>
  <c r="P826" i="2" s="1"/>
  <c r="J826" i="2"/>
  <c r="O825" i="2"/>
  <c r="P825" i="2" s="1"/>
  <c r="J825" i="2"/>
  <c r="O824" i="2"/>
  <c r="P824" i="2" s="1"/>
  <c r="J824" i="2"/>
  <c r="O823" i="2"/>
  <c r="P823" i="2" s="1"/>
  <c r="J823" i="2"/>
  <c r="O822" i="2"/>
  <c r="P822" i="2" s="1"/>
  <c r="J822" i="2"/>
  <c r="O821" i="2"/>
  <c r="P821" i="2" s="1"/>
  <c r="J821" i="2"/>
  <c r="O820" i="2"/>
  <c r="P820" i="2" s="1"/>
  <c r="J820" i="2"/>
  <c r="O819" i="2"/>
  <c r="P819" i="2" s="1"/>
  <c r="J819" i="2"/>
  <c r="O818" i="2"/>
  <c r="P818" i="2" s="1"/>
  <c r="J818" i="2"/>
  <c r="O817" i="2"/>
  <c r="P817" i="2" s="1"/>
  <c r="J817" i="2"/>
  <c r="O816" i="2"/>
  <c r="P816" i="2" s="1"/>
  <c r="J816" i="2"/>
  <c r="O815" i="2"/>
  <c r="P815" i="2" s="1"/>
  <c r="J815" i="2"/>
  <c r="O814" i="2"/>
  <c r="P814" i="2" s="1"/>
  <c r="J814" i="2"/>
  <c r="O813" i="2"/>
  <c r="P813" i="2" s="1"/>
  <c r="J813" i="2"/>
  <c r="O812" i="2"/>
  <c r="P812" i="2" s="1"/>
  <c r="J812" i="2"/>
  <c r="O811" i="2"/>
  <c r="P811" i="2" s="1"/>
  <c r="J811" i="2"/>
  <c r="O810" i="2"/>
  <c r="P810" i="2" s="1"/>
  <c r="J810" i="2"/>
  <c r="O809" i="2"/>
  <c r="P809" i="2" s="1"/>
  <c r="J809" i="2"/>
  <c r="O808" i="2"/>
  <c r="P808" i="2" s="1"/>
  <c r="J808" i="2"/>
  <c r="O807" i="2"/>
  <c r="P807" i="2" s="1"/>
  <c r="J807" i="2"/>
  <c r="O806" i="2"/>
  <c r="P806" i="2" s="1"/>
  <c r="J806" i="2"/>
  <c r="O805" i="2"/>
  <c r="P805" i="2" s="1"/>
  <c r="J805" i="2"/>
  <c r="O804" i="2"/>
  <c r="P804" i="2" s="1"/>
  <c r="J804" i="2"/>
  <c r="O803" i="2"/>
  <c r="P803" i="2" s="1"/>
  <c r="J803" i="2"/>
  <c r="O802" i="2"/>
  <c r="P802" i="2" s="1"/>
  <c r="J802" i="2"/>
  <c r="O801" i="2"/>
  <c r="P801" i="2" s="1"/>
  <c r="J801" i="2"/>
  <c r="O800" i="2"/>
  <c r="P800" i="2" s="1"/>
  <c r="J800" i="2"/>
  <c r="O799" i="2"/>
  <c r="P799" i="2" s="1"/>
  <c r="J799" i="2"/>
  <c r="O798" i="2"/>
  <c r="P798" i="2" s="1"/>
  <c r="J798" i="2"/>
  <c r="O797" i="2"/>
  <c r="P797" i="2" s="1"/>
  <c r="J797" i="2"/>
  <c r="O796" i="2"/>
  <c r="P796" i="2" s="1"/>
  <c r="J796" i="2"/>
  <c r="O795" i="2"/>
  <c r="P795" i="2" s="1"/>
  <c r="J795" i="2"/>
  <c r="O794" i="2"/>
  <c r="P794" i="2" s="1"/>
  <c r="J794" i="2"/>
  <c r="O793" i="2"/>
  <c r="P793" i="2" s="1"/>
  <c r="J793" i="2"/>
  <c r="O792" i="2"/>
  <c r="P792" i="2" s="1"/>
  <c r="J792" i="2"/>
  <c r="T792" i="2" s="1"/>
  <c r="O791" i="2"/>
  <c r="P791" i="2" s="1"/>
  <c r="J791" i="2"/>
  <c r="T791" i="2" s="1"/>
  <c r="O790" i="2"/>
  <c r="P790" i="2" s="1"/>
  <c r="J790" i="2"/>
  <c r="O789" i="2"/>
  <c r="P789" i="2" s="1"/>
  <c r="J789" i="2"/>
  <c r="T789" i="2" s="1"/>
  <c r="O788" i="2"/>
  <c r="P788" i="2" s="1"/>
  <c r="J788" i="2"/>
  <c r="O787" i="2"/>
  <c r="P787" i="2" s="1"/>
  <c r="J787" i="2"/>
  <c r="O786" i="2"/>
  <c r="P786" i="2" s="1"/>
  <c r="J786" i="2"/>
  <c r="O785" i="2"/>
  <c r="P785" i="2" s="1"/>
  <c r="J785" i="2"/>
  <c r="O784" i="2"/>
  <c r="P784" i="2" s="1"/>
  <c r="J784" i="2"/>
  <c r="O783" i="2"/>
  <c r="P783" i="2" s="1"/>
  <c r="J783" i="2"/>
  <c r="O782" i="2"/>
  <c r="P782" i="2" s="1"/>
  <c r="J782" i="2"/>
  <c r="O781" i="2"/>
  <c r="P781" i="2" s="1"/>
  <c r="J781" i="2"/>
  <c r="T781" i="2" s="1"/>
  <c r="O780" i="2"/>
  <c r="P780" i="2" s="1"/>
  <c r="J780" i="2"/>
  <c r="O779" i="2"/>
  <c r="P779" i="2" s="1"/>
  <c r="J779" i="2"/>
  <c r="O778" i="2"/>
  <c r="P778" i="2" s="1"/>
  <c r="J778" i="2"/>
  <c r="O777" i="2"/>
  <c r="P777" i="2" s="1"/>
  <c r="J777" i="2"/>
  <c r="O776" i="2"/>
  <c r="P776" i="2" s="1"/>
  <c r="J776" i="2"/>
  <c r="O775" i="2"/>
  <c r="P775" i="2" s="1"/>
  <c r="J775" i="2"/>
  <c r="O774" i="2"/>
  <c r="P774" i="2" s="1"/>
  <c r="J774" i="2"/>
  <c r="O773" i="2"/>
  <c r="P773" i="2" s="1"/>
  <c r="J773" i="2"/>
  <c r="O772" i="2"/>
  <c r="P772" i="2" s="1"/>
  <c r="J772" i="2"/>
  <c r="O771" i="2"/>
  <c r="P771" i="2" s="1"/>
  <c r="J771" i="2"/>
  <c r="O770" i="2"/>
  <c r="P770" i="2" s="1"/>
  <c r="J770" i="2"/>
  <c r="O769" i="2"/>
  <c r="P769" i="2" s="1"/>
  <c r="J769" i="2"/>
  <c r="O768" i="2"/>
  <c r="P768" i="2" s="1"/>
  <c r="J768" i="2"/>
  <c r="O767" i="2"/>
  <c r="P767" i="2" s="1"/>
  <c r="J767" i="2"/>
  <c r="T767" i="2" s="1"/>
  <c r="O766" i="2"/>
  <c r="P766" i="2" s="1"/>
  <c r="J766" i="2"/>
  <c r="O765" i="2"/>
  <c r="P765" i="2" s="1"/>
  <c r="J765" i="2"/>
  <c r="O764" i="2"/>
  <c r="P764" i="2" s="1"/>
  <c r="J764" i="2"/>
  <c r="T764" i="2" s="1"/>
  <c r="O763" i="2"/>
  <c r="P763" i="2" s="1"/>
  <c r="J763" i="2"/>
  <c r="O762" i="2"/>
  <c r="P762" i="2" s="1"/>
  <c r="J762" i="2"/>
  <c r="O761" i="2"/>
  <c r="P761" i="2" s="1"/>
  <c r="J761" i="2"/>
  <c r="O760" i="2"/>
  <c r="P760" i="2" s="1"/>
  <c r="J760" i="2"/>
  <c r="O759" i="2"/>
  <c r="P759" i="2" s="1"/>
  <c r="J759" i="2"/>
  <c r="O758" i="2"/>
  <c r="P758" i="2" s="1"/>
  <c r="J758" i="2"/>
  <c r="T758" i="2" s="1"/>
  <c r="O757" i="2"/>
  <c r="P757" i="2" s="1"/>
  <c r="J757" i="2"/>
  <c r="O756" i="2"/>
  <c r="P756" i="2" s="1"/>
  <c r="J756" i="2"/>
  <c r="O755" i="2"/>
  <c r="P755" i="2" s="1"/>
  <c r="J755" i="2"/>
  <c r="O754" i="2"/>
  <c r="P754" i="2" s="1"/>
  <c r="J754" i="2"/>
  <c r="T754" i="2" s="1"/>
  <c r="O753" i="2"/>
  <c r="P753" i="2" s="1"/>
  <c r="J753" i="2"/>
  <c r="T753" i="2" s="1"/>
  <c r="O752" i="2"/>
  <c r="P752" i="2" s="1"/>
  <c r="J752" i="2"/>
  <c r="O751" i="2"/>
  <c r="P751" i="2" s="1"/>
  <c r="J751" i="2"/>
  <c r="O750" i="2"/>
  <c r="P750" i="2" s="1"/>
  <c r="J750" i="2"/>
  <c r="O749" i="2"/>
  <c r="P749" i="2" s="1"/>
  <c r="J749" i="2"/>
  <c r="O748" i="2"/>
  <c r="P748" i="2" s="1"/>
  <c r="J748" i="2"/>
  <c r="O747" i="2"/>
  <c r="P747" i="2" s="1"/>
  <c r="J747" i="2"/>
  <c r="O746" i="2"/>
  <c r="P746" i="2" s="1"/>
  <c r="J746" i="2"/>
  <c r="T746" i="2" s="1"/>
  <c r="O745" i="2"/>
  <c r="P745" i="2" s="1"/>
  <c r="J745" i="2"/>
  <c r="O744" i="2"/>
  <c r="P744" i="2" s="1"/>
  <c r="J744" i="2"/>
  <c r="O743" i="2"/>
  <c r="P743" i="2" s="1"/>
  <c r="J743" i="2"/>
  <c r="O742" i="2"/>
  <c r="P742" i="2" s="1"/>
  <c r="J742" i="2"/>
  <c r="O741" i="2"/>
  <c r="P741" i="2" s="1"/>
  <c r="J741" i="2"/>
  <c r="O740" i="2"/>
  <c r="P740" i="2" s="1"/>
  <c r="J740" i="2"/>
  <c r="O739" i="2"/>
  <c r="P739" i="2" s="1"/>
  <c r="J739" i="2"/>
  <c r="O738" i="2"/>
  <c r="P738" i="2" s="1"/>
  <c r="J738" i="2"/>
  <c r="O737" i="2"/>
  <c r="P737" i="2" s="1"/>
  <c r="J737" i="2"/>
  <c r="O736" i="2"/>
  <c r="P736" i="2" s="1"/>
  <c r="J736" i="2"/>
  <c r="O735" i="2"/>
  <c r="P735" i="2" s="1"/>
  <c r="J735" i="2"/>
  <c r="O734" i="2"/>
  <c r="P734" i="2" s="1"/>
  <c r="J734" i="2"/>
  <c r="O733" i="2"/>
  <c r="P733" i="2" s="1"/>
  <c r="J733" i="2"/>
  <c r="O732" i="2"/>
  <c r="P732" i="2" s="1"/>
  <c r="J732" i="2"/>
  <c r="O731" i="2"/>
  <c r="P731" i="2" s="1"/>
  <c r="J731" i="2"/>
  <c r="T731" i="2" s="1"/>
  <c r="O730" i="2"/>
  <c r="P730" i="2" s="1"/>
  <c r="J730" i="2"/>
  <c r="O729" i="2"/>
  <c r="P729" i="2" s="1"/>
  <c r="J729" i="2"/>
  <c r="O728" i="2"/>
  <c r="P728" i="2" s="1"/>
  <c r="J728" i="2"/>
  <c r="O727" i="2"/>
  <c r="P727" i="2" s="1"/>
  <c r="J727" i="2"/>
  <c r="O726" i="2"/>
  <c r="P726" i="2" s="1"/>
  <c r="J726" i="2"/>
  <c r="O725" i="2"/>
  <c r="P725" i="2" s="1"/>
  <c r="J725" i="2"/>
  <c r="O724" i="2"/>
  <c r="P724" i="2" s="1"/>
  <c r="J724" i="2"/>
  <c r="T724" i="2" s="1"/>
  <c r="O723" i="2"/>
  <c r="P723" i="2" s="1"/>
  <c r="J723" i="2"/>
  <c r="O722" i="2"/>
  <c r="P722" i="2" s="1"/>
  <c r="J722" i="2"/>
  <c r="O721" i="2"/>
  <c r="P721" i="2" s="1"/>
  <c r="J721" i="2"/>
  <c r="O720" i="2"/>
  <c r="P720" i="2" s="1"/>
  <c r="J720" i="2"/>
  <c r="O719" i="2"/>
  <c r="P719" i="2" s="1"/>
  <c r="J719" i="2"/>
  <c r="O718" i="2"/>
  <c r="P718" i="2" s="1"/>
  <c r="J718" i="2"/>
  <c r="O717" i="2"/>
  <c r="P717" i="2" s="1"/>
  <c r="J717" i="2"/>
  <c r="O716" i="2"/>
  <c r="P716" i="2" s="1"/>
  <c r="J716" i="2"/>
  <c r="O715" i="2"/>
  <c r="P715" i="2" s="1"/>
  <c r="J715" i="2"/>
  <c r="O714" i="2"/>
  <c r="P714" i="2" s="1"/>
  <c r="J714" i="2"/>
  <c r="O713" i="2"/>
  <c r="P713" i="2" s="1"/>
  <c r="J713" i="2"/>
  <c r="O712" i="2"/>
  <c r="P712" i="2" s="1"/>
  <c r="J712" i="2"/>
  <c r="O711" i="2"/>
  <c r="P711" i="2" s="1"/>
  <c r="J711" i="2"/>
  <c r="O710" i="2"/>
  <c r="P710" i="2" s="1"/>
  <c r="J710" i="2"/>
  <c r="O709" i="2"/>
  <c r="P709" i="2" s="1"/>
  <c r="J709" i="2"/>
  <c r="O708" i="2"/>
  <c r="P708" i="2" s="1"/>
  <c r="J708" i="2"/>
  <c r="T708" i="2" s="1"/>
  <c r="O707" i="2"/>
  <c r="P707" i="2" s="1"/>
  <c r="J707" i="2"/>
  <c r="T707" i="2" s="1"/>
  <c r="O706" i="2"/>
  <c r="P706" i="2" s="1"/>
  <c r="J706" i="2"/>
  <c r="O705" i="2"/>
  <c r="P705" i="2" s="1"/>
  <c r="J705" i="2"/>
  <c r="O704" i="2"/>
  <c r="P704" i="2" s="1"/>
  <c r="J704" i="2"/>
  <c r="O703" i="2"/>
  <c r="P703" i="2" s="1"/>
  <c r="J703" i="2"/>
  <c r="O702" i="2"/>
  <c r="P702" i="2" s="1"/>
  <c r="J702" i="2"/>
  <c r="O701" i="2"/>
  <c r="P701" i="2" s="1"/>
  <c r="J701" i="2"/>
  <c r="O700" i="2"/>
  <c r="P700" i="2" s="1"/>
  <c r="J700" i="2"/>
  <c r="T700" i="2" s="1"/>
  <c r="O699" i="2"/>
  <c r="P699" i="2" s="1"/>
  <c r="J699" i="2"/>
  <c r="O698" i="2"/>
  <c r="P698" i="2" s="1"/>
  <c r="J698" i="2"/>
  <c r="O697" i="2"/>
  <c r="P697" i="2" s="1"/>
  <c r="J697" i="2"/>
  <c r="O696" i="2"/>
  <c r="P696" i="2" s="1"/>
  <c r="J696" i="2"/>
  <c r="O695" i="2"/>
  <c r="P695" i="2" s="1"/>
  <c r="J695" i="2"/>
  <c r="O694" i="2"/>
  <c r="P694" i="2" s="1"/>
  <c r="J694" i="2"/>
  <c r="O693" i="2"/>
  <c r="P693" i="2" s="1"/>
  <c r="J693" i="2"/>
  <c r="O692" i="2"/>
  <c r="P692" i="2" s="1"/>
  <c r="J692" i="2"/>
  <c r="O691" i="2"/>
  <c r="P691" i="2" s="1"/>
  <c r="J691" i="2"/>
  <c r="O690" i="2"/>
  <c r="P690" i="2" s="1"/>
  <c r="J690" i="2"/>
  <c r="O689" i="2"/>
  <c r="P689" i="2" s="1"/>
  <c r="J689" i="2"/>
  <c r="O688" i="2"/>
  <c r="P688" i="2" s="1"/>
  <c r="J688" i="2"/>
  <c r="O687" i="2"/>
  <c r="P687" i="2" s="1"/>
  <c r="J687" i="2"/>
  <c r="O686" i="2"/>
  <c r="P686" i="2" s="1"/>
  <c r="J686" i="2"/>
  <c r="O685" i="2"/>
  <c r="P685" i="2" s="1"/>
  <c r="J685" i="2"/>
  <c r="O684" i="2"/>
  <c r="P684" i="2" s="1"/>
  <c r="J684" i="2"/>
  <c r="O683" i="2"/>
  <c r="P683" i="2" s="1"/>
  <c r="J683" i="2"/>
  <c r="O682" i="2"/>
  <c r="P682" i="2" s="1"/>
  <c r="J682" i="2"/>
  <c r="O681" i="2"/>
  <c r="P681" i="2" s="1"/>
  <c r="J681" i="2"/>
  <c r="O680" i="2"/>
  <c r="P680" i="2" s="1"/>
  <c r="J680" i="2"/>
  <c r="O679" i="2"/>
  <c r="P679" i="2" s="1"/>
  <c r="J679" i="2"/>
  <c r="O678" i="2"/>
  <c r="P678" i="2" s="1"/>
  <c r="J678" i="2"/>
  <c r="O677" i="2"/>
  <c r="P677" i="2" s="1"/>
  <c r="J677" i="2"/>
  <c r="O676" i="2"/>
  <c r="P676" i="2" s="1"/>
  <c r="J676" i="2"/>
  <c r="O675" i="2"/>
  <c r="P675" i="2" s="1"/>
  <c r="J675" i="2"/>
  <c r="T675" i="2" s="1"/>
  <c r="O674" i="2"/>
  <c r="P674" i="2" s="1"/>
  <c r="J674" i="2"/>
  <c r="O673" i="2"/>
  <c r="P673" i="2" s="1"/>
  <c r="J673" i="2"/>
  <c r="O672" i="2"/>
  <c r="P672" i="2" s="1"/>
  <c r="J672" i="2"/>
  <c r="O671" i="2"/>
  <c r="P671" i="2" s="1"/>
  <c r="J671" i="2"/>
  <c r="O670" i="2"/>
  <c r="P670" i="2" s="1"/>
  <c r="J670" i="2"/>
  <c r="O669" i="2"/>
  <c r="P669" i="2" s="1"/>
  <c r="J669" i="2"/>
  <c r="O668" i="2"/>
  <c r="P668" i="2" s="1"/>
  <c r="J668" i="2"/>
  <c r="O667" i="2"/>
  <c r="P667" i="2" s="1"/>
  <c r="J667" i="2"/>
  <c r="O666" i="2"/>
  <c r="P666" i="2" s="1"/>
  <c r="J666" i="2"/>
  <c r="O665" i="2"/>
  <c r="P665" i="2" s="1"/>
  <c r="J665" i="2"/>
  <c r="O664" i="2"/>
  <c r="P664" i="2" s="1"/>
  <c r="J664" i="2"/>
  <c r="O663" i="2"/>
  <c r="P663" i="2" s="1"/>
  <c r="J663" i="2"/>
  <c r="O662" i="2"/>
  <c r="P662" i="2" s="1"/>
  <c r="J662" i="2"/>
  <c r="O661" i="2"/>
  <c r="P661" i="2" s="1"/>
  <c r="J661" i="2"/>
  <c r="O660" i="2"/>
  <c r="P660" i="2" s="1"/>
  <c r="J660" i="2"/>
  <c r="O659" i="2"/>
  <c r="P659" i="2" s="1"/>
  <c r="J659" i="2"/>
  <c r="T659" i="2" s="1"/>
  <c r="O658" i="2"/>
  <c r="P658" i="2" s="1"/>
  <c r="J658" i="2"/>
  <c r="O657" i="2"/>
  <c r="P657" i="2" s="1"/>
  <c r="J657" i="2"/>
  <c r="T657" i="2" s="1"/>
  <c r="O656" i="2"/>
  <c r="P656" i="2" s="1"/>
  <c r="J656" i="2"/>
  <c r="O655" i="2"/>
  <c r="P655" i="2" s="1"/>
  <c r="J655" i="2"/>
  <c r="O654" i="2"/>
  <c r="P654" i="2" s="1"/>
  <c r="J654" i="2"/>
  <c r="O653" i="2"/>
  <c r="P653" i="2" s="1"/>
  <c r="J653" i="2"/>
  <c r="O652" i="2"/>
  <c r="P652" i="2" s="1"/>
  <c r="J652" i="2"/>
  <c r="O651" i="2"/>
  <c r="P651" i="2" s="1"/>
  <c r="J651" i="2"/>
  <c r="O650" i="2"/>
  <c r="P650" i="2" s="1"/>
  <c r="J650" i="2"/>
  <c r="O649" i="2"/>
  <c r="P649" i="2" s="1"/>
  <c r="J649" i="2"/>
  <c r="O648" i="2"/>
  <c r="P648" i="2" s="1"/>
  <c r="J648" i="2"/>
  <c r="O647" i="2"/>
  <c r="P647" i="2" s="1"/>
  <c r="J647" i="2"/>
  <c r="O646" i="2"/>
  <c r="P646" i="2" s="1"/>
  <c r="J646" i="2"/>
  <c r="O645" i="2"/>
  <c r="P645" i="2" s="1"/>
  <c r="J645" i="2"/>
  <c r="O644" i="2"/>
  <c r="P644" i="2" s="1"/>
  <c r="J644" i="2"/>
  <c r="O643" i="2"/>
  <c r="P643" i="2" s="1"/>
  <c r="J643" i="2"/>
  <c r="O642" i="2"/>
  <c r="P642" i="2" s="1"/>
  <c r="J642" i="2"/>
  <c r="O641" i="2"/>
  <c r="P641" i="2" s="1"/>
  <c r="J641" i="2"/>
  <c r="O640" i="2"/>
  <c r="P640" i="2" s="1"/>
  <c r="J640" i="2"/>
  <c r="O639" i="2"/>
  <c r="P639" i="2" s="1"/>
  <c r="J639" i="2"/>
  <c r="O638" i="2"/>
  <c r="P638" i="2" s="1"/>
  <c r="J638" i="2"/>
  <c r="O637" i="2"/>
  <c r="P637" i="2" s="1"/>
  <c r="J637" i="2"/>
  <c r="O636" i="2"/>
  <c r="P636" i="2" s="1"/>
  <c r="J636" i="2"/>
  <c r="O635" i="2"/>
  <c r="P635" i="2" s="1"/>
  <c r="J635" i="2"/>
  <c r="O634" i="2"/>
  <c r="P634" i="2" s="1"/>
  <c r="J634" i="2"/>
  <c r="T634" i="2" s="1"/>
  <c r="O633" i="2"/>
  <c r="P633" i="2" s="1"/>
  <c r="J633" i="2"/>
  <c r="O632" i="2"/>
  <c r="P632" i="2" s="1"/>
  <c r="J632" i="2"/>
  <c r="O631" i="2"/>
  <c r="P631" i="2" s="1"/>
  <c r="J631" i="2"/>
  <c r="O630" i="2"/>
  <c r="P630" i="2" s="1"/>
  <c r="J630" i="2"/>
  <c r="O629" i="2"/>
  <c r="P629" i="2" s="1"/>
  <c r="J629" i="2"/>
  <c r="O628" i="2"/>
  <c r="P628" i="2" s="1"/>
  <c r="J628" i="2"/>
  <c r="O627" i="2"/>
  <c r="P627" i="2" s="1"/>
  <c r="J627" i="2"/>
  <c r="O626" i="2"/>
  <c r="P626" i="2" s="1"/>
  <c r="J626" i="2"/>
  <c r="T626" i="2" s="1"/>
  <c r="O625" i="2"/>
  <c r="P625" i="2" s="1"/>
  <c r="J625" i="2"/>
  <c r="O624" i="2"/>
  <c r="P624" i="2" s="1"/>
  <c r="J624" i="2"/>
  <c r="O623" i="2"/>
  <c r="P623" i="2" s="1"/>
  <c r="J623" i="2"/>
  <c r="O622" i="2"/>
  <c r="P622" i="2" s="1"/>
  <c r="J622" i="2"/>
  <c r="O621" i="2"/>
  <c r="P621" i="2" s="1"/>
  <c r="J621" i="2"/>
  <c r="O620" i="2"/>
  <c r="P620" i="2" s="1"/>
  <c r="J620" i="2"/>
  <c r="O619" i="2"/>
  <c r="P619" i="2" s="1"/>
  <c r="J619" i="2"/>
  <c r="O618" i="2"/>
  <c r="P618" i="2" s="1"/>
  <c r="J618" i="2"/>
  <c r="T618" i="2" s="1"/>
  <c r="O617" i="2"/>
  <c r="P617" i="2" s="1"/>
  <c r="J617" i="2"/>
  <c r="O616" i="2"/>
  <c r="P616" i="2" s="1"/>
  <c r="J616" i="2"/>
  <c r="O615" i="2"/>
  <c r="P615" i="2" s="1"/>
  <c r="J615" i="2"/>
  <c r="O614" i="2"/>
  <c r="P614" i="2" s="1"/>
  <c r="J614" i="2"/>
  <c r="O613" i="2"/>
  <c r="P613" i="2" s="1"/>
  <c r="J613" i="2"/>
  <c r="O612" i="2"/>
  <c r="P612" i="2" s="1"/>
  <c r="J612" i="2"/>
  <c r="O611" i="2"/>
  <c r="P611" i="2" s="1"/>
  <c r="J611" i="2"/>
  <c r="O610" i="2"/>
  <c r="P610" i="2" s="1"/>
  <c r="J610" i="2"/>
  <c r="T610" i="2" s="1"/>
  <c r="O609" i="2"/>
  <c r="P609" i="2" s="1"/>
  <c r="J609" i="2"/>
  <c r="O608" i="2"/>
  <c r="P608" i="2" s="1"/>
  <c r="J608" i="2"/>
  <c r="O607" i="2"/>
  <c r="P607" i="2" s="1"/>
  <c r="J607" i="2"/>
  <c r="O606" i="2"/>
  <c r="P606" i="2" s="1"/>
  <c r="J606" i="2"/>
  <c r="O605" i="2"/>
  <c r="P605" i="2" s="1"/>
  <c r="J605" i="2"/>
  <c r="O604" i="2"/>
  <c r="P604" i="2" s="1"/>
  <c r="J604" i="2"/>
  <c r="O603" i="2"/>
  <c r="P603" i="2" s="1"/>
  <c r="J603" i="2"/>
  <c r="T603" i="2" s="1"/>
  <c r="O602" i="2"/>
  <c r="P602" i="2" s="1"/>
  <c r="J602" i="2"/>
  <c r="O601" i="2"/>
  <c r="P601" i="2" s="1"/>
  <c r="J601" i="2"/>
  <c r="O600" i="2"/>
  <c r="P600" i="2" s="1"/>
  <c r="J600" i="2"/>
  <c r="O599" i="2"/>
  <c r="P599" i="2" s="1"/>
  <c r="J599" i="2"/>
  <c r="O598" i="2"/>
  <c r="P598" i="2" s="1"/>
  <c r="J598" i="2"/>
  <c r="O597" i="2"/>
  <c r="P597" i="2" s="1"/>
  <c r="J597" i="2"/>
  <c r="O596" i="2"/>
  <c r="P596" i="2" s="1"/>
  <c r="J596" i="2"/>
  <c r="O595" i="2"/>
  <c r="P595" i="2" s="1"/>
  <c r="J595" i="2"/>
  <c r="O594" i="2"/>
  <c r="P594" i="2" s="1"/>
  <c r="J594" i="2"/>
  <c r="O593" i="2"/>
  <c r="P593" i="2" s="1"/>
  <c r="J593" i="2"/>
  <c r="T593" i="2" s="1"/>
  <c r="O592" i="2"/>
  <c r="P592" i="2" s="1"/>
  <c r="J592" i="2"/>
  <c r="O591" i="2"/>
  <c r="P591" i="2" s="1"/>
  <c r="J591" i="2"/>
  <c r="O590" i="2"/>
  <c r="P590" i="2" s="1"/>
  <c r="J590" i="2"/>
  <c r="O589" i="2"/>
  <c r="P589" i="2" s="1"/>
  <c r="J589" i="2"/>
  <c r="O588" i="2"/>
  <c r="P588" i="2" s="1"/>
  <c r="J588" i="2"/>
  <c r="O587" i="2"/>
  <c r="P587" i="2" s="1"/>
  <c r="J587" i="2"/>
  <c r="O586" i="2"/>
  <c r="P586" i="2" s="1"/>
  <c r="J586" i="2"/>
  <c r="O585" i="2"/>
  <c r="P585" i="2" s="1"/>
  <c r="J585" i="2"/>
  <c r="O584" i="2"/>
  <c r="P584" i="2" s="1"/>
  <c r="J584" i="2"/>
  <c r="O583" i="2"/>
  <c r="P583" i="2" s="1"/>
  <c r="J583" i="2"/>
  <c r="O582" i="2"/>
  <c r="P582" i="2" s="1"/>
  <c r="J582" i="2"/>
  <c r="O581" i="2"/>
  <c r="P581" i="2" s="1"/>
  <c r="J581" i="2"/>
  <c r="O580" i="2"/>
  <c r="P580" i="2" s="1"/>
  <c r="J580" i="2"/>
  <c r="O579" i="2"/>
  <c r="P579" i="2" s="1"/>
  <c r="J579" i="2"/>
  <c r="O578" i="2"/>
  <c r="P578" i="2" s="1"/>
  <c r="J578" i="2"/>
  <c r="O577" i="2"/>
  <c r="P577" i="2" s="1"/>
  <c r="J577" i="2"/>
  <c r="O576" i="2"/>
  <c r="P576" i="2" s="1"/>
  <c r="J576" i="2"/>
  <c r="O575" i="2"/>
  <c r="P575" i="2" s="1"/>
  <c r="J575" i="2"/>
  <c r="O574" i="2"/>
  <c r="P574" i="2" s="1"/>
  <c r="J574" i="2"/>
  <c r="O573" i="2"/>
  <c r="P573" i="2" s="1"/>
  <c r="J573" i="2"/>
  <c r="O572" i="2"/>
  <c r="P572" i="2" s="1"/>
  <c r="J572" i="2"/>
  <c r="O571" i="2"/>
  <c r="P571" i="2" s="1"/>
  <c r="J571" i="2"/>
  <c r="O570" i="2"/>
  <c r="P570" i="2" s="1"/>
  <c r="J570" i="2"/>
  <c r="O569" i="2"/>
  <c r="P569" i="2" s="1"/>
  <c r="J569" i="2"/>
  <c r="O568" i="2"/>
  <c r="P568" i="2" s="1"/>
  <c r="J568" i="2"/>
  <c r="O567" i="2"/>
  <c r="P567" i="2" s="1"/>
  <c r="J567" i="2"/>
  <c r="O566" i="2"/>
  <c r="P566" i="2" s="1"/>
  <c r="J566" i="2"/>
  <c r="O565" i="2"/>
  <c r="P565" i="2" s="1"/>
  <c r="J565" i="2"/>
  <c r="O564" i="2"/>
  <c r="P564" i="2" s="1"/>
  <c r="J564" i="2"/>
  <c r="O563" i="2"/>
  <c r="P563" i="2" s="1"/>
  <c r="J563" i="2"/>
  <c r="T563" i="2" s="1"/>
  <c r="O562" i="2"/>
  <c r="P562" i="2" s="1"/>
  <c r="J562" i="2"/>
  <c r="O561" i="2"/>
  <c r="P561" i="2" s="1"/>
  <c r="J561" i="2"/>
  <c r="O560" i="2"/>
  <c r="P560" i="2" s="1"/>
  <c r="J560" i="2"/>
  <c r="O559" i="2"/>
  <c r="P559" i="2" s="1"/>
  <c r="J559" i="2"/>
  <c r="O558" i="2"/>
  <c r="P558" i="2" s="1"/>
  <c r="J558" i="2"/>
  <c r="O557" i="2"/>
  <c r="P557" i="2" s="1"/>
  <c r="J557" i="2"/>
  <c r="O556" i="2"/>
  <c r="P556" i="2" s="1"/>
  <c r="J556" i="2"/>
  <c r="O555" i="2"/>
  <c r="P555" i="2" s="1"/>
  <c r="J555" i="2"/>
  <c r="O554" i="2"/>
  <c r="P554" i="2" s="1"/>
  <c r="J554" i="2"/>
  <c r="O553" i="2"/>
  <c r="P553" i="2" s="1"/>
  <c r="J553" i="2"/>
  <c r="O552" i="2"/>
  <c r="P552" i="2" s="1"/>
  <c r="J552" i="2"/>
  <c r="O551" i="2"/>
  <c r="P551" i="2" s="1"/>
  <c r="J551" i="2"/>
  <c r="O550" i="2"/>
  <c r="P550" i="2" s="1"/>
  <c r="J550" i="2"/>
  <c r="O549" i="2"/>
  <c r="P549" i="2" s="1"/>
  <c r="J549" i="2"/>
  <c r="O548" i="2"/>
  <c r="P548" i="2" s="1"/>
  <c r="J548" i="2"/>
  <c r="O547" i="2"/>
  <c r="P547" i="2" s="1"/>
  <c r="J547" i="2"/>
  <c r="O546" i="2"/>
  <c r="P546" i="2" s="1"/>
  <c r="J546" i="2"/>
  <c r="O545" i="2"/>
  <c r="P545" i="2" s="1"/>
  <c r="J545" i="2"/>
  <c r="O544" i="2"/>
  <c r="P544" i="2" s="1"/>
  <c r="J544" i="2"/>
  <c r="O543" i="2"/>
  <c r="P543" i="2" s="1"/>
  <c r="J543" i="2"/>
  <c r="O542" i="2"/>
  <c r="P542" i="2" s="1"/>
  <c r="J542" i="2"/>
  <c r="O541" i="2"/>
  <c r="P541" i="2" s="1"/>
  <c r="J541" i="2"/>
  <c r="O540" i="2"/>
  <c r="P540" i="2" s="1"/>
  <c r="J540" i="2"/>
  <c r="O539" i="2"/>
  <c r="P539" i="2" s="1"/>
  <c r="J539" i="2"/>
  <c r="O538" i="2"/>
  <c r="P538" i="2" s="1"/>
  <c r="J538" i="2"/>
  <c r="O537" i="2"/>
  <c r="P537" i="2" s="1"/>
  <c r="J537" i="2"/>
  <c r="O536" i="2"/>
  <c r="P536" i="2" s="1"/>
  <c r="J536" i="2"/>
  <c r="O535" i="2"/>
  <c r="P535" i="2" s="1"/>
  <c r="J535" i="2"/>
  <c r="O534" i="2"/>
  <c r="P534" i="2" s="1"/>
  <c r="J534" i="2"/>
  <c r="O533" i="2"/>
  <c r="P533" i="2" s="1"/>
  <c r="J533" i="2"/>
  <c r="O532" i="2"/>
  <c r="P532" i="2" s="1"/>
  <c r="J532" i="2"/>
  <c r="O531" i="2"/>
  <c r="P531" i="2" s="1"/>
  <c r="J531" i="2"/>
  <c r="O530" i="2"/>
  <c r="P530" i="2" s="1"/>
  <c r="J530" i="2"/>
  <c r="O529" i="2"/>
  <c r="P529" i="2" s="1"/>
  <c r="J529" i="2"/>
  <c r="O528" i="2"/>
  <c r="P528" i="2" s="1"/>
  <c r="J528" i="2"/>
  <c r="O527" i="2"/>
  <c r="P527" i="2" s="1"/>
  <c r="J527" i="2"/>
  <c r="O526" i="2"/>
  <c r="P526" i="2" s="1"/>
  <c r="J526" i="2"/>
  <c r="O525" i="2"/>
  <c r="P525" i="2" s="1"/>
  <c r="J525" i="2"/>
  <c r="O524" i="2"/>
  <c r="P524" i="2" s="1"/>
  <c r="J524" i="2"/>
  <c r="O523" i="2"/>
  <c r="P523" i="2" s="1"/>
  <c r="J523" i="2"/>
  <c r="O522" i="2"/>
  <c r="P522" i="2" s="1"/>
  <c r="J522" i="2"/>
  <c r="O521" i="2"/>
  <c r="P521" i="2" s="1"/>
  <c r="J521" i="2"/>
  <c r="O520" i="2"/>
  <c r="P520" i="2" s="1"/>
  <c r="J520" i="2"/>
  <c r="O519" i="2"/>
  <c r="P519" i="2" s="1"/>
  <c r="J519" i="2"/>
  <c r="O518" i="2"/>
  <c r="P518" i="2" s="1"/>
  <c r="J518" i="2"/>
  <c r="O517" i="2"/>
  <c r="P517" i="2" s="1"/>
  <c r="J517" i="2"/>
  <c r="O516" i="2"/>
  <c r="P516" i="2" s="1"/>
  <c r="J516" i="2"/>
  <c r="O515" i="2"/>
  <c r="P515" i="2" s="1"/>
  <c r="J515" i="2"/>
  <c r="T515" i="2" s="1"/>
  <c r="O514" i="2"/>
  <c r="P514" i="2" s="1"/>
  <c r="J514" i="2"/>
  <c r="T514" i="2" s="1"/>
  <c r="O513" i="2"/>
  <c r="P513" i="2" s="1"/>
  <c r="J513" i="2"/>
  <c r="O512" i="2"/>
  <c r="P512" i="2" s="1"/>
  <c r="J512" i="2"/>
  <c r="O511" i="2"/>
  <c r="P511" i="2" s="1"/>
  <c r="J511" i="2"/>
  <c r="O510" i="2"/>
  <c r="P510" i="2" s="1"/>
  <c r="J510" i="2"/>
  <c r="O509" i="2"/>
  <c r="P509" i="2" s="1"/>
  <c r="J509" i="2"/>
  <c r="O508" i="2"/>
  <c r="P508" i="2" s="1"/>
  <c r="J508" i="2"/>
  <c r="O507" i="2"/>
  <c r="P507" i="2" s="1"/>
  <c r="J507" i="2"/>
  <c r="T507" i="2" s="1"/>
  <c r="O506" i="2"/>
  <c r="P506" i="2" s="1"/>
  <c r="J506" i="2"/>
  <c r="O505" i="2"/>
  <c r="P505" i="2" s="1"/>
  <c r="J505" i="2"/>
  <c r="O504" i="2"/>
  <c r="P504" i="2" s="1"/>
  <c r="J504" i="2"/>
  <c r="O503" i="2"/>
  <c r="P503" i="2" s="1"/>
  <c r="J503" i="2"/>
  <c r="O502" i="2"/>
  <c r="P502" i="2" s="1"/>
  <c r="J502" i="2"/>
  <c r="T502" i="2" s="1"/>
  <c r="O501" i="2"/>
  <c r="P501" i="2" s="1"/>
  <c r="J501" i="2"/>
  <c r="O500" i="2"/>
  <c r="P500" i="2" s="1"/>
  <c r="J500" i="2"/>
  <c r="O499" i="2"/>
  <c r="P499" i="2" s="1"/>
  <c r="J499" i="2"/>
  <c r="O498" i="2"/>
  <c r="P498" i="2" s="1"/>
  <c r="J498" i="2"/>
  <c r="O497" i="2"/>
  <c r="P497" i="2" s="1"/>
  <c r="J497" i="2"/>
  <c r="O496" i="2"/>
  <c r="P496" i="2" s="1"/>
  <c r="J496" i="2"/>
  <c r="O495" i="2"/>
  <c r="P495" i="2" s="1"/>
  <c r="J495" i="2"/>
  <c r="O494" i="2"/>
  <c r="P494" i="2" s="1"/>
  <c r="J494" i="2"/>
  <c r="O493" i="2"/>
  <c r="P493" i="2" s="1"/>
  <c r="J493" i="2"/>
  <c r="O492" i="2"/>
  <c r="P492" i="2" s="1"/>
  <c r="J492" i="2"/>
  <c r="O491" i="2"/>
  <c r="P491" i="2" s="1"/>
  <c r="J491" i="2"/>
  <c r="T491" i="2" s="1"/>
  <c r="O490" i="2"/>
  <c r="P490" i="2" s="1"/>
  <c r="J490" i="2"/>
  <c r="O489" i="2"/>
  <c r="P489" i="2" s="1"/>
  <c r="J489" i="2"/>
  <c r="O488" i="2"/>
  <c r="P488" i="2" s="1"/>
  <c r="J488" i="2"/>
  <c r="O487" i="2"/>
  <c r="P487" i="2" s="1"/>
  <c r="J487" i="2"/>
  <c r="O486" i="2"/>
  <c r="P486" i="2" s="1"/>
  <c r="J486" i="2"/>
  <c r="O485" i="2"/>
  <c r="P485" i="2" s="1"/>
  <c r="J485" i="2"/>
  <c r="O484" i="2"/>
  <c r="P484" i="2" s="1"/>
  <c r="J484" i="2"/>
  <c r="O483" i="2"/>
  <c r="P483" i="2" s="1"/>
  <c r="J483" i="2"/>
  <c r="O482" i="2"/>
  <c r="P482" i="2" s="1"/>
  <c r="J482" i="2"/>
  <c r="O481" i="2"/>
  <c r="P481" i="2" s="1"/>
  <c r="J481" i="2"/>
  <c r="T481" i="2" s="1"/>
  <c r="O480" i="2"/>
  <c r="P480" i="2" s="1"/>
  <c r="J480" i="2"/>
  <c r="O479" i="2"/>
  <c r="P479" i="2" s="1"/>
  <c r="J479" i="2"/>
  <c r="O478" i="2"/>
  <c r="P478" i="2" s="1"/>
  <c r="J478" i="2"/>
  <c r="O477" i="2"/>
  <c r="P477" i="2" s="1"/>
  <c r="J477" i="2"/>
  <c r="O476" i="2"/>
  <c r="P476" i="2" s="1"/>
  <c r="J476" i="2"/>
  <c r="O475" i="2"/>
  <c r="P475" i="2" s="1"/>
  <c r="J475" i="2"/>
  <c r="T475" i="2" s="1"/>
  <c r="O474" i="2"/>
  <c r="P474" i="2" s="1"/>
  <c r="J474" i="2"/>
  <c r="O473" i="2"/>
  <c r="P473" i="2" s="1"/>
  <c r="J473" i="2"/>
  <c r="O472" i="2"/>
  <c r="P472" i="2" s="1"/>
  <c r="J472" i="2"/>
  <c r="O471" i="2"/>
  <c r="P471" i="2" s="1"/>
  <c r="J471" i="2"/>
  <c r="O470" i="2"/>
  <c r="P470" i="2" s="1"/>
  <c r="J470" i="2"/>
  <c r="O469" i="2"/>
  <c r="P469" i="2" s="1"/>
  <c r="J469" i="2"/>
  <c r="O468" i="2"/>
  <c r="P468" i="2" s="1"/>
  <c r="J468" i="2"/>
  <c r="O467" i="2"/>
  <c r="P467" i="2" s="1"/>
  <c r="J467" i="2"/>
  <c r="O466" i="2"/>
  <c r="P466" i="2" s="1"/>
  <c r="J466" i="2"/>
  <c r="O465" i="2"/>
  <c r="P465" i="2" s="1"/>
  <c r="J465" i="2"/>
  <c r="O464" i="2"/>
  <c r="P464" i="2" s="1"/>
  <c r="J464" i="2"/>
  <c r="O463" i="2"/>
  <c r="P463" i="2" s="1"/>
  <c r="J463" i="2"/>
  <c r="O462" i="2"/>
  <c r="P462" i="2" s="1"/>
  <c r="J462" i="2"/>
  <c r="O461" i="2"/>
  <c r="P461" i="2" s="1"/>
  <c r="J461" i="2"/>
  <c r="O460" i="2"/>
  <c r="P460" i="2" s="1"/>
  <c r="J460" i="2"/>
  <c r="O459" i="2"/>
  <c r="P459" i="2" s="1"/>
  <c r="J459" i="2"/>
  <c r="O458" i="2"/>
  <c r="P458" i="2" s="1"/>
  <c r="J458" i="2"/>
  <c r="O457" i="2"/>
  <c r="P457" i="2" s="1"/>
  <c r="J457" i="2"/>
  <c r="O456" i="2"/>
  <c r="P456" i="2" s="1"/>
  <c r="J456" i="2"/>
  <c r="O455" i="2"/>
  <c r="P455" i="2" s="1"/>
  <c r="J455" i="2"/>
  <c r="O454" i="2"/>
  <c r="P454" i="2" s="1"/>
  <c r="J454" i="2"/>
  <c r="O453" i="2"/>
  <c r="P453" i="2" s="1"/>
  <c r="J453" i="2"/>
  <c r="O452" i="2"/>
  <c r="P452" i="2" s="1"/>
  <c r="J452" i="2"/>
  <c r="O451" i="2"/>
  <c r="P451" i="2" s="1"/>
  <c r="J451" i="2"/>
  <c r="T451" i="2" s="1"/>
  <c r="O450" i="2"/>
  <c r="P450" i="2" s="1"/>
  <c r="J450" i="2"/>
  <c r="O449" i="2"/>
  <c r="P449" i="2" s="1"/>
  <c r="J449" i="2"/>
  <c r="T449" i="2" s="1"/>
  <c r="O448" i="2"/>
  <c r="P448" i="2" s="1"/>
  <c r="J448" i="2"/>
  <c r="O447" i="2"/>
  <c r="P447" i="2" s="1"/>
  <c r="J447" i="2"/>
  <c r="O446" i="2"/>
  <c r="P446" i="2" s="1"/>
  <c r="J446" i="2"/>
  <c r="O445" i="2"/>
  <c r="P445" i="2" s="1"/>
  <c r="J445" i="2"/>
  <c r="O444" i="2"/>
  <c r="P444" i="2" s="1"/>
  <c r="J444" i="2"/>
  <c r="O443" i="2"/>
  <c r="P443" i="2" s="1"/>
  <c r="J443" i="2"/>
  <c r="O442" i="2"/>
  <c r="P442" i="2" s="1"/>
  <c r="J442" i="2"/>
  <c r="O441" i="2"/>
  <c r="P441" i="2" s="1"/>
  <c r="J441" i="2"/>
  <c r="O440" i="2"/>
  <c r="P440" i="2" s="1"/>
  <c r="J440" i="2"/>
  <c r="O439" i="2"/>
  <c r="P439" i="2" s="1"/>
  <c r="J439" i="2"/>
  <c r="T439" i="2" s="1"/>
  <c r="O438" i="2"/>
  <c r="P438" i="2" s="1"/>
  <c r="J438" i="2"/>
  <c r="O437" i="2"/>
  <c r="P437" i="2" s="1"/>
  <c r="J437" i="2"/>
  <c r="O436" i="2"/>
  <c r="P436" i="2" s="1"/>
  <c r="J436" i="2"/>
  <c r="O435" i="2"/>
  <c r="P435" i="2" s="1"/>
  <c r="J435" i="2"/>
  <c r="O434" i="2"/>
  <c r="P434" i="2" s="1"/>
  <c r="J434" i="2"/>
  <c r="O433" i="2"/>
  <c r="P433" i="2" s="1"/>
  <c r="J433" i="2"/>
  <c r="O432" i="2"/>
  <c r="P432" i="2" s="1"/>
  <c r="J432" i="2"/>
  <c r="O431" i="2"/>
  <c r="P431" i="2" s="1"/>
  <c r="J431" i="2"/>
  <c r="O430" i="2"/>
  <c r="P430" i="2" s="1"/>
  <c r="J430" i="2"/>
  <c r="O429" i="2"/>
  <c r="P429" i="2" s="1"/>
  <c r="J429" i="2"/>
  <c r="O428" i="2"/>
  <c r="P428" i="2" s="1"/>
  <c r="J428" i="2"/>
  <c r="O427" i="2"/>
  <c r="P427" i="2" s="1"/>
  <c r="J427" i="2"/>
  <c r="O426" i="2"/>
  <c r="P426" i="2" s="1"/>
  <c r="J426" i="2"/>
  <c r="O425" i="2"/>
  <c r="P425" i="2" s="1"/>
  <c r="J425" i="2"/>
  <c r="O424" i="2"/>
  <c r="P424" i="2" s="1"/>
  <c r="J424" i="2"/>
  <c r="O423" i="2"/>
  <c r="P423" i="2" s="1"/>
  <c r="J423" i="2"/>
  <c r="O422" i="2"/>
  <c r="P422" i="2" s="1"/>
  <c r="J422" i="2"/>
  <c r="O421" i="2"/>
  <c r="P421" i="2" s="1"/>
  <c r="J421" i="2"/>
  <c r="O420" i="2"/>
  <c r="P420" i="2" s="1"/>
  <c r="J420" i="2"/>
  <c r="O419" i="2"/>
  <c r="P419" i="2" s="1"/>
  <c r="J419" i="2"/>
  <c r="O418" i="2"/>
  <c r="P418" i="2" s="1"/>
  <c r="J418" i="2"/>
  <c r="O417" i="2"/>
  <c r="P417" i="2" s="1"/>
  <c r="J417" i="2"/>
  <c r="O416" i="2"/>
  <c r="P416" i="2" s="1"/>
  <c r="J416" i="2"/>
  <c r="O415" i="2"/>
  <c r="P415" i="2" s="1"/>
  <c r="J415" i="2"/>
  <c r="O414" i="2"/>
  <c r="P414" i="2" s="1"/>
  <c r="J414" i="2"/>
  <c r="O413" i="2"/>
  <c r="P413" i="2" s="1"/>
  <c r="J413" i="2"/>
  <c r="O412" i="2"/>
  <c r="P412" i="2" s="1"/>
  <c r="J412" i="2"/>
  <c r="O411" i="2"/>
  <c r="P411" i="2" s="1"/>
  <c r="J411" i="2"/>
  <c r="O410" i="2"/>
  <c r="P410" i="2" s="1"/>
  <c r="J410" i="2"/>
  <c r="O409" i="2"/>
  <c r="P409" i="2" s="1"/>
  <c r="J409" i="2"/>
  <c r="O408" i="2"/>
  <c r="P408" i="2" s="1"/>
  <c r="J408" i="2"/>
  <c r="O407" i="2"/>
  <c r="P407" i="2" s="1"/>
  <c r="J407" i="2"/>
  <c r="T407" i="2" s="1"/>
  <c r="O406" i="2"/>
  <c r="P406" i="2" s="1"/>
  <c r="J406" i="2"/>
  <c r="T406" i="2" s="1"/>
  <c r="O405" i="2"/>
  <c r="P405" i="2" s="1"/>
  <c r="J405" i="2"/>
  <c r="O404" i="2"/>
  <c r="P404" i="2" s="1"/>
  <c r="J404" i="2"/>
  <c r="O403" i="2"/>
  <c r="P403" i="2" s="1"/>
  <c r="J403" i="2"/>
  <c r="O402" i="2"/>
  <c r="P402" i="2" s="1"/>
  <c r="J402" i="2"/>
  <c r="O401" i="2"/>
  <c r="P401" i="2" s="1"/>
  <c r="J401" i="2"/>
  <c r="T401" i="2" s="1"/>
  <c r="O400" i="2"/>
  <c r="P400" i="2" s="1"/>
  <c r="J400" i="2"/>
  <c r="O399" i="2"/>
  <c r="P399" i="2" s="1"/>
  <c r="J399" i="2"/>
  <c r="O398" i="2"/>
  <c r="P398" i="2" s="1"/>
  <c r="J398" i="2"/>
  <c r="O397" i="2"/>
  <c r="P397" i="2" s="1"/>
  <c r="J397" i="2"/>
  <c r="O396" i="2"/>
  <c r="P396" i="2" s="1"/>
  <c r="J396" i="2"/>
  <c r="O395" i="2"/>
  <c r="P395" i="2" s="1"/>
  <c r="J395" i="2"/>
  <c r="T395" i="2" s="1"/>
  <c r="O394" i="2"/>
  <c r="P394" i="2" s="1"/>
  <c r="J394" i="2"/>
  <c r="O393" i="2"/>
  <c r="P393" i="2" s="1"/>
  <c r="J393" i="2"/>
  <c r="O392" i="2"/>
  <c r="P392" i="2" s="1"/>
  <c r="J392" i="2"/>
  <c r="O391" i="2"/>
  <c r="P391" i="2" s="1"/>
  <c r="J391" i="2"/>
  <c r="O390" i="2"/>
  <c r="P390" i="2" s="1"/>
  <c r="J390" i="2"/>
  <c r="O389" i="2"/>
  <c r="P389" i="2" s="1"/>
  <c r="J389" i="2"/>
  <c r="O388" i="2"/>
  <c r="P388" i="2" s="1"/>
  <c r="J388" i="2"/>
  <c r="O387" i="2"/>
  <c r="P387" i="2" s="1"/>
  <c r="J387" i="2"/>
  <c r="O386" i="2"/>
  <c r="P386" i="2" s="1"/>
  <c r="J386" i="2"/>
  <c r="O385" i="2"/>
  <c r="P385" i="2" s="1"/>
  <c r="J385" i="2"/>
  <c r="O384" i="2"/>
  <c r="P384" i="2" s="1"/>
  <c r="J384" i="2"/>
  <c r="O383" i="2"/>
  <c r="P383" i="2" s="1"/>
  <c r="J383" i="2"/>
  <c r="O382" i="2"/>
  <c r="P382" i="2" s="1"/>
  <c r="J382" i="2"/>
  <c r="O381" i="2"/>
  <c r="P381" i="2" s="1"/>
  <c r="J381" i="2"/>
  <c r="O380" i="2"/>
  <c r="P380" i="2" s="1"/>
  <c r="J380" i="2"/>
  <c r="O379" i="2"/>
  <c r="P379" i="2" s="1"/>
  <c r="J379" i="2"/>
  <c r="T379" i="2" s="1"/>
  <c r="O378" i="2"/>
  <c r="P378" i="2" s="1"/>
  <c r="J378" i="2"/>
  <c r="O377" i="2"/>
  <c r="P377" i="2" s="1"/>
  <c r="J377" i="2"/>
  <c r="O376" i="2"/>
  <c r="P376" i="2" s="1"/>
  <c r="J376" i="2"/>
  <c r="O375" i="2"/>
  <c r="P375" i="2" s="1"/>
  <c r="J375" i="2"/>
  <c r="O374" i="2"/>
  <c r="P374" i="2" s="1"/>
  <c r="J374" i="2"/>
  <c r="O373" i="2"/>
  <c r="P373" i="2" s="1"/>
  <c r="J373" i="2"/>
  <c r="O372" i="2"/>
  <c r="P372" i="2" s="1"/>
  <c r="J372" i="2"/>
  <c r="O371" i="2"/>
  <c r="P371" i="2" s="1"/>
  <c r="J371" i="2"/>
  <c r="O370" i="2"/>
  <c r="P370" i="2" s="1"/>
  <c r="J370" i="2"/>
  <c r="O369" i="2"/>
  <c r="P369" i="2" s="1"/>
  <c r="J369" i="2"/>
  <c r="O368" i="2"/>
  <c r="P368" i="2" s="1"/>
  <c r="J368" i="2"/>
  <c r="O367" i="2"/>
  <c r="P367" i="2" s="1"/>
  <c r="J367" i="2"/>
  <c r="O366" i="2"/>
  <c r="P366" i="2" s="1"/>
  <c r="J366" i="2"/>
  <c r="O365" i="2"/>
  <c r="P365" i="2" s="1"/>
  <c r="J365" i="2"/>
  <c r="O364" i="2"/>
  <c r="P364" i="2" s="1"/>
  <c r="J364" i="2"/>
  <c r="O363" i="2"/>
  <c r="P363" i="2" s="1"/>
  <c r="J363" i="2"/>
  <c r="O362" i="2"/>
  <c r="P362" i="2" s="1"/>
  <c r="J362" i="2"/>
  <c r="O361" i="2"/>
  <c r="P361" i="2" s="1"/>
  <c r="J361" i="2"/>
  <c r="O360" i="2"/>
  <c r="P360" i="2" s="1"/>
  <c r="J360" i="2"/>
  <c r="O359" i="2"/>
  <c r="P359" i="2" s="1"/>
  <c r="J359" i="2"/>
  <c r="O358" i="2"/>
  <c r="P358" i="2" s="1"/>
  <c r="J358" i="2"/>
  <c r="O357" i="2"/>
  <c r="P357" i="2" s="1"/>
  <c r="J357" i="2"/>
  <c r="O356" i="2"/>
  <c r="P356" i="2" s="1"/>
  <c r="J356" i="2"/>
  <c r="O355" i="2"/>
  <c r="P355" i="2" s="1"/>
  <c r="J355" i="2"/>
  <c r="O354" i="2"/>
  <c r="P354" i="2" s="1"/>
  <c r="J354" i="2"/>
  <c r="O353" i="2"/>
  <c r="P353" i="2" s="1"/>
  <c r="J353" i="2"/>
  <c r="O352" i="2"/>
  <c r="P352" i="2" s="1"/>
  <c r="J352" i="2"/>
  <c r="O351" i="2"/>
  <c r="P351" i="2" s="1"/>
  <c r="J351" i="2"/>
  <c r="O350" i="2"/>
  <c r="P350" i="2" s="1"/>
  <c r="J350" i="2"/>
  <c r="O349" i="2"/>
  <c r="P349" i="2" s="1"/>
  <c r="J349" i="2"/>
  <c r="O348" i="2"/>
  <c r="P348" i="2" s="1"/>
  <c r="J348" i="2"/>
  <c r="O347" i="2"/>
  <c r="P347" i="2" s="1"/>
  <c r="J347" i="2"/>
  <c r="O346" i="2"/>
  <c r="P346" i="2" s="1"/>
  <c r="J346" i="2"/>
  <c r="O345" i="2"/>
  <c r="P345" i="2" s="1"/>
  <c r="J345" i="2"/>
  <c r="O344" i="2"/>
  <c r="P344" i="2" s="1"/>
  <c r="J344" i="2"/>
  <c r="O343" i="2"/>
  <c r="P343" i="2" s="1"/>
  <c r="J343" i="2"/>
  <c r="T343" i="2" s="1"/>
  <c r="O342" i="2"/>
  <c r="P342" i="2" s="1"/>
  <c r="J342" i="2"/>
  <c r="O341" i="2"/>
  <c r="P341" i="2" s="1"/>
  <c r="J341" i="2"/>
  <c r="T341" i="2" s="1"/>
  <c r="O340" i="2"/>
  <c r="P340" i="2" s="1"/>
  <c r="J340" i="2"/>
  <c r="O339" i="2"/>
  <c r="P339" i="2" s="1"/>
  <c r="J339" i="2"/>
  <c r="O338" i="2"/>
  <c r="P338" i="2" s="1"/>
  <c r="J338" i="2"/>
  <c r="O337" i="2"/>
  <c r="P337" i="2" s="1"/>
  <c r="J337" i="2"/>
  <c r="O336" i="2"/>
  <c r="P336" i="2" s="1"/>
  <c r="J336" i="2"/>
  <c r="O335" i="2"/>
  <c r="P335" i="2" s="1"/>
  <c r="J335" i="2"/>
  <c r="O334" i="2"/>
  <c r="P334" i="2" s="1"/>
  <c r="J334" i="2"/>
  <c r="O333" i="2"/>
  <c r="P333" i="2" s="1"/>
  <c r="J333" i="2"/>
  <c r="O332" i="2"/>
  <c r="P332" i="2" s="1"/>
  <c r="J332" i="2"/>
  <c r="O331" i="2"/>
  <c r="P331" i="2" s="1"/>
  <c r="J331" i="2"/>
  <c r="O330" i="2"/>
  <c r="P330" i="2" s="1"/>
  <c r="J330" i="2"/>
  <c r="O329" i="2"/>
  <c r="P329" i="2" s="1"/>
  <c r="J329" i="2"/>
  <c r="O328" i="2"/>
  <c r="P328" i="2" s="1"/>
  <c r="J328" i="2"/>
  <c r="O327" i="2"/>
  <c r="P327" i="2" s="1"/>
  <c r="J327" i="2"/>
  <c r="O326" i="2"/>
  <c r="P326" i="2" s="1"/>
  <c r="J326" i="2"/>
  <c r="O325" i="2"/>
  <c r="P325" i="2" s="1"/>
  <c r="J325" i="2"/>
  <c r="O324" i="2"/>
  <c r="P324" i="2" s="1"/>
  <c r="J324" i="2"/>
  <c r="O323" i="2"/>
  <c r="P323" i="2" s="1"/>
  <c r="J323" i="2"/>
  <c r="O322" i="2"/>
  <c r="P322" i="2" s="1"/>
  <c r="J322" i="2"/>
  <c r="O321" i="2"/>
  <c r="P321" i="2" s="1"/>
  <c r="J321" i="2"/>
  <c r="O320" i="2"/>
  <c r="P320" i="2" s="1"/>
  <c r="J320" i="2"/>
  <c r="O319" i="2"/>
  <c r="P319" i="2" s="1"/>
  <c r="J319" i="2"/>
  <c r="O318" i="2"/>
  <c r="P318" i="2" s="1"/>
  <c r="J318" i="2"/>
  <c r="T318" i="2" s="1"/>
  <c r="O317" i="2"/>
  <c r="P317" i="2" s="1"/>
  <c r="J317" i="2"/>
  <c r="O316" i="2"/>
  <c r="P316" i="2" s="1"/>
  <c r="J316" i="2"/>
  <c r="O315" i="2"/>
  <c r="P315" i="2" s="1"/>
  <c r="J315" i="2"/>
  <c r="O314" i="2"/>
  <c r="P314" i="2" s="1"/>
  <c r="J314" i="2"/>
  <c r="O313" i="2"/>
  <c r="P313" i="2" s="1"/>
  <c r="J313" i="2"/>
  <c r="O312" i="2"/>
  <c r="P312" i="2" s="1"/>
  <c r="J312" i="2"/>
  <c r="O311" i="2"/>
  <c r="P311" i="2" s="1"/>
  <c r="J311" i="2"/>
  <c r="O310" i="2"/>
  <c r="P310" i="2" s="1"/>
  <c r="J310" i="2"/>
  <c r="O309" i="2"/>
  <c r="P309" i="2" s="1"/>
  <c r="J309" i="2"/>
  <c r="O308" i="2"/>
  <c r="P308" i="2" s="1"/>
  <c r="J308" i="2"/>
  <c r="O307" i="2"/>
  <c r="P307" i="2" s="1"/>
  <c r="J307" i="2"/>
  <c r="O306" i="2"/>
  <c r="P306" i="2" s="1"/>
  <c r="J306" i="2"/>
  <c r="O305" i="2"/>
  <c r="P305" i="2" s="1"/>
  <c r="J305" i="2"/>
  <c r="O304" i="2"/>
  <c r="P304" i="2" s="1"/>
  <c r="J304" i="2"/>
  <c r="O303" i="2"/>
  <c r="P303" i="2" s="1"/>
  <c r="J303" i="2"/>
  <c r="O302" i="2"/>
  <c r="P302" i="2" s="1"/>
  <c r="J302" i="2"/>
  <c r="O301" i="2"/>
  <c r="P301" i="2" s="1"/>
  <c r="J301" i="2"/>
  <c r="O300" i="2"/>
  <c r="P300" i="2" s="1"/>
  <c r="J300" i="2"/>
  <c r="O299" i="2"/>
  <c r="P299" i="2" s="1"/>
  <c r="J299" i="2"/>
  <c r="O298" i="2"/>
  <c r="P298" i="2" s="1"/>
  <c r="J298" i="2"/>
  <c r="O297" i="2"/>
  <c r="P297" i="2" s="1"/>
  <c r="J297" i="2"/>
  <c r="T297" i="2" s="1"/>
  <c r="O296" i="2"/>
  <c r="P296" i="2" s="1"/>
  <c r="J296" i="2"/>
  <c r="O295" i="2"/>
  <c r="P295" i="2" s="1"/>
  <c r="J295" i="2"/>
  <c r="O294" i="2"/>
  <c r="P294" i="2" s="1"/>
  <c r="J294" i="2"/>
  <c r="T294" i="2" s="1"/>
  <c r="O293" i="2"/>
  <c r="P293" i="2" s="1"/>
  <c r="J293" i="2"/>
  <c r="O292" i="2"/>
  <c r="P292" i="2" s="1"/>
  <c r="J292" i="2"/>
  <c r="O291" i="2"/>
  <c r="P291" i="2" s="1"/>
  <c r="J291" i="2"/>
  <c r="O290" i="2"/>
  <c r="P290" i="2" s="1"/>
  <c r="J290" i="2"/>
  <c r="O289" i="2"/>
  <c r="P289" i="2" s="1"/>
  <c r="J289" i="2"/>
  <c r="O288" i="2"/>
  <c r="P288" i="2" s="1"/>
  <c r="J288" i="2"/>
  <c r="O287" i="2"/>
  <c r="P287" i="2" s="1"/>
  <c r="J287" i="2"/>
  <c r="O286" i="2"/>
  <c r="P286" i="2" s="1"/>
  <c r="J286" i="2"/>
  <c r="O285" i="2"/>
  <c r="P285" i="2" s="1"/>
  <c r="J285" i="2"/>
  <c r="O284" i="2"/>
  <c r="P284" i="2" s="1"/>
  <c r="J284" i="2"/>
  <c r="O283" i="2"/>
  <c r="P283" i="2" s="1"/>
  <c r="J283" i="2"/>
  <c r="O282" i="2"/>
  <c r="P282" i="2" s="1"/>
  <c r="J282" i="2"/>
  <c r="O281" i="2"/>
  <c r="P281" i="2" s="1"/>
  <c r="J281" i="2"/>
  <c r="O280" i="2"/>
  <c r="P280" i="2" s="1"/>
  <c r="J280" i="2"/>
  <c r="O279" i="2"/>
  <c r="P279" i="2" s="1"/>
  <c r="J279" i="2"/>
  <c r="T279" i="2" s="1"/>
  <c r="O278" i="2"/>
  <c r="P278" i="2" s="1"/>
  <c r="J278" i="2"/>
  <c r="O277" i="2"/>
  <c r="P277" i="2" s="1"/>
  <c r="J277" i="2"/>
  <c r="O276" i="2"/>
  <c r="P276" i="2" s="1"/>
  <c r="J276" i="2"/>
  <c r="T276" i="2" s="1"/>
  <c r="O275" i="2"/>
  <c r="P275" i="2" s="1"/>
  <c r="J275" i="2"/>
  <c r="O274" i="2"/>
  <c r="P274" i="2" s="1"/>
  <c r="J274" i="2"/>
  <c r="O273" i="2"/>
  <c r="P273" i="2" s="1"/>
  <c r="J273" i="2"/>
  <c r="O272" i="2"/>
  <c r="P272" i="2" s="1"/>
  <c r="J272" i="2"/>
  <c r="O271" i="2"/>
  <c r="P271" i="2" s="1"/>
  <c r="J271" i="2"/>
  <c r="O270" i="2"/>
  <c r="P270" i="2" s="1"/>
  <c r="J270" i="2"/>
  <c r="T270" i="2" s="1"/>
  <c r="O269" i="2"/>
  <c r="P269" i="2" s="1"/>
  <c r="J269" i="2"/>
  <c r="O268" i="2"/>
  <c r="P268" i="2" s="1"/>
  <c r="J268" i="2"/>
  <c r="O267" i="2"/>
  <c r="P267" i="2" s="1"/>
  <c r="J267" i="2"/>
  <c r="O266" i="2"/>
  <c r="P266" i="2" s="1"/>
  <c r="J266" i="2"/>
  <c r="O265" i="2"/>
  <c r="P265" i="2" s="1"/>
  <c r="J265" i="2"/>
  <c r="O264" i="2"/>
  <c r="P264" i="2" s="1"/>
  <c r="J264" i="2"/>
  <c r="O263" i="2"/>
  <c r="P263" i="2" s="1"/>
  <c r="J263" i="2"/>
  <c r="O262" i="2"/>
  <c r="P262" i="2" s="1"/>
  <c r="J262" i="2"/>
  <c r="O261" i="2"/>
  <c r="P261" i="2" s="1"/>
  <c r="J261" i="2"/>
  <c r="O260" i="2"/>
  <c r="P260" i="2" s="1"/>
  <c r="J260" i="2"/>
  <c r="O259" i="2"/>
  <c r="P259" i="2" s="1"/>
  <c r="J259" i="2"/>
  <c r="O258" i="2"/>
  <c r="P258" i="2" s="1"/>
  <c r="J258" i="2"/>
  <c r="O257" i="2"/>
  <c r="P257" i="2" s="1"/>
  <c r="J257" i="2"/>
  <c r="O256" i="2"/>
  <c r="P256" i="2" s="1"/>
  <c r="J256" i="2"/>
  <c r="O255" i="2"/>
  <c r="P255" i="2" s="1"/>
  <c r="J255" i="2"/>
  <c r="O254" i="2"/>
  <c r="P254" i="2" s="1"/>
  <c r="J254" i="2"/>
  <c r="O253" i="2"/>
  <c r="P253" i="2" s="1"/>
  <c r="J253" i="2"/>
  <c r="O252" i="2"/>
  <c r="P252" i="2" s="1"/>
  <c r="J252" i="2"/>
  <c r="O251" i="2"/>
  <c r="P251" i="2" s="1"/>
  <c r="J251" i="2"/>
  <c r="O250" i="2"/>
  <c r="P250" i="2" s="1"/>
  <c r="J250" i="2"/>
  <c r="O249" i="2"/>
  <c r="P249" i="2" s="1"/>
  <c r="J249" i="2"/>
  <c r="O248" i="2"/>
  <c r="P248" i="2" s="1"/>
  <c r="J248" i="2"/>
  <c r="O247" i="2"/>
  <c r="P247" i="2" s="1"/>
  <c r="J247" i="2"/>
  <c r="O246" i="2"/>
  <c r="P246" i="2" s="1"/>
  <c r="J246" i="2"/>
  <c r="O245" i="2"/>
  <c r="P245" i="2" s="1"/>
  <c r="J245" i="2"/>
  <c r="O244" i="2"/>
  <c r="P244" i="2" s="1"/>
  <c r="J244" i="2"/>
  <c r="O243" i="2"/>
  <c r="P243" i="2" s="1"/>
  <c r="J243" i="2"/>
  <c r="O242" i="2"/>
  <c r="P242" i="2" s="1"/>
  <c r="J242" i="2"/>
  <c r="O241" i="2"/>
  <c r="P241" i="2" s="1"/>
  <c r="J241" i="2"/>
  <c r="O240" i="2"/>
  <c r="P240" i="2" s="1"/>
  <c r="J240" i="2"/>
  <c r="O239" i="2"/>
  <c r="P239" i="2" s="1"/>
  <c r="J239" i="2"/>
  <c r="O238" i="2"/>
  <c r="P238" i="2" s="1"/>
  <c r="J238" i="2"/>
  <c r="O237" i="2"/>
  <c r="P237" i="2" s="1"/>
  <c r="J237" i="2"/>
  <c r="O236" i="2"/>
  <c r="P236" i="2" s="1"/>
  <c r="J236" i="2"/>
  <c r="O235" i="2"/>
  <c r="P235" i="2" s="1"/>
  <c r="J235" i="2"/>
  <c r="O234" i="2"/>
  <c r="P234" i="2" s="1"/>
  <c r="J234" i="2"/>
  <c r="O233" i="2"/>
  <c r="P233" i="2" s="1"/>
  <c r="J233" i="2"/>
  <c r="O232" i="2"/>
  <c r="P232" i="2" s="1"/>
  <c r="J232" i="2"/>
  <c r="O231" i="2"/>
  <c r="P231" i="2" s="1"/>
  <c r="J231" i="2"/>
  <c r="O230" i="2"/>
  <c r="P230" i="2" s="1"/>
  <c r="J230" i="2"/>
  <c r="O229" i="2"/>
  <c r="P229" i="2" s="1"/>
  <c r="J229" i="2"/>
  <c r="O228" i="2"/>
  <c r="P228" i="2" s="1"/>
  <c r="J228" i="2"/>
  <c r="O227" i="2"/>
  <c r="P227" i="2" s="1"/>
  <c r="J227" i="2"/>
  <c r="O226" i="2"/>
  <c r="P226" i="2" s="1"/>
  <c r="J226" i="2"/>
  <c r="O225" i="2"/>
  <c r="P225" i="2" s="1"/>
  <c r="J225" i="2"/>
  <c r="O224" i="2"/>
  <c r="P224" i="2" s="1"/>
  <c r="J224" i="2"/>
  <c r="O223" i="2"/>
  <c r="P223" i="2" s="1"/>
  <c r="J223" i="2"/>
  <c r="O222" i="2"/>
  <c r="P222" i="2" s="1"/>
  <c r="J222" i="2"/>
  <c r="O221" i="2"/>
  <c r="P221" i="2" s="1"/>
  <c r="J221" i="2"/>
  <c r="O220" i="2"/>
  <c r="P220" i="2" s="1"/>
  <c r="J220" i="2"/>
  <c r="O219" i="2"/>
  <c r="P219" i="2" s="1"/>
  <c r="J219" i="2"/>
  <c r="O218" i="2"/>
  <c r="P218" i="2" s="1"/>
  <c r="J218" i="2"/>
  <c r="O217" i="2"/>
  <c r="P217" i="2" s="1"/>
  <c r="J217" i="2"/>
  <c r="O216" i="2"/>
  <c r="P216" i="2" s="1"/>
  <c r="J216" i="2"/>
  <c r="O215" i="2"/>
  <c r="P215" i="2" s="1"/>
  <c r="J215" i="2"/>
  <c r="O214" i="2"/>
  <c r="P214" i="2" s="1"/>
  <c r="J214" i="2"/>
  <c r="O213" i="2"/>
  <c r="P213" i="2" s="1"/>
  <c r="J213" i="2"/>
  <c r="O212" i="2"/>
  <c r="P212" i="2" s="1"/>
  <c r="J212" i="2"/>
  <c r="O211" i="2"/>
  <c r="P211" i="2" s="1"/>
  <c r="J211" i="2"/>
  <c r="O210" i="2"/>
  <c r="P210" i="2" s="1"/>
  <c r="J210" i="2"/>
  <c r="O209" i="2"/>
  <c r="P209" i="2" s="1"/>
  <c r="J209" i="2"/>
  <c r="O208" i="2"/>
  <c r="P208" i="2" s="1"/>
  <c r="J208" i="2"/>
  <c r="O207" i="2"/>
  <c r="P207" i="2" s="1"/>
  <c r="J207" i="2"/>
  <c r="O206" i="2"/>
  <c r="P206" i="2" s="1"/>
  <c r="J206" i="2"/>
  <c r="O205" i="2"/>
  <c r="P205" i="2" s="1"/>
  <c r="J205" i="2"/>
  <c r="T205" i="2" s="1"/>
  <c r="O204" i="2"/>
  <c r="P204" i="2" s="1"/>
  <c r="J204" i="2"/>
  <c r="O203" i="2"/>
  <c r="P203" i="2" s="1"/>
  <c r="J203" i="2"/>
  <c r="O202" i="2"/>
  <c r="P202" i="2" s="1"/>
  <c r="J202" i="2"/>
  <c r="O201" i="2"/>
  <c r="P201" i="2" s="1"/>
  <c r="J201" i="2"/>
  <c r="O200" i="2"/>
  <c r="P200" i="2" s="1"/>
  <c r="J200" i="2"/>
  <c r="O199" i="2"/>
  <c r="P199" i="2" s="1"/>
  <c r="J199" i="2"/>
  <c r="O198" i="2"/>
  <c r="P198" i="2" s="1"/>
  <c r="J198" i="2"/>
  <c r="O197" i="2"/>
  <c r="P197" i="2" s="1"/>
  <c r="J197" i="2"/>
  <c r="O196" i="2"/>
  <c r="P196" i="2" s="1"/>
  <c r="J196" i="2"/>
  <c r="O195" i="2"/>
  <c r="P195" i="2" s="1"/>
  <c r="J195" i="2"/>
  <c r="O194" i="2"/>
  <c r="P194" i="2" s="1"/>
  <c r="J194" i="2"/>
  <c r="O193" i="2"/>
  <c r="P193" i="2" s="1"/>
  <c r="J193" i="2"/>
  <c r="O192" i="2"/>
  <c r="P192" i="2" s="1"/>
  <c r="J192" i="2"/>
  <c r="O191" i="2"/>
  <c r="P191" i="2" s="1"/>
  <c r="J191" i="2"/>
  <c r="O190" i="2"/>
  <c r="P190" i="2" s="1"/>
  <c r="J190" i="2"/>
  <c r="O189" i="2"/>
  <c r="P189" i="2" s="1"/>
  <c r="J189" i="2"/>
  <c r="O188" i="2"/>
  <c r="P188" i="2" s="1"/>
  <c r="J188" i="2"/>
  <c r="O187" i="2"/>
  <c r="P187" i="2" s="1"/>
  <c r="J187" i="2"/>
  <c r="T187" i="2" s="1"/>
  <c r="O186" i="2"/>
  <c r="P186" i="2" s="1"/>
  <c r="J186" i="2"/>
  <c r="O185" i="2"/>
  <c r="P185" i="2" s="1"/>
  <c r="J185" i="2"/>
  <c r="O184" i="2"/>
  <c r="P184" i="2" s="1"/>
  <c r="J184" i="2"/>
  <c r="O183" i="2"/>
  <c r="P183" i="2" s="1"/>
  <c r="J183" i="2"/>
  <c r="O182" i="2"/>
  <c r="P182" i="2" s="1"/>
  <c r="J182" i="2"/>
  <c r="O181" i="2"/>
  <c r="P181" i="2" s="1"/>
  <c r="J181" i="2"/>
  <c r="O180" i="2"/>
  <c r="P180" i="2" s="1"/>
  <c r="J180" i="2"/>
  <c r="O179" i="2"/>
  <c r="P179" i="2" s="1"/>
  <c r="J179" i="2"/>
  <c r="O178" i="2"/>
  <c r="P178" i="2" s="1"/>
  <c r="J178" i="2"/>
  <c r="O177" i="2"/>
  <c r="P177" i="2" s="1"/>
  <c r="J177" i="2"/>
  <c r="O176" i="2"/>
  <c r="P176" i="2" s="1"/>
  <c r="J176" i="2"/>
  <c r="O175" i="2"/>
  <c r="P175" i="2" s="1"/>
  <c r="J175" i="2"/>
  <c r="O174" i="2"/>
  <c r="P174" i="2" s="1"/>
  <c r="J174" i="2"/>
  <c r="O173" i="2"/>
  <c r="P173" i="2" s="1"/>
  <c r="J173" i="2"/>
  <c r="O172" i="2"/>
  <c r="P172" i="2" s="1"/>
  <c r="J172" i="2"/>
  <c r="O171" i="2"/>
  <c r="P171" i="2" s="1"/>
  <c r="J171" i="2"/>
  <c r="O170" i="2"/>
  <c r="P170" i="2" s="1"/>
  <c r="J170" i="2"/>
  <c r="O169" i="2"/>
  <c r="P169" i="2" s="1"/>
  <c r="J169" i="2"/>
  <c r="O168" i="2"/>
  <c r="P168" i="2" s="1"/>
  <c r="J168" i="2"/>
  <c r="O167" i="2"/>
  <c r="P167" i="2" s="1"/>
  <c r="J167" i="2"/>
  <c r="O166" i="2"/>
  <c r="P166" i="2" s="1"/>
  <c r="J166" i="2"/>
  <c r="O165" i="2"/>
  <c r="P165" i="2" s="1"/>
  <c r="J165" i="2"/>
  <c r="O164" i="2"/>
  <c r="P164" i="2" s="1"/>
  <c r="J164" i="2"/>
  <c r="O163" i="2"/>
  <c r="P163" i="2" s="1"/>
  <c r="J163" i="2"/>
  <c r="O162" i="2"/>
  <c r="P162" i="2" s="1"/>
  <c r="J162" i="2"/>
  <c r="O161" i="2"/>
  <c r="P161" i="2" s="1"/>
  <c r="J161" i="2"/>
  <c r="O160" i="2"/>
  <c r="P160" i="2" s="1"/>
  <c r="J160" i="2"/>
  <c r="O159" i="2"/>
  <c r="P159" i="2" s="1"/>
  <c r="J159" i="2"/>
  <c r="T159" i="2" s="1"/>
  <c r="O158" i="2"/>
  <c r="P158" i="2" s="1"/>
  <c r="J158" i="2"/>
  <c r="O157" i="2"/>
  <c r="P157" i="2" s="1"/>
  <c r="J157" i="2"/>
  <c r="O156" i="2"/>
  <c r="P156" i="2" s="1"/>
  <c r="J156" i="2"/>
  <c r="O155" i="2"/>
  <c r="P155" i="2" s="1"/>
  <c r="J155" i="2"/>
  <c r="O154" i="2"/>
  <c r="P154" i="2" s="1"/>
  <c r="J154" i="2"/>
  <c r="T154" i="2" s="1"/>
  <c r="O153" i="2"/>
  <c r="P153" i="2" s="1"/>
  <c r="J153" i="2"/>
  <c r="O152" i="2"/>
  <c r="P152" i="2" s="1"/>
  <c r="J152" i="2"/>
  <c r="O151" i="2"/>
  <c r="P151" i="2" s="1"/>
  <c r="J151" i="2"/>
  <c r="O150" i="2"/>
  <c r="P150" i="2" s="1"/>
  <c r="J150" i="2"/>
  <c r="O149" i="2"/>
  <c r="P149" i="2" s="1"/>
  <c r="J149" i="2"/>
  <c r="O148" i="2"/>
  <c r="P148" i="2" s="1"/>
  <c r="J148" i="2"/>
  <c r="O147" i="2"/>
  <c r="P147" i="2" s="1"/>
  <c r="J147" i="2"/>
  <c r="O146" i="2"/>
  <c r="P146" i="2" s="1"/>
  <c r="J146" i="2"/>
  <c r="O145" i="2"/>
  <c r="P145" i="2" s="1"/>
  <c r="J145" i="2"/>
  <c r="O144" i="2"/>
  <c r="P144" i="2" s="1"/>
  <c r="J144" i="2"/>
  <c r="O143" i="2"/>
  <c r="P143" i="2" s="1"/>
  <c r="J143" i="2"/>
  <c r="O142" i="2"/>
  <c r="P142" i="2" s="1"/>
  <c r="J142" i="2"/>
  <c r="O141" i="2"/>
  <c r="P141" i="2" s="1"/>
  <c r="J141" i="2"/>
  <c r="O140" i="2"/>
  <c r="P140" i="2" s="1"/>
  <c r="J140" i="2"/>
  <c r="O139" i="2"/>
  <c r="P139" i="2" s="1"/>
  <c r="J139" i="2"/>
  <c r="O138" i="2"/>
  <c r="P138" i="2" s="1"/>
  <c r="J138" i="2"/>
  <c r="O137" i="2"/>
  <c r="P137" i="2" s="1"/>
  <c r="J137" i="2"/>
  <c r="O136" i="2"/>
  <c r="P136" i="2" s="1"/>
  <c r="J136" i="2"/>
  <c r="O135" i="2"/>
  <c r="P135" i="2" s="1"/>
  <c r="J135" i="2"/>
  <c r="O134" i="2"/>
  <c r="P134" i="2" s="1"/>
  <c r="J134" i="2"/>
  <c r="O133" i="2"/>
  <c r="P133" i="2" s="1"/>
  <c r="J133" i="2"/>
  <c r="O132" i="2"/>
  <c r="P132" i="2" s="1"/>
  <c r="J132" i="2"/>
  <c r="O131" i="2"/>
  <c r="P131" i="2" s="1"/>
  <c r="J131" i="2"/>
  <c r="O130" i="2"/>
  <c r="P130" i="2" s="1"/>
  <c r="J130" i="2"/>
  <c r="O129" i="2"/>
  <c r="P129" i="2" s="1"/>
  <c r="J129" i="2"/>
  <c r="O128" i="2"/>
  <c r="P128" i="2" s="1"/>
  <c r="J128" i="2"/>
  <c r="O127" i="2"/>
  <c r="P127" i="2" s="1"/>
  <c r="J127" i="2"/>
  <c r="O126" i="2"/>
  <c r="P126" i="2" s="1"/>
  <c r="J126" i="2"/>
  <c r="O125" i="2"/>
  <c r="P125" i="2" s="1"/>
  <c r="J125" i="2"/>
  <c r="O124" i="2"/>
  <c r="P124" i="2" s="1"/>
  <c r="J124" i="2"/>
  <c r="T124" i="2" s="1"/>
  <c r="O123" i="2"/>
  <c r="P123" i="2" s="1"/>
  <c r="J123" i="2"/>
  <c r="O122" i="2"/>
  <c r="P122" i="2" s="1"/>
  <c r="J122" i="2"/>
  <c r="O121" i="2"/>
  <c r="P121" i="2" s="1"/>
  <c r="J121" i="2"/>
  <c r="O120" i="2"/>
  <c r="P120" i="2" s="1"/>
  <c r="J120" i="2"/>
  <c r="O119" i="2"/>
  <c r="P119" i="2" s="1"/>
  <c r="J119" i="2"/>
  <c r="O118" i="2"/>
  <c r="P118" i="2" s="1"/>
  <c r="J118" i="2"/>
  <c r="O117" i="2"/>
  <c r="P117" i="2" s="1"/>
  <c r="J117" i="2"/>
  <c r="O116" i="2"/>
  <c r="P116" i="2" s="1"/>
  <c r="J116" i="2"/>
  <c r="O115" i="2"/>
  <c r="P115" i="2" s="1"/>
  <c r="J115" i="2"/>
  <c r="O114" i="2"/>
  <c r="P114" i="2" s="1"/>
  <c r="J114" i="2"/>
  <c r="O113" i="2"/>
  <c r="P113" i="2" s="1"/>
  <c r="J113" i="2"/>
  <c r="O112" i="2"/>
  <c r="P112" i="2" s="1"/>
  <c r="J112" i="2"/>
  <c r="O111" i="2"/>
  <c r="P111" i="2" s="1"/>
  <c r="J111" i="2"/>
  <c r="O110" i="2"/>
  <c r="P110" i="2" s="1"/>
  <c r="J110" i="2"/>
  <c r="O109" i="2"/>
  <c r="P109" i="2" s="1"/>
  <c r="J109" i="2"/>
  <c r="O108" i="2"/>
  <c r="P108" i="2" s="1"/>
  <c r="J108" i="2"/>
  <c r="O107" i="2"/>
  <c r="P107" i="2" s="1"/>
  <c r="J107" i="2"/>
  <c r="O106" i="2"/>
  <c r="P106" i="2" s="1"/>
  <c r="J106" i="2"/>
  <c r="O105" i="2"/>
  <c r="P105" i="2" s="1"/>
  <c r="J105" i="2"/>
  <c r="O104" i="2"/>
  <c r="P104" i="2" s="1"/>
  <c r="J104" i="2"/>
  <c r="O103" i="2"/>
  <c r="P103" i="2" s="1"/>
  <c r="J103" i="2"/>
  <c r="O102" i="2"/>
  <c r="P102" i="2" s="1"/>
  <c r="J102" i="2"/>
  <c r="O101" i="2"/>
  <c r="P101" i="2" s="1"/>
  <c r="J101" i="2"/>
  <c r="O100" i="2"/>
  <c r="P100" i="2" s="1"/>
  <c r="J100" i="2"/>
  <c r="T100" i="2" s="1"/>
  <c r="O99" i="2"/>
  <c r="P99" i="2" s="1"/>
  <c r="J99" i="2"/>
  <c r="O98" i="2"/>
  <c r="P98" i="2" s="1"/>
  <c r="J98" i="2"/>
  <c r="O97" i="2"/>
  <c r="P97" i="2" s="1"/>
  <c r="J97" i="2"/>
  <c r="O96" i="2"/>
  <c r="P96" i="2" s="1"/>
  <c r="J96" i="2"/>
  <c r="O95" i="2"/>
  <c r="P95" i="2" s="1"/>
  <c r="J95" i="2"/>
  <c r="O94" i="2"/>
  <c r="P94" i="2" s="1"/>
  <c r="J94" i="2"/>
  <c r="O93" i="2"/>
  <c r="P93" i="2" s="1"/>
  <c r="J93" i="2"/>
  <c r="O92" i="2"/>
  <c r="P92" i="2" s="1"/>
  <c r="J92" i="2"/>
  <c r="O91" i="2"/>
  <c r="P91" i="2" s="1"/>
  <c r="J91" i="2"/>
  <c r="O90" i="2"/>
  <c r="P90" i="2" s="1"/>
  <c r="J90" i="2"/>
  <c r="T90" i="2" s="1"/>
  <c r="O89" i="2"/>
  <c r="P89" i="2" s="1"/>
  <c r="J89" i="2"/>
  <c r="O88" i="2"/>
  <c r="P88" i="2" s="1"/>
  <c r="J88" i="2"/>
  <c r="O87" i="2"/>
  <c r="P87" i="2" s="1"/>
  <c r="J87" i="2"/>
  <c r="O86" i="2"/>
  <c r="P86" i="2" s="1"/>
  <c r="J86" i="2"/>
  <c r="O85" i="2"/>
  <c r="P85" i="2" s="1"/>
  <c r="J85" i="2"/>
  <c r="O84" i="2"/>
  <c r="P84" i="2" s="1"/>
  <c r="J84" i="2"/>
  <c r="O83" i="2"/>
  <c r="P83" i="2" s="1"/>
  <c r="J83" i="2"/>
  <c r="O82" i="2"/>
  <c r="P82" i="2" s="1"/>
  <c r="J82" i="2"/>
  <c r="O81" i="2"/>
  <c r="P81" i="2" s="1"/>
  <c r="J81" i="2"/>
  <c r="O80" i="2"/>
  <c r="P80" i="2" s="1"/>
  <c r="J80" i="2"/>
  <c r="O79" i="2"/>
  <c r="P79" i="2" s="1"/>
  <c r="J79" i="2"/>
  <c r="O78" i="2"/>
  <c r="P78" i="2" s="1"/>
  <c r="J78" i="2"/>
  <c r="O77" i="2"/>
  <c r="P77" i="2" s="1"/>
  <c r="J77" i="2"/>
  <c r="O76" i="2"/>
  <c r="P76" i="2" s="1"/>
  <c r="J76" i="2"/>
  <c r="O75" i="2"/>
  <c r="P75" i="2" s="1"/>
  <c r="J75" i="2"/>
  <c r="O74" i="2"/>
  <c r="P74" i="2" s="1"/>
  <c r="J74" i="2"/>
  <c r="O73" i="2"/>
  <c r="P73" i="2" s="1"/>
  <c r="J73" i="2"/>
  <c r="O72" i="2"/>
  <c r="P72" i="2" s="1"/>
  <c r="J72" i="2"/>
  <c r="O71" i="2"/>
  <c r="P71" i="2" s="1"/>
  <c r="J71" i="2"/>
  <c r="O70" i="2"/>
  <c r="P70" i="2" s="1"/>
  <c r="J70" i="2"/>
  <c r="O69" i="2"/>
  <c r="P69" i="2" s="1"/>
  <c r="J69" i="2"/>
  <c r="O68" i="2"/>
  <c r="P68" i="2" s="1"/>
  <c r="J68" i="2"/>
  <c r="O67" i="2"/>
  <c r="P67" i="2" s="1"/>
  <c r="J67" i="2"/>
  <c r="O66" i="2"/>
  <c r="P66" i="2" s="1"/>
  <c r="J66" i="2"/>
  <c r="O65" i="2"/>
  <c r="P65" i="2" s="1"/>
  <c r="J65" i="2"/>
  <c r="O64" i="2"/>
  <c r="P64" i="2" s="1"/>
  <c r="J64" i="2"/>
  <c r="O63" i="2"/>
  <c r="P63" i="2" s="1"/>
  <c r="J63" i="2"/>
  <c r="O62" i="2"/>
  <c r="P62" i="2" s="1"/>
  <c r="J62" i="2"/>
  <c r="O61" i="2"/>
  <c r="P61" i="2" s="1"/>
  <c r="J61" i="2"/>
  <c r="O60" i="2"/>
  <c r="P60" i="2" s="1"/>
  <c r="J60" i="2"/>
  <c r="O59" i="2"/>
  <c r="P59" i="2" s="1"/>
  <c r="J59" i="2"/>
  <c r="O58" i="2"/>
  <c r="P58" i="2" s="1"/>
  <c r="J58" i="2"/>
  <c r="O57" i="2"/>
  <c r="P57" i="2" s="1"/>
  <c r="J57" i="2"/>
  <c r="O56" i="2"/>
  <c r="P56" i="2" s="1"/>
  <c r="J56" i="2"/>
  <c r="O55" i="2"/>
  <c r="P55" i="2" s="1"/>
  <c r="J55" i="2"/>
  <c r="T55" i="2" s="1"/>
  <c r="O54" i="2"/>
  <c r="P54" i="2" s="1"/>
  <c r="J54" i="2"/>
  <c r="O53" i="2"/>
  <c r="P53" i="2" s="1"/>
  <c r="J53" i="2"/>
  <c r="O52" i="2"/>
  <c r="P52" i="2" s="1"/>
  <c r="J52" i="2"/>
  <c r="O51" i="2"/>
  <c r="P51" i="2" s="1"/>
  <c r="J51" i="2"/>
  <c r="O50" i="2"/>
  <c r="P50" i="2" s="1"/>
  <c r="J50" i="2"/>
  <c r="O49" i="2"/>
  <c r="P49" i="2" s="1"/>
  <c r="J49" i="2"/>
  <c r="O48" i="2"/>
  <c r="P48" i="2" s="1"/>
  <c r="J48" i="2"/>
  <c r="O47" i="2"/>
  <c r="P47" i="2" s="1"/>
  <c r="J47" i="2"/>
  <c r="O46" i="2"/>
  <c r="P46" i="2" s="1"/>
  <c r="J46" i="2"/>
  <c r="O45" i="2"/>
  <c r="P45" i="2" s="1"/>
  <c r="J45" i="2"/>
  <c r="O44" i="2"/>
  <c r="P44" i="2" s="1"/>
  <c r="J44" i="2"/>
  <c r="O43" i="2"/>
  <c r="P43" i="2" s="1"/>
  <c r="J43" i="2"/>
  <c r="O42" i="2"/>
  <c r="P42" i="2" s="1"/>
  <c r="J42" i="2"/>
  <c r="O41" i="2"/>
  <c r="P41" i="2" s="1"/>
  <c r="J41" i="2"/>
  <c r="O40" i="2"/>
  <c r="P40" i="2" s="1"/>
  <c r="J40" i="2"/>
  <c r="T40" i="2" s="1"/>
  <c r="O39" i="2"/>
  <c r="P39" i="2" s="1"/>
  <c r="J39" i="2"/>
  <c r="O38" i="2"/>
  <c r="P38" i="2" s="1"/>
  <c r="J38" i="2"/>
  <c r="O37" i="2"/>
  <c r="P37" i="2" s="1"/>
  <c r="J37" i="2"/>
  <c r="O36" i="2"/>
  <c r="P36" i="2" s="1"/>
  <c r="J36" i="2"/>
  <c r="O35" i="2"/>
  <c r="P35" i="2" s="1"/>
  <c r="J35" i="2"/>
  <c r="O34" i="2"/>
  <c r="P34" i="2" s="1"/>
  <c r="J34" i="2"/>
  <c r="O33" i="2"/>
  <c r="P33" i="2" s="1"/>
  <c r="J33" i="2"/>
  <c r="O32" i="2"/>
  <c r="P32" i="2" s="1"/>
  <c r="J32" i="2"/>
  <c r="O31" i="2"/>
  <c r="P31" i="2" s="1"/>
  <c r="J31" i="2"/>
  <c r="O30" i="2"/>
  <c r="P30" i="2" s="1"/>
  <c r="J30" i="2"/>
  <c r="O29" i="2"/>
  <c r="P29" i="2" s="1"/>
  <c r="J29" i="2"/>
  <c r="O28" i="2"/>
  <c r="P28" i="2" s="1"/>
  <c r="J28" i="2"/>
  <c r="O27" i="2"/>
  <c r="P27" i="2" s="1"/>
  <c r="J27" i="2"/>
  <c r="O26" i="2"/>
  <c r="P26" i="2" s="1"/>
  <c r="J26" i="2"/>
  <c r="O25" i="2"/>
  <c r="P25" i="2" s="1"/>
  <c r="J25" i="2"/>
  <c r="O24" i="2"/>
  <c r="P24" i="2" s="1"/>
  <c r="J24" i="2"/>
  <c r="O23" i="2"/>
  <c r="P23" i="2" s="1"/>
  <c r="J23" i="2"/>
  <c r="O22" i="2"/>
  <c r="P22" i="2" s="1"/>
  <c r="J22" i="2"/>
  <c r="O21" i="2"/>
  <c r="P21" i="2" s="1"/>
  <c r="J21" i="2"/>
  <c r="O20" i="2"/>
  <c r="P20" i="2" s="1"/>
  <c r="J20" i="2"/>
  <c r="O19" i="2"/>
  <c r="P19" i="2" s="1"/>
  <c r="J19" i="2"/>
  <c r="O18" i="2"/>
  <c r="P18" i="2" s="1"/>
  <c r="J18" i="2"/>
  <c r="O17" i="2"/>
  <c r="P17" i="2" s="1"/>
  <c r="J17" i="2"/>
  <c r="O16" i="2"/>
  <c r="P16" i="2" s="1"/>
  <c r="J16" i="2"/>
  <c r="O15" i="2"/>
  <c r="P15" i="2" s="1"/>
  <c r="J15" i="2"/>
  <c r="O14" i="2"/>
  <c r="P14" i="2" s="1"/>
  <c r="J14" i="2"/>
  <c r="O13" i="2"/>
  <c r="P13" i="2" s="1"/>
  <c r="J13" i="2"/>
  <c r="O12" i="2"/>
  <c r="P12" i="2" s="1"/>
  <c r="J12" i="2"/>
  <c r="O11" i="2"/>
  <c r="P11" i="2" s="1"/>
  <c r="J11" i="2"/>
  <c r="O10" i="2"/>
  <c r="P10" i="2" s="1"/>
  <c r="J10" i="2"/>
  <c r="O9" i="2"/>
  <c r="P9" i="2" s="1"/>
  <c r="J9" i="2"/>
  <c r="O8" i="2"/>
  <c r="P8" i="2" s="1"/>
  <c r="J8" i="2"/>
  <c r="O7" i="2"/>
  <c r="P7" i="2" s="1"/>
  <c r="J7" i="2"/>
  <c r="O6" i="2"/>
  <c r="P6" i="2" s="1"/>
  <c r="J6" i="2"/>
  <c r="T6" i="2" s="1"/>
  <c r="O5" i="2"/>
  <c r="P5" i="2" s="1"/>
  <c r="J5" i="2"/>
  <c r="O4" i="2"/>
  <c r="P4" i="2" s="1"/>
  <c r="J4" i="2"/>
  <c r="O3" i="2"/>
  <c r="P3" i="2" s="1"/>
  <c r="J3" i="2"/>
  <c r="O2" i="2"/>
  <c r="P2" i="2" s="1"/>
  <c r="J2" i="2"/>
  <c r="M593" i="2" l="1"/>
  <c r="N593" i="2" s="1"/>
  <c r="M294" i="2"/>
  <c r="N294" i="2" s="1"/>
  <c r="M507" i="2"/>
  <c r="N507" i="2" s="1"/>
  <c r="M610" i="2"/>
  <c r="N610" i="2" s="1"/>
  <c r="M962" i="2"/>
  <c r="N962" i="2" s="1"/>
  <c r="Q962" i="2" s="1"/>
  <c r="R962" i="2" s="1"/>
  <c r="M343" i="2"/>
  <c r="N343" i="2" s="1"/>
  <c r="M449" i="2"/>
  <c r="N449" i="2" s="1"/>
  <c r="M746" i="2"/>
  <c r="N746" i="2" s="1"/>
  <c r="Q746" i="2" s="1"/>
  <c r="R746" i="2" s="1"/>
  <c r="M781" i="2"/>
  <c r="N781" i="2" s="1"/>
  <c r="M90" i="2"/>
  <c r="N90" i="2" s="1"/>
  <c r="M379" i="2"/>
  <c r="N379" i="2" s="1"/>
  <c r="M724" i="2"/>
  <c r="N724" i="2" s="1"/>
  <c r="M563" i="2"/>
  <c r="N563" i="2" s="1"/>
  <c r="M767" i="2"/>
  <c r="N767" i="2" s="1"/>
  <c r="M900" i="2"/>
  <c r="N900" i="2" s="1"/>
  <c r="M407" i="2"/>
  <c r="N407" i="2" s="1"/>
  <c r="Q407" i="2" s="1"/>
  <c r="R407" i="2" s="1"/>
  <c r="M401" i="2"/>
  <c r="N401" i="2" s="1"/>
  <c r="Q401" i="2" s="1"/>
  <c r="R401" i="2" s="1"/>
  <c r="M187" i="2"/>
  <c r="N187" i="2" s="1"/>
  <c r="Q187" i="2" s="1"/>
  <c r="R187" i="2" s="1"/>
  <c r="M475" i="2"/>
  <c r="N475" i="2" s="1"/>
  <c r="Q475" i="2" s="1"/>
  <c r="R475" i="2" s="1"/>
  <c r="M708" i="2"/>
  <c r="N708" i="2" s="1"/>
  <c r="Q708" i="2" s="1"/>
  <c r="R708" i="2" s="1"/>
  <c r="M758" i="2"/>
  <c r="N758" i="2" s="1"/>
  <c r="M341" i="2"/>
  <c r="N341" i="2" s="1"/>
  <c r="M514" i="2"/>
  <c r="N514" i="2" s="1"/>
  <c r="M847" i="2"/>
  <c r="N847" i="2" s="1"/>
  <c r="Q847" i="2" s="1"/>
  <c r="R847" i="2" s="1"/>
  <c r="M270" i="2"/>
  <c r="N270" i="2" s="1"/>
  <c r="Q270" i="2" s="1"/>
  <c r="R270" i="2" s="1"/>
  <c r="M700" i="2"/>
  <c r="N700" i="2" s="1"/>
  <c r="M707" i="2"/>
  <c r="N707" i="2" s="1"/>
  <c r="Q707" i="2" s="1"/>
  <c r="R707" i="2" s="1"/>
  <c r="M868" i="2"/>
  <c r="N868" i="2" s="1"/>
  <c r="Q868" i="2" s="1"/>
  <c r="R868" i="2" s="1"/>
  <c r="M891" i="2"/>
  <c r="N891" i="2" s="1"/>
  <c r="T891" i="2"/>
  <c r="M895" i="2"/>
  <c r="N895" i="2" s="1"/>
  <c r="T895" i="2"/>
  <c r="M42" i="2"/>
  <c r="N42" i="2" s="1"/>
  <c r="T42" i="2"/>
  <c r="M152" i="2"/>
  <c r="N152" i="2" s="1"/>
  <c r="Q152" i="2" s="1"/>
  <c r="R152" i="2" s="1"/>
  <c r="T152" i="2"/>
  <c r="M751" i="2"/>
  <c r="N751" i="2" s="1"/>
  <c r="Q751" i="2" s="1"/>
  <c r="R751" i="2" s="1"/>
  <c r="T751" i="2"/>
  <c r="M855" i="2"/>
  <c r="N855" i="2" s="1"/>
  <c r="T855" i="2"/>
  <c r="M15" i="2"/>
  <c r="N15" i="2" s="1"/>
  <c r="Q15" i="2" s="1"/>
  <c r="R15" i="2" s="1"/>
  <c r="T15" i="2"/>
  <c r="M23" i="2"/>
  <c r="N23" i="2" s="1"/>
  <c r="T23" i="2"/>
  <c r="M129" i="2"/>
  <c r="N129" i="2" s="1"/>
  <c r="Q129" i="2" s="1"/>
  <c r="R129" i="2" s="1"/>
  <c r="T129" i="2"/>
  <c r="M145" i="2"/>
  <c r="N145" i="2" s="1"/>
  <c r="T145" i="2"/>
  <c r="M420" i="2"/>
  <c r="N420" i="2" s="1"/>
  <c r="Q420" i="2" s="1"/>
  <c r="R420" i="2" s="1"/>
  <c r="T420" i="2"/>
  <c r="M608" i="2"/>
  <c r="N608" i="2" s="1"/>
  <c r="Q608" i="2" s="1"/>
  <c r="R608" i="2" s="1"/>
  <c r="T608" i="2"/>
  <c r="M697" i="2"/>
  <c r="N697" i="2" s="1"/>
  <c r="T697" i="2"/>
  <c r="M886" i="2"/>
  <c r="N886" i="2" s="1"/>
  <c r="T886" i="2"/>
  <c r="T901" i="2"/>
  <c r="M901" i="2"/>
  <c r="N901" i="2" s="1"/>
  <c r="M971" i="2"/>
  <c r="N971" i="2" s="1"/>
  <c r="Q971" i="2" s="1"/>
  <c r="R971" i="2" s="1"/>
  <c r="T971" i="2"/>
  <c r="M995" i="2"/>
  <c r="N995" i="2" s="1"/>
  <c r="Q995" i="2" s="1"/>
  <c r="R995" i="2" s="1"/>
  <c r="T995" i="2"/>
  <c r="T153" i="2"/>
  <c r="M153" i="2"/>
  <c r="N153" i="2" s="1"/>
  <c r="Q153" i="2" s="1"/>
  <c r="R153" i="2" s="1"/>
  <c r="M277" i="2"/>
  <c r="N277" i="2" s="1"/>
  <c r="Q277" i="2" s="1"/>
  <c r="R277" i="2" s="1"/>
  <c r="T277" i="2"/>
  <c r="M292" i="2"/>
  <c r="N292" i="2" s="1"/>
  <c r="Q292" i="2" s="1"/>
  <c r="R292" i="2" s="1"/>
  <c r="T292" i="2"/>
  <c r="M387" i="2"/>
  <c r="N387" i="2" s="1"/>
  <c r="T387" i="2"/>
  <c r="M490" i="2"/>
  <c r="N490" i="2" s="1"/>
  <c r="T490" i="2"/>
  <c r="M571" i="2"/>
  <c r="N571" i="2" s="1"/>
  <c r="Q571" i="2" s="1"/>
  <c r="R571" i="2" s="1"/>
  <c r="T571" i="2"/>
  <c r="M612" i="2"/>
  <c r="N612" i="2" s="1"/>
  <c r="T612" i="2"/>
  <c r="M643" i="2"/>
  <c r="N643" i="2" s="1"/>
  <c r="T643" i="2"/>
  <c r="M655" i="2"/>
  <c r="N655" i="2" s="1"/>
  <c r="Q655" i="2" s="1"/>
  <c r="R655" i="2" s="1"/>
  <c r="T655" i="2"/>
  <c r="M737" i="2"/>
  <c r="N737" i="2" s="1"/>
  <c r="T737" i="2"/>
  <c r="M745" i="2"/>
  <c r="N745" i="2" s="1"/>
  <c r="Q745" i="2" s="1"/>
  <c r="R745" i="2" s="1"/>
  <c r="T745" i="2"/>
  <c r="M802" i="2"/>
  <c r="N802" i="2" s="1"/>
  <c r="Q802" i="2" s="1"/>
  <c r="R802" i="2" s="1"/>
  <c r="T802" i="2"/>
  <c r="M833" i="2"/>
  <c r="N833" i="2" s="1"/>
  <c r="T833" i="2"/>
  <c r="M848" i="2"/>
  <c r="N848" i="2" s="1"/>
  <c r="T848" i="2"/>
  <c r="T898" i="2"/>
  <c r="M898" i="2"/>
  <c r="N898" i="2" s="1"/>
  <c r="Q898" i="2" s="1"/>
  <c r="R898" i="2" s="1"/>
  <c r="M953" i="2"/>
  <c r="N953" i="2" s="1"/>
  <c r="T953" i="2"/>
  <c r="M968" i="2"/>
  <c r="N968" i="2" s="1"/>
  <c r="Q968" i="2" s="1"/>
  <c r="R968" i="2" s="1"/>
  <c r="T968" i="2"/>
  <c r="M106" i="2"/>
  <c r="N106" i="2" s="1"/>
  <c r="Q106" i="2" s="1"/>
  <c r="R106" i="2" s="1"/>
  <c r="T106" i="2"/>
  <c r="M122" i="2"/>
  <c r="N122" i="2" s="1"/>
  <c r="T122" i="2"/>
  <c r="M255" i="2"/>
  <c r="N255" i="2" s="1"/>
  <c r="T255" i="2"/>
  <c r="M425" i="2"/>
  <c r="N425" i="2" s="1"/>
  <c r="T425" i="2"/>
  <c r="M560" i="2"/>
  <c r="N560" i="2" s="1"/>
  <c r="Q560" i="2" s="1"/>
  <c r="R560" i="2" s="1"/>
  <c r="T560" i="2"/>
  <c r="M587" i="2"/>
  <c r="N587" i="2" s="1"/>
  <c r="T587" i="2"/>
  <c r="M609" i="2"/>
  <c r="N609" i="2" s="1"/>
  <c r="Q609" i="2" s="1"/>
  <c r="R609" i="2" s="1"/>
  <c r="T609" i="2"/>
  <c r="M698" i="2"/>
  <c r="N698" i="2" s="1"/>
  <c r="T698" i="2"/>
  <c r="Q737" i="2"/>
  <c r="R737" i="2" s="1"/>
  <c r="M795" i="2"/>
  <c r="N795" i="2" s="1"/>
  <c r="Q795" i="2" s="1"/>
  <c r="R795" i="2" s="1"/>
  <c r="T795" i="2"/>
  <c r="M883" i="2"/>
  <c r="N883" i="2" s="1"/>
  <c r="Q883" i="2" s="1"/>
  <c r="R883" i="2" s="1"/>
  <c r="T883" i="2"/>
  <c r="M68" i="2"/>
  <c r="N68" i="2" s="1"/>
  <c r="Q68" i="2" s="1"/>
  <c r="R68" i="2" s="1"/>
  <c r="T68" i="2"/>
  <c r="M83" i="2"/>
  <c r="N83" i="2" s="1"/>
  <c r="Q83" i="2" s="1"/>
  <c r="R83" i="2" s="1"/>
  <c r="T83" i="2"/>
  <c r="M185" i="2"/>
  <c r="N185" i="2" s="1"/>
  <c r="Q185" i="2" s="1"/>
  <c r="R185" i="2" s="1"/>
  <c r="T185" i="2"/>
  <c r="M208" i="2"/>
  <c r="N208" i="2" s="1"/>
  <c r="Q208" i="2" s="1"/>
  <c r="R208" i="2" s="1"/>
  <c r="T208" i="2"/>
  <c r="M267" i="2"/>
  <c r="N267" i="2" s="1"/>
  <c r="T267" i="2"/>
  <c r="M274" i="2"/>
  <c r="N274" i="2" s="1"/>
  <c r="Q274" i="2" s="1"/>
  <c r="R274" i="2" s="1"/>
  <c r="T274" i="2"/>
  <c r="T278" i="2"/>
  <c r="M278" i="2"/>
  <c r="N278" i="2" s="1"/>
  <c r="M373" i="2"/>
  <c r="N373" i="2" s="1"/>
  <c r="Q373" i="2" s="1"/>
  <c r="R373" i="2" s="1"/>
  <c r="T373" i="2"/>
  <c r="M380" i="2"/>
  <c r="N380" i="2" s="1"/>
  <c r="T380" i="2"/>
  <c r="M384" i="2"/>
  <c r="N384" i="2" s="1"/>
  <c r="Q384" i="2" s="1"/>
  <c r="R384" i="2" s="1"/>
  <c r="T384" i="2"/>
  <c r="M388" i="2"/>
  <c r="N388" i="2" s="1"/>
  <c r="T388" i="2"/>
  <c r="T392" i="2"/>
  <c r="M392" i="2"/>
  <c r="N392" i="2" s="1"/>
  <c r="M452" i="2"/>
  <c r="N452" i="2" s="1"/>
  <c r="T452" i="2"/>
  <c r="M456" i="2"/>
  <c r="N456" i="2" s="1"/>
  <c r="Q456" i="2" s="1"/>
  <c r="R456" i="2" s="1"/>
  <c r="T456" i="2"/>
  <c r="M460" i="2"/>
  <c r="N460" i="2" s="1"/>
  <c r="Q460" i="2" s="1"/>
  <c r="R460" i="2" s="1"/>
  <c r="T460" i="2"/>
  <c r="M464" i="2"/>
  <c r="N464" i="2" s="1"/>
  <c r="Q464" i="2" s="1"/>
  <c r="R464" i="2" s="1"/>
  <c r="T464" i="2"/>
  <c r="M468" i="2"/>
  <c r="N468" i="2" s="1"/>
  <c r="T468" i="2"/>
  <c r="M472" i="2"/>
  <c r="N472" i="2" s="1"/>
  <c r="Q472" i="2" s="1"/>
  <c r="R472" i="2" s="1"/>
  <c r="T472" i="2"/>
  <c r="M479" i="2"/>
  <c r="N479" i="2" s="1"/>
  <c r="Q479" i="2" s="1"/>
  <c r="R479" i="2" s="1"/>
  <c r="T479" i="2"/>
  <c r="M483" i="2"/>
  <c r="N483" i="2" s="1"/>
  <c r="Q483" i="2" s="1"/>
  <c r="R483" i="2" s="1"/>
  <c r="T483" i="2"/>
  <c r="M564" i="2"/>
  <c r="N564" i="2" s="1"/>
  <c r="T564" i="2"/>
  <c r="M568" i="2"/>
  <c r="N568" i="2" s="1"/>
  <c r="Q568" i="2" s="1"/>
  <c r="R568" i="2" s="1"/>
  <c r="T568" i="2"/>
  <c r="M572" i="2"/>
  <c r="N572" i="2" s="1"/>
  <c r="T572" i="2"/>
  <c r="M576" i="2"/>
  <c r="N576" i="2" s="1"/>
  <c r="Q576" i="2" s="1"/>
  <c r="R576" i="2" s="1"/>
  <c r="T576" i="2"/>
  <c r="M580" i="2"/>
  <c r="N580" i="2" s="1"/>
  <c r="T580" i="2"/>
  <c r="M584" i="2"/>
  <c r="N584" i="2" s="1"/>
  <c r="Q584" i="2" s="1"/>
  <c r="R584" i="2" s="1"/>
  <c r="T584" i="2"/>
  <c r="M628" i="2"/>
  <c r="N628" i="2" s="1"/>
  <c r="Q628" i="2" s="1"/>
  <c r="R628" i="2" s="1"/>
  <c r="T628" i="2"/>
  <c r="M632" i="2"/>
  <c r="N632" i="2" s="1"/>
  <c r="Q632" i="2" s="1"/>
  <c r="R632" i="2" s="1"/>
  <c r="T632" i="2"/>
  <c r="M636" i="2"/>
  <c r="N636" i="2" s="1"/>
  <c r="Q636" i="2" s="1"/>
  <c r="R636" i="2" s="1"/>
  <c r="T636" i="2"/>
  <c r="M640" i="2"/>
  <c r="N640" i="2" s="1"/>
  <c r="Q640" i="2" s="1"/>
  <c r="R640" i="2" s="1"/>
  <c r="T640" i="2"/>
  <c r="M644" i="2"/>
  <c r="N644" i="2" s="1"/>
  <c r="T644" i="2"/>
  <c r="M648" i="2"/>
  <c r="N648" i="2" s="1"/>
  <c r="Q648" i="2" s="1"/>
  <c r="R648" i="2" s="1"/>
  <c r="T648" i="2"/>
  <c r="M652" i="2"/>
  <c r="N652" i="2" s="1"/>
  <c r="T652" i="2"/>
  <c r="M656" i="2"/>
  <c r="N656" i="2" s="1"/>
  <c r="Q656" i="2" s="1"/>
  <c r="R656" i="2" s="1"/>
  <c r="T656" i="2"/>
  <c r="M675" i="2"/>
  <c r="N675" i="2" s="1"/>
  <c r="Q675" i="2" s="1"/>
  <c r="R675" i="2" s="1"/>
  <c r="M679" i="2"/>
  <c r="N679" i="2" s="1"/>
  <c r="T679" i="2"/>
  <c r="M683" i="2"/>
  <c r="N683" i="2" s="1"/>
  <c r="T683" i="2"/>
  <c r="M727" i="2"/>
  <c r="N727" i="2" s="1"/>
  <c r="Q727" i="2" s="1"/>
  <c r="R727" i="2" s="1"/>
  <c r="T727" i="2"/>
  <c r="M734" i="2"/>
  <c r="N734" i="2" s="1"/>
  <c r="Q734" i="2" s="1"/>
  <c r="R734" i="2" s="1"/>
  <c r="T734" i="2"/>
  <c r="M738" i="2"/>
  <c r="N738" i="2" s="1"/>
  <c r="Q738" i="2" s="1"/>
  <c r="R738" i="2" s="1"/>
  <c r="T738" i="2"/>
  <c r="M785" i="2"/>
  <c r="N785" i="2" s="1"/>
  <c r="Q785" i="2" s="1"/>
  <c r="R785" i="2" s="1"/>
  <c r="T785" i="2"/>
  <c r="M792" i="2"/>
  <c r="N792" i="2" s="1"/>
  <c r="M799" i="2"/>
  <c r="N799" i="2" s="1"/>
  <c r="Q799" i="2" s="1"/>
  <c r="R799" i="2" s="1"/>
  <c r="T799" i="2"/>
  <c r="M914" i="2"/>
  <c r="N914" i="2" s="1"/>
  <c r="Q914" i="2" s="1"/>
  <c r="R914" i="2" s="1"/>
  <c r="T914" i="2"/>
  <c r="M918" i="2"/>
  <c r="N918" i="2" s="1"/>
  <c r="Q918" i="2" s="1"/>
  <c r="R918" i="2" s="1"/>
  <c r="T918" i="2"/>
  <c r="M942" i="2"/>
  <c r="N942" i="2" s="1"/>
  <c r="T942" i="2"/>
  <c r="T946" i="2"/>
  <c r="M946" i="2"/>
  <c r="N946" i="2" s="1"/>
  <c r="Q946" i="2" s="1"/>
  <c r="R946" i="2" s="1"/>
  <c r="M38" i="2"/>
  <c r="N38" i="2" s="1"/>
  <c r="Q38" i="2" s="1"/>
  <c r="R38" i="2" s="1"/>
  <c r="T38" i="2"/>
  <c r="M156" i="2"/>
  <c r="N156" i="2" s="1"/>
  <c r="Q156" i="2" s="1"/>
  <c r="R156" i="2" s="1"/>
  <c r="T156" i="2"/>
  <c r="M287" i="2"/>
  <c r="N287" i="2" s="1"/>
  <c r="Q287" i="2" s="1"/>
  <c r="R287" i="2" s="1"/>
  <c r="T287" i="2"/>
  <c r="M306" i="2"/>
  <c r="N306" i="2" s="1"/>
  <c r="Q306" i="2" s="1"/>
  <c r="R306" i="2" s="1"/>
  <c r="T306" i="2"/>
  <c r="M348" i="2"/>
  <c r="N348" i="2" s="1"/>
  <c r="T348" i="2"/>
  <c r="M435" i="2"/>
  <c r="N435" i="2" s="1"/>
  <c r="T435" i="2"/>
  <c r="M501" i="2"/>
  <c r="N501" i="2" s="1"/>
  <c r="T501" i="2"/>
  <c r="M840" i="2"/>
  <c r="N840" i="2" s="1"/>
  <c r="Q840" i="2" s="1"/>
  <c r="R840" i="2" s="1"/>
  <c r="T840" i="2"/>
  <c r="T932" i="2"/>
  <c r="M932" i="2"/>
  <c r="N932" i="2" s="1"/>
  <c r="Q932" i="2" s="1"/>
  <c r="R932" i="2" s="1"/>
  <c r="M7" i="2"/>
  <c r="N7" i="2" s="1"/>
  <c r="Q7" i="2" s="1"/>
  <c r="R7" i="2" s="1"/>
  <c r="T7" i="2"/>
  <c r="M125" i="2"/>
  <c r="N125" i="2" s="1"/>
  <c r="Q125" i="2" s="1"/>
  <c r="R125" i="2" s="1"/>
  <c r="T125" i="2"/>
  <c r="M141" i="2"/>
  <c r="N141" i="2" s="1"/>
  <c r="Q141" i="2" s="1"/>
  <c r="R141" i="2" s="1"/>
  <c r="T141" i="2"/>
  <c r="M345" i="2"/>
  <c r="N345" i="2" s="1"/>
  <c r="Q345" i="2" s="1"/>
  <c r="R345" i="2" s="1"/>
  <c r="T345" i="2"/>
  <c r="M428" i="2"/>
  <c r="N428" i="2" s="1"/>
  <c r="Q428" i="2" s="1"/>
  <c r="R428" i="2" s="1"/>
  <c r="T428" i="2"/>
  <c r="M662" i="2"/>
  <c r="N662" i="2" s="1"/>
  <c r="Q662" i="2" s="1"/>
  <c r="R662" i="2" s="1"/>
  <c r="T662" i="2"/>
  <c r="M894" i="2"/>
  <c r="N894" i="2" s="1"/>
  <c r="Q894" i="2" s="1"/>
  <c r="R894" i="2" s="1"/>
  <c r="T894" i="2"/>
  <c r="T991" i="2"/>
  <c r="M991" i="2"/>
  <c r="N991" i="2" s="1"/>
  <c r="Q991" i="2" s="1"/>
  <c r="R991" i="2" s="1"/>
  <c r="M149" i="2"/>
  <c r="N149" i="2" s="1"/>
  <c r="T149" i="2"/>
  <c r="M391" i="2"/>
  <c r="N391" i="2" s="1"/>
  <c r="Q391" i="2" s="1"/>
  <c r="R391" i="2" s="1"/>
  <c r="T391" i="2"/>
  <c r="M402" i="2"/>
  <c r="N402" i="2" s="1"/>
  <c r="Q402" i="2" s="1"/>
  <c r="R402" i="2" s="1"/>
  <c r="T402" i="2"/>
  <c r="M417" i="2"/>
  <c r="N417" i="2" s="1"/>
  <c r="Q417" i="2" s="1"/>
  <c r="R417" i="2" s="1"/>
  <c r="T417" i="2"/>
  <c r="T432" i="2"/>
  <c r="M432" i="2"/>
  <c r="N432" i="2" s="1"/>
  <c r="Q432" i="2" s="1"/>
  <c r="R432" i="2" s="1"/>
  <c r="M486" i="2"/>
  <c r="N486" i="2" s="1"/>
  <c r="T486" i="2"/>
  <c r="M575" i="2"/>
  <c r="N575" i="2" s="1"/>
  <c r="Q575" i="2" s="1"/>
  <c r="R575" i="2" s="1"/>
  <c r="T575" i="2"/>
  <c r="M590" i="2"/>
  <c r="N590" i="2" s="1"/>
  <c r="Q590" i="2" s="1"/>
  <c r="R590" i="2" s="1"/>
  <c r="T590" i="2"/>
  <c r="M635" i="2"/>
  <c r="N635" i="2" s="1"/>
  <c r="T635" i="2"/>
  <c r="M651" i="2"/>
  <c r="N651" i="2" s="1"/>
  <c r="Q651" i="2" s="1"/>
  <c r="R651" i="2" s="1"/>
  <c r="T651" i="2"/>
  <c r="M741" i="2"/>
  <c r="N741" i="2" s="1"/>
  <c r="Q741" i="2" s="1"/>
  <c r="R741" i="2" s="1"/>
  <c r="T741" i="2"/>
  <c r="M810" i="2"/>
  <c r="N810" i="2" s="1"/>
  <c r="Q810" i="2" s="1"/>
  <c r="R810" i="2" s="1"/>
  <c r="T810" i="2"/>
  <c r="M825" i="2"/>
  <c r="N825" i="2" s="1"/>
  <c r="Q825" i="2" s="1"/>
  <c r="R825" i="2" s="1"/>
  <c r="T825" i="2"/>
  <c r="M921" i="2"/>
  <c r="N921" i="2" s="1"/>
  <c r="Q921" i="2" s="1"/>
  <c r="R921" i="2" s="1"/>
  <c r="T921" i="2"/>
  <c r="M957" i="2"/>
  <c r="N957" i="2" s="1"/>
  <c r="Q957" i="2" s="1"/>
  <c r="R957" i="2" s="1"/>
  <c r="T957" i="2"/>
  <c r="M8" i="2"/>
  <c r="N8" i="2" s="1"/>
  <c r="T8" i="2"/>
  <c r="M114" i="2"/>
  <c r="N114" i="2" s="1"/>
  <c r="Q114" i="2" s="1"/>
  <c r="R114" i="2" s="1"/>
  <c r="T114" i="2"/>
  <c r="M130" i="2"/>
  <c r="N130" i="2" s="1"/>
  <c r="T130" i="2"/>
  <c r="M259" i="2"/>
  <c r="N259" i="2" s="1"/>
  <c r="Q259" i="2" s="1"/>
  <c r="R259" i="2" s="1"/>
  <c r="T259" i="2"/>
  <c r="Q379" i="2"/>
  <c r="R379" i="2" s="1"/>
  <c r="M399" i="2"/>
  <c r="N399" i="2" s="1"/>
  <c r="Q399" i="2" s="1"/>
  <c r="R399" i="2" s="1"/>
  <c r="T399" i="2"/>
  <c r="M406" i="2"/>
  <c r="N406" i="2" s="1"/>
  <c r="Q406" i="2" s="1"/>
  <c r="R406" i="2" s="1"/>
  <c r="M556" i="2"/>
  <c r="N556" i="2" s="1"/>
  <c r="T556" i="2"/>
  <c r="M597" i="2"/>
  <c r="N597" i="2" s="1"/>
  <c r="Q597" i="2" s="1"/>
  <c r="R597" i="2" s="1"/>
  <c r="T597" i="2"/>
  <c r="M694" i="2"/>
  <c r="N694" i="2" s="1"/>
  <c r="Q694" i="2" s="1"/>
  <c r="R694" i="2" s="1"/>
  <c r="T694" i="2"/>
  <c r="M822" i="2"/>
  <c r="N822" i="2" s="1"/>
  <c r="Q822" i="2" s="1"/>
  <c r="R822" i="2" s="1"/>
  <c r="T822" i="2"/>
  <c r="M887" i="2"/>
  <c r="N887" i="2" s="1"/>
  <c r="Q887" i="2" s="1"/>
  <c r="R887" i="2" s="1"/>
  <c r="T887" i="2"/>
  <c r="M64" i="2"/>
  <c r="N64" i="2" s="1"/>
  <c r="Q64" i="2" s="1"/>
  <c r="R64" i="2" s="1"/>
  <c r="T64" i="2"/>
  <c r="M87" i="2"/>
  <c r="N87" i="2" s="1"/>
  <c r="Q87" i="2" s="1"/>
  <c r="R87" i="2" s="1"/>
  <c r="T87" i="2"/>
  <c r="M72" i="2"/>
  <c r="N72" i="2" s="1"/>
  <c r="Q72" i="2" s="1"/>
  <c r="R72" i="2" s="1"/>
  <c r="T72" i="2"/>
  <c r="M76" i="2"/>
  <c r="N76" i="2" s="1"/>
  <c r="Q76" i="2" s="1"/>
  <c r="R76" i="2" s="1"/>
  <c r="T76" i="2"/>
  <c r="M91" i="2"/>
  <c r="N91" i="2" s="1"/>
  <c r="Q91" i="2" s="1"/>
  <c r="R91" i="2" s="1"/>
  <c r="T91" i="2"/>
  <c r="M95" i="2"/>
  <c r="N95" i="2" s="1"/>
  <c r="Q95" i="2" s="1"/>
  <c r="R95" i="2" s="1"/>
  <c r="T95" i="2"/>
  <c r="M99" i="2"/>
  <c r="N99" i="2" s="1"/>
  <c r="T99" i="2"/>
  <c r="M103" i="2"/>
  <c r="N103" i="2" s="1"/>
  <c r="Q103" i="2" s="1"/>
  <c r="R103" i="2" s="1"/>
  <c r="T103" i="2"/>
  <c r="M178" i="2"/>
  <c r="N178" i="2" s="1"/>
  <c r="Q178" i="2" s="1"/>
  <c r="R178" i="2" s="1"/>
  <c r="T178" i="2"/>
  <c r="M182" i="2"/>
  <c r="N182" i="2" s="1"/>
  <c r="Q182" i="2" s="1"/>
  <c r="R182" i="2" s="1"/>
  <c r="T182" i="2"/>
  <c r="M189" i="2"/>
  <c r="N189" i="2" s="1"/>
  <c r="T189" i="2"/>
  <c r="M193" i="2"/>
  <c r="N193" i="2" s="1"/>
  <c r="Q193" i="2" s="1"/>
  <c r="R193" i="2" s="1"/>
  <c r="T193" i="2"/>
  <c r="M197" i="2"/>
  <c r="N197" i="2" s="1"/>
  <c r="Q197" i="2" s="1"/>
  <c r="R197" i="2" s="1"/>
  <c r="T197" i="2"/>
  <c r="M201" i="2"/>
  <c r="N201" i="2" s="1"/>
  <c r="T201" i="2"/>
  <c r="M212" i="2"/>
  <c r="N212" i="2" s="1"/>
  <c r="Q212" i="2" s="1"/>
  <c r="R212" i="2" s="1"/>
  <c r="T212" i="2"/>
  <c r="M216" i="2"/>
  <c r="N216" i="2" s="1"/>
  <c r="Q216" i="2" s="1"/>
  <c r="R216" i="2" s="1"/>
  <c r="T216" i="2"/>
  <c r="M220" i="2"/>
  <c r="N220" i="2" s="1"/>
  <c r="Q220" i="2" s="1"/>
  <c r="R220" i="2" s="1"/>
  <c r="T220" i="2"/>
  <c r="M224" i="2"/>
  <c r="N224" i="2" s="1"/>
  <c r="Q224" i="2" s="1"/>
  <c r="R224" i="2" s="1"/>
  <c r="T224" i="2"/>
  <c r="M228" i="2"/>
  <c r="N228" i="2" s="1"/>
  <c r="Q228" i="2" s="1"/>
  <c r="R228" i="2" s="1"/>
  <c r="T228" i="2"/>
  <c r="M232" i="2"/>
  <c r="N232" i="2" s="1"/>
  <c r="T232" i="2"/>
  <c r="M236" i="2"/>
  <c r="N236" i="2" s="1"/>
  <c r="Q236" i="2" s="1"/>
  <c r="R236" i="2" s="1"/>
  <c r="T236" i="2"/>
  <c r="M240" i="2"/>
  <c r="N240" i="2" s="1"/>
  <c r="Q240" i="2" s="1"/>
  <c r="R240" i="2" s="1"/>
  <c r="T240" i="2"/>
  <c r="M244" i="2"/>
  <c r="N244" i="2" s="1"/>
  <c r="Q244" i="2" s="1"/>
  <c r="R244" i="2" s="1"/>
  <c r="T244" i="2"/>
  <c r="M248" i="2"/>
  <c r="N248" i="2" s="1"/>
  <c r="Q248" i="2" s="1"/>
  <c r="R248" i="2" s="1"/>
  <c r="T248" i="2"/>
  <c r="M252" i="2"/>
  <c r="N252" i="2" s="1"/>
  <c r="Q252" i="2" s="1"/>
  <c r="R252" i="2" s="1"/>
  <c r="T252" i="2"/>
  <c r="M256" i="2"/>
  <c r="N256" i="2" s="1"/>
  <c r="Q256" i="2" s="1"/>
  <c r="R256" i="2" s="1"/>
  <c r="T256" i="2"/>
  <c r="M260" i="2"/>
  <c r="N260" i="2" s="1"/>
  <c r="Q260" i="2" s="1"/>
  <c r="R260" i="2" s="1"/>
  <c r="T260" i="2"/>
  <c r="M358" i="2"/>
  <c r="N358" i="2" s="1"/>
  <c r="Q358" i="2" s="1"/>
  <c r="R358" i="2" s="1"/>
  <c r="T358" i="2"/>
  <c r="M362" i="2"/>
  <c r="N362" i="2" s="1"/>
  <c r="Q362" i="2" s="1"/>
  <c r="R362" i="2" s="1"/>
  <c r="T362" i="2"/>
  <c r="T366" i="2"/>
  <c r="M366" i="2"/>
  <c r="N366" i="2" s="1"/>
  <c r="Q366" i="2" s="1"/>
  <c r="R366" i="2" s="1"/>
  <c r="M476" i="2"/>
  <c r="N476" i="2" s="1"/>
  <c r="Q476" i="2" s="1"/>
  <c r="R476" i="2" s="1"/>
  <c r="T476" i="2"/>
  <c r="M511" i="2"/>
  <c r="N511" i="2" s="1"/>
  <c r="Q511" i="2" s="1"/>
  <c r="R511" i="2" s="1"/>
  <c r="T511" i="2"/>
  <c r="M518" i="2"/>
  <c r="N518" i="2" s="1"/>
  <c r="Q518" i="2" s="1"/>
  <c r="R518" i="2" s="1"/>
  <c r="T518" i="2"/>
  <c r="M522" i="2"/>
  <c r="N522" i="2" s="1"/>
  <c r="Q522" i="2" s="1"/>
  <c r="R522" i="2" s="1"/>
  <c r="T522" i="2"/>
  <c r="M526" i="2"/>
  <c r="N526" i="2" s="1"/>
  <c r="Q526" i="2" s="1"/>
  <c r="R526" i="2" s="1"/>
  <c r="T526" i="2"/>
  <c r="M530" i="2"/>
  <c r="N530" i="2" s="1"/>
  <c r="Q530" i="2" s="1"/>
  <c r="R530" i="2" s="1"/>
  <c r="T530" i="2"/>
  <c r="M545" i="2"/>
  <c r="N545" i="2" s="1"/>
  <c r="Q545" i="2" s="1"/>
  <c r="R545" i="2" s="1"/>
  <c r="T545" i="2"/>
  <c r="M549" i="2"/>
  <c r="N549" i="2" s="1"/>
  <c r="Q549" i="2" s="1"/>
  <c r="R549" i="2" s="1"/>
  <c r="T549" i="2"/>
  <c r="M553" i="2"/>
  <c r="N553" i="2" s="1"/>
  <c r="Q553" i="2" s="1"/>
  <c r="R553" i="2" s="1"/>
  <c r="T553" i="2"/>
  <c r="M557" i="2"/>
  <c r="N557" i="2" s="1"/>
  <c r="Q557" i="2" s="1"/>
  <c r="R557" i="2" s="1"/>
  <c r="T557" i="2"/>
  <c r="M561" i="2"/>
  <c r="N561" i="2" s="1"/>
  <c r="Q561" i="2" s="1"/>
  <c r="R561" i="2" s="1"/>
  <c r="T561" i="2"/>
  <c r="M668" i="2"/>
  <c r="N668" i="2" s="1"/>
  <c r="Q668" i="2" s="1"/>
  <c r="R668" i="2" s="1"/>
  <c r="T668" i="2"/>
  <c r="M672" i="2"/>
  <c r="N672" i="2" s="1"/>
  <c r="T672" i="2"/>
  <c r="M687" i="2"/>
  <c r="N687" i="2" s="1"/>
  <c r="Q687" i="2" s="1"/>
  <c r="R687" i="2" s="1"/>
  <c r="T687" i="2"/>
  <c r="M712" i="2"/>
  <c r="N712" i="2" s="1"/>
  <c r="Q712" i="2" s="1"/>
  <c r="R712" i="2" s="1"/>
  <c r="T712" i="2"/>
  <c r="M716" i="2"/>
  <c r="N716" i="2" s="1"/>
  <c r="Q716" i="2" s="1"/>
  <c r="R716" i="2" s="1"/>
  <c r="T716" i="2"/>
  <c r="M720" i="2"/>
  <c r="N720" i="2" s="1"/>
  <c r="T720" i="2"/>
  <c r="M731" i="2"/>
  <c r="N731" i="2" s="1"/>
  <c r="Q731" i="2" s="1"/>
  <c r="R731" i="2" s="1"/>
  <c r="M770" i="2"/>
  <c r="N770" i="2" s="1"/>
  <c r="T770" i="2"/>
  <c r="M774" i="2"/>
  <c r="N774" i="2" s="1"/>
  <c r="Q774" i="2" s="1"/>
  <c r="R774" i="2" s="1"/>
  <c r="T774" i="2"/>
  <c r="M778" i="2"/>
  <c r="N778" i="2" s="1"/>
  <c r="T778" i="2"/>
  <c r="M789" i="2"/>
  <c r="N789" i="2" s="1"/>
  <c r="Q789" i="2" s="1"/>
  <c r="R789" i="2" s="1"/>
  <c r="M865" i="2"/>
  <c r="N865" i="2" s="1"/>
  <c r="T865" i="2"/>
  <c r="M872" i="2"/>
  <c r="N872" i="2" s="1"/>
  <c r="Q872" i="2" s="1"/>
  <c r="R872" i="2" s="1"/>
  <c r="T872" i="2"/>
  <c r="M876" i="2"/>
  <c r="N876" i="2" s="1"/>
  <c r="Q876" i="2" s="1"/>
  <c r="R876" i="2" s="1"/>
  <c r="T876" i="2"/>
  <c r="M907" i="2"/>
  <c r="N907" i="2" s="1"/>
  <c r="Q907" i="2" s="1"/>
  <c r="R907" i="2" s="1"/>
  <c r="T907" i="2"/>
  <c r="M911" i="2"/>
  <c r="N911" i="2" s="1"/>
  <c r="Q911" i="2" s="1"/>
  <c r="R911" i="2" s="1"/>
  <c r="T911" i="2"/>
  <c r="M30" i="2"/>
  <c r="N30" i="2" s="1"/>
  <c r="Q30" i="2" s="1"/>
  <c r="R30" i="2" s="1"/>
  <c r="T30" i="2"/>
  <c r="M148" i="2"/>
  <c r="N148" i="2" s="1"/>
  <c r="Q148" i="2" s="1"/>
  <c r="R148" i="2" s="1"/>
  <c r="T148" i="2"/>
  <c r="M291" i="2"/>
  <c r="N291" i="2" s="1"/>
  <c r="Q291" i="2" s="1"/>
  <c r="R291" i="2" s="1"/>
  <c r="T291" i="2"/>
  <c r="M302" i="2"/>
  <c r="N302" i="2" s="1"/>
  <c r="Q302" i="2" s="1"/>
  <c r="R302" i="2" s="1"/>
  <c r="T302" i="2"/>
  <c r="M310" i="2"/>
  <c r="N310" i="2" s="1"/>
  <c r="Q310" i="2" s="1"/>
  <c r="R310" i="2" s="1"/>
  <c r="T310" i="2"/>
  <c r="M352" i="2"/>
  <c r="N352" i="2" s="1"/>
  <c r="Q352" i="2" s="1"/>
  <c r="R352" i="2" s="1"/>
  <c r="T352" i="2"/>
  <c r="M497" i="2"/>
  <c r="N497" i="2" s="1"/>
  <c r="Q497" i="2" s="1"/>
  <c r="R497" i="2" s="1"/>
  <c r="T497" i="2"/>
  <c r="M611" i="2"/>
  <c r="N611" i="2" s="1"/>
  <c r="Q611" i="2" s="1"/>
  <c r="R611" i="2" s="1"/>
  <c r="T611" i="2"/>
  <c r="M859" i="2"/>
  <c r="N859" i="2" s="1"/>
  <c r="Q859" i="2" s="1"/>
  <c r="R859" i="2" s="1"/>
  <c r="T859" i="2"/>
  <c r="M928" i="2"/>
  <c r="N928" i="2" s="1"/>
  <c r="Q928" i="2" s="1"/>
  <c r="R928" i="2" s="1"/>
  <c r="T928" i="2"/>
  <c r="M11" i="2"/>
  <c r="N11" i="2" s="1"/>
  <c r="T11" i="2"/>
  <c r="M137" i="2"/>
  <c r="N137" i="2" s="1"/>
  <c r="Q137" i="2" s="1"/>
  <c r="R137" i="2" s="1"/>
  <c r="T137" i="2"/>
  <c r="M318" i="2"/>
  <c r="N318" i="2" s="1"/>
  <c r="Q318" i="2" s="1"/>
  <c r="R318" i="2" s="1"/>
  <c r="M424" i="2"/>
  <c r="N424" i="2" s="1"/>
  <c r="T424" i="2"/>
  <c r="M439" i="2"/>
  <c r="N439" i="2" s="1"/>
  <c r="Q439" i="2" s="1"/>
  <c r="R439" i="2" s="1"/>
  <c r="T666" i="2"/>
  <c r="M666" i="2"/>
  <c r="N666" i="2" s="1"/>
  <c r="M821" i="2"/>
  <c r="N821" i="2" s="1"/>
  <c r="Q821" i="2" s="1"/>
  <c r="R821" i="2" s="1"/>
  <c r="T821" i="2"/>
  <c r="M844" i="2"/>
  <c r="N844" i="2" s="1"/>
  <c r="Q844" i="2" s="1"/>
  <c r="R844" i="2" s="1"/>
  <c r="T844" i="2"/>
  <c r="M890" i="2"/>
  <c r="N890" i="2" s="1"/>
  <c r="Q890" i="2" s="1"/>
  <c r="R890" i="2" s="1"/>
  <c r="T890" i="2"/>
  <c r="M983" i="2"/>
  <c r="N983" i="2" s="1"/>
  <c r="Q983" i="2" s="1"/>
  <c r="R983" i="2" s="1"/>
  <c r="T983" i="2"/>
  <c r="M288" i="2"/>
  <c r="N288" i="2" s="1"/>
  <c r="Q288" i="2" s="1"/>
  <c r="R288" i="2" s="1"/>
  <c r="T288" i="2"/>
  <c r="M409" i="2"/>
  <c r="N409" i="2" s="1"/>
  <c r="Q409" i="2" s="1"/>
  <c r="R409" i="2" s="1"/>
  <c r="T409" i="2"/>
  <c r="M482" i="2"/>
  <c r="N482" i="2" s="1"/>
  <c r="Q482" i="2" s="1"/>
  <c r="R482" i="2" s="1"/>
  <c r="T482" i="2"/>
  <c r="M583" i="2"/>
  <c r="N583" i="2" s="1"/>
  <c r="Q583" i="2" s="1"/>
  <c r="R583" i="2" s="1"/>
  <c r="T583" i="2"/>
  <c r="M639" i="2"/>
  <c r="N639" i="2" s="1"/>
  <c r="Q639" i="2" s="1"/>
  <c r="R639" i="2" s="1"/>
  <c r="T639" i="2"/>
  <c r="M748" i="2"/>
  <c r="N748" i="2" s="1"/>
  <c r="Q748" i="2" s="1"/>
  <c r="R748" i="2" s="1"/>
  <c r="T748" i="2"/>
  <c r="M814" i="2"/>
  <c r="N814" i="2" s="1"/>
  <c r="T814" i="2"/>
  <c r="M837" i="2"/>
  <c r="N837" i="2" s="1"/>
  <c r="Q837" i="2" s="1"/>
  <c r="R837" i="2" s="1"/>
  <c r="T837" i="2"/>
  <c r="T925" i="2"/>
  <c r="M925" i="2"/>
  <c r="N925" i="2" s="1"/>
  <c r="Q925" i="2" s="1"/>
  <c r="R925" i="2" s="1"/>
  <c r="M964" i="2"/>
  <c r="N964" i="2" s="1"/>
  <c r="Q964" i="2" s="1"/>
  <c r="R964" i="2" s="1"/>
  <c r="T964" i="2"/>
  <c r="M110" i="2"/>
  <c r="N110" i="2" s="1"/>
  <c r="Q110" i="2" s="1"/>
  <c r="R110" i="2" s="1"/>
  <c r="T110" i="2"/>
  <c r="M126" i="2"/>
  <c r="N126" i="2" s="1"/>
  <c r="Q126" i="2" s="1"/>
  <c r="R126" i="2" s="1"/>
  <c r="T126" i="2"/>
  <c r="M263" i="2"/>
  <c r="N263" i="2" s="1"/>
  <c r="Q263" i="2" s="1"/>
  <c r="R263" i="2" s="1"/>
  <c r="T263" i="2"/>
  <c r="M365" i="2"/>
  <c r="N365" i="2" s="1"/>
  <c r="Q365" i="2" s="1"/>
  <c r="R365" i="2" s="1"/>
  <c r="T365" i="2"/>
  <c r="M376" i="2"/>
  <c r="N376" i="2" s="1"/>
  <c r="Q376" i="2" s="1"/>
  <c r="R376" i="2" s="1"/>
  <c r="T376" i="2"/>
  <c r="M395" i="2"/>
  <c r="N395" i="2" s="1"/>
  <c r="T429" i="2"/>
  <c r="M429" i="2"/>
  <c r="N429" i="2" s="1"/>
  <c r="Q429" i="2" s="1"/>
  <c r="R429" i="2" s="1"/>
  <c r="M552" i="2"/>
  <c r="N552" i="2" s="1"/>
  <c r="Q552" i="2" s="1"/>
  <c r="R552" i="2" s="1"/>
  <c r="T552" i="2"/>
  <c r="M601" i="2"/>
  <c r="N601" i="2" s="1"/>
  <c r="Q601" i="2" s="1"/>
  <c r="R601" i="2" s="1"/>
  <c r="T601" i="2"/>
  <c r="M659" i="2"/>
  <c r="N659" i="2" s="1"/>
  <c r="Q659" i="2" s="1"/>
  <c r="R659" i="2" s="1"/>
  <c r="M690" i="2"/>
  <c r="N690" i="2" s="1"/>
  <c r="Q690" i="2" s="1"/>
  <c r="R690" i="2" s="1"/>
  <c r="T690" i="2"/>
  <c r="M60" i="2"/>
  <c r="N60" i="2" s="1"/>
  <c r="Q60" i="2" s="1"/>
  <c r="R60" i="2" s="1"/>
  <c r="T60" i="2"/>
  <c r="M79" i="2"/>
  <c r="N79" i="2" s="1"/>
  <c r="Q79" i="2" s="1"/>
  <c r="R79" i="2" s="1"/>
  <c r="T79" i="2"/>
  <c r="M45" i="2"/>
  <c r="N45" i="2" s="1"/>
  <c r="Q45" i="2" s="1"/>
  <c r="R45" i="2" s="1"/>
  <c r="T45" i="2"/>
  <c r="M57" i="2"/>
  <c r="N57" i="2" s="1"/>
  <c r="Q57" i="2" s="1"/>
  <c r="R57" i="2" s="1"/>
  <c r="T57" i="2"/>
  <c r="M61" i="2"/>
  <c r="N61" i="2" s="1"/>
  <c r="Q61" i="2" s="1"/>
  <c r="R61" i="2" s="1"/>
  <c r="T61" i="2"/>
  <c r="M80" i="2"/>
  <c r="N80" i="2" s="1"/>
  <c r="Q80" i="2" s="1"/>
  <c r="R80" i="2" s="1"/>
  <c r="T80" i="2"/>
  <c r="M84" i="2"/>
  <c r="N84" i="2" s="1"/>
  <c r="Q84" i="2" s="1"/>
  <c r="R84" i="2" s="1"/>
  <c r="T84" i="2"/>
  <c r="M347" i="2"/>
  <c r="N347" i="2" s="1"/>
  <c r="Q347" i="2" s="1"/>
  <c r="R347" i="2" s="1"/>
  <c r="T347" i="2"/>
  <c r="M351" i="2"/>
  <c r="N351" i="2" s="1"/>
  <c r="Q351" i="2" s="1"/>
  <c r="R351" i="2" s="1"/>
  <c r="T351" i="2"/>
  <c r="M355" i="2"/>
  <c r="N355" i="2" s="1"/>
  <c r="Q355" i="2" s="1"/>
  <c r="R355" i="2" s="1"/>
  <c r="T355" i="2"/>
  <c r="M453" i="2"/>
  <c r="N453" i="2" s="1"/>
  <c r="Q453" i="2" s="1"/>
  <c r="R453" i="2" s="1"/>
  <c r="T453" i="2"/>
  <c r="M457" i="2"/>
  <c r="N457" i="2" s="1"/>
  <c r="Q457" i="2" s="1"/>
  <c r="R457" i="2" s="1"/>
  <c r="T457" i="2"/>
  <c r="M461" i="2"/>
  <c r="N461" i="2" s="1"/>
  <c r="Q461" i="2" s="1"/>
  <c r="R461" i="2" s="1"/>
  <c r="T461" i="2"/>
  <c r="M465" i="2"/>
  <c r="N465" i="2" s="1"/>
  <c r="Q465" i="2" s="1"/>
  <c r="R465" i="2" s="1"/>
  <c r="T465" i="2"/>
  <c r="M469" i="2"/>
  <c r="N469" i="2" s="1"/>
  <c r="Q469" i="2" s="1"/>
  <c r="R469" i="2" s="1"/>
  <c r="T469" i="2"/>
  <c r="T473" i="2"/>
  <c r="M473" i="2"/>
  <c r="N473" i="2" s="1"/>
  <c r="Q473" i="2" s="1"/>
  <c r="R473" i="2" s="1"/>
  <c r="M504" i="2"/>
  <c r="N504" i="2" s="1"/>
  <c r="Q504" i="2" s="1"/>
  <c r="R504" i="2" s="1"/>
  <c r="T504" i="2"/>
  <c r="M534" i="2"/>
  <c r="N534" i="2" s="1"/>
  <c r="Q534" i="2" s="1"/>
  <c r="R534" i="2" s="1"/>
  <c r="T534" i="2"/>
  <c r="M538" i="2"/>
  <c r="N538" i="2" s="1"/>
  <c r="Q538" i="2" s="1"/>
  <c r="R538" i="2" s="1"/>
  <c r="T538" i="2"/>
  <c r="M621" i="2"/>
  <c r="N621" i="2" s="1"/>
  <c r="Q621" i="2" s="1"/>
  <c r="R621" i="2" s="1"/>
  <c r="T621" i="2"/>
  <c r="M625" i="2"/>
  <c r="N625" i="2" s="1"/>
  <c r="Q625" i="2" s="1"/>
  <c r="R625" i="2" s="1"/>
  <c r="T625" i="2"/>
  <c r="M709" i="2"/>
  <c r="N709" i="2" s="1"/>
  <c r="Q709" i="2" s="1"/>
  <c r="R709" i="2" s="1"/>
  <c r="T709" i="2"/>
  <c r="M761" i="2"/>
  <c r="N761" i="2" s="1"/>
  <c r="T761" i="2"/>
  <c r="M782" i="2"/>
  <c r="N782" i="2" s="1"/>
  <c r="Q782" i="2" s="1"/>
  <c r="R782" i="2" s="1"/>
  <c r="T782" i="2"/>
  <c r="M786" i="2"/>
  <c r="N786" i="2" s="1"/>
  <c r="Q786" i="2" s="1"/>
  <c r="R786" i="2" s="1"/>
  <c r="T786" i="2"/>
  <c r="M854" i="2"/>
  <c r="N854" i="2" s="1"/>
  <c r="Q854" i="2" s="1"/>
  <c r="R854" i="2" s="1"/>
  <c r="T854" i="2"/>
  <c r="M858" i="2"/>
  <c r="N858" i="2" s="1"/>
  <c r="T858" i="2"/>
  <c r="M862" i="2"/>
  <c r="N862" i="2" s="1"/>
  <c r="Q862" i="2" s="1"/>
  <c r="R862" i="2" s="1"/>
  <c r="T862" i="2"/>
  <c r="M935" i="2"/>
  <c r="N935" i="2" s="1"/>
  <c r="Q935" i="2" s="1"/>
  <c r="R935" i="2" s="1"/>
  <c r="T935" i="2"/>
  <c r="M939" i="2"/>
  <c r="N939" i="2" s="1"/>
  <c r="Q939" i="2" s="1"/>
  <c r="R939" i="2" s="1"/>
  <c r="T939" i="2"/>
  <c r="M34" i="2"/>
  <c r="N34" i="2" s="1"/>
  <c r="T34" i="2"/>
  <c r="M283" i="2"/>
  <c r="N283" i="2" s="1"/>
  <c r="Q283" i="2" s="1"/>
  <c r="R283" i="2" s="1"/>
  <c r="T283" i="2"/>
  <c r="M314" i="2"/>
  <c r="N314" i="2" s="1"/>
  <c r="Q314" i="2" s="1"/>
  <c r="R314" i="2" s="1"/>
  <c r="T314" i="2"/>
  <c r="M431" i="2"/>
  <c r="N431" i="2" s="1"/>
  <c r="Q431" i="2" s="1"/>
  <c r="R431" i="2" s="1"/>
  <c r="T431" i="2"/>
  <c r="M493" i="2"/>
  <c r="N493" i="2" s="1"/>
  <c r="T493" i="2"/>
  <c r="M505" i="2"/>
  <c r="N505" i="2" s="1"/>
  <c r="Q505" i="2" s="1"/>
  <c r="R505" i="2" s="1"/>
  <c r="T505" i="2"/>
  <c r="M615" i="2"/>
  <c r="N615" i="2" s="1"/>
  <c r="Q615" i="2" s="1"/>
  <c r="R615" i="2" s="1"/>
  <c r="T615" i="2"/>
  <c r="M622" i="2"/>
  <c r="N622" i="2" s="1"/>
  <c r="Q622" i="2" s="1"/>
  <c r="R622" i="2" s="1"/>
  <c r="T622" i="2"/>
  <c r="M836" i="2"/>
  <c r="N836" i="2" s="1"/>
  <c r="Q836" i="2" s="1"/>
  <c r="R836" i="2" s="1"/>
  <c r="T836" i="2"/>
  <c r="M851" i="2"/>
  <c r="N851" i="2" s="1"/>
  <c r="Q851" i="2" s="1"/>
  <c r="R851" i="2" s="1"/>
  <c r="T851" i="2"/>
  <c r="M19" i="2"/>
  <c r="N19" i="2" s="1"/>
  <c r="Q19" i="2" s="1"/>
  <c r="R19" i="2" s="1"/>
  <c r="T19" i="2"/>
  <c r="M133" i="2"/>
  <c r="N133" i="2" s="1"/>
  <c r="Q133" i="2" s="1"/>
  <c r="R133" i="2" s="1"/>
  <c r="T133" i="2"/>
  <c r="M280" i="2"/>
  <c r="N280" i="2" s="1"/>
  <c r="T280" i="2"/>
  <c r="M295" i="2"/>
  <c r="N295" i="2" s="1"/>
  <c r="Q295" i="2" s="1"/>
  <c r="R295" i="2" s="1"/>
  <c r="T295" i="2"/>
  <c r="M398" i="2"/>
  <c r="N398" i="2" s="1"/>
  <c r="T398" i="2"/>
  <c r="M443" i="2"/>
  <c r="N443" i="2" s="1"/>
  <c r="Q443" i="2" s="1"/>
  <c r="R443" i="2" s="1"/>
  <c r="T443" i="2"/>
  <c r="M604" i="2"/>
  <c r="N604" i="2" s="1"/>
  <c r="T604" i="2"/>
  <c r="M704" i="2"/>
  <c r="N704" i="2" s="1"/>
  <c r="Q704" i="2" s="1"/>
  <c r="R704" i="2" s="1"/>
  <c r="T704" i="2"/>
  <c r="M817" i="2"/>
  <c r="N817" i="2" s="1"/>
  <c r="Q817" i="2" s="1"/>
  <c r="R817" i="2" s="1"/>
  <c r="T817" i="2"/>
  <c r="M882" i="2"/>
  <c r="N882" i="2" s="1"/>
  <c r="Q882" i="2" s="1"/>
  <c r="R882" i="2" s="1"/>
  <c r="T882" i="2"/>
  <c r="M987" i="2"/>
  <c r="N987" i="2" s="1"/>
  <c r="Q987" i="2" s="1"/>
  <c r="R987" i="2" s="1"/>
  <c r="T987" i="2"/>
  <c r="M284" i="2"/>
  <c r="N284" i="2" s="1"/>
  <c r="T284" i="2"/>
  <c r="M383" i="2"/>
  <c r="N383" i="2" s="1"/>
  <c r="Q383" i="2" s="1"/>
  <c r="R383" i="2" s="1"/>
  <c r="T383" i="2"/>
  <c r="M413" i="2"/>
  <c r="N413" i="2" s="1"/>
  <c r="Q413" i="2" s="1"/>
  <c r="R413" i="2" s="1"/>
  <c r="T413" i="2"/>
  <c r="M494" i="2"/>
  <c r="N494" i="2" s="1"/>
  <c r="Q494" i="2" s="1"/>
  <c r="R494" i="2" s="1"/>
  <c r="T494" i="2"/>
  <c r="M579" i="2"/>
  <c r="N579" i="2" s="1"/>
  <c r="Q579" i="2" s="1"/>
  <c r="R579" i="2" s="1"/>
  <c r="T579" i="2"/>
  <c r="M647" i="2"/>
  <c r="N647" i="2" s="1"/>
  <c r="Q647" i="2" s="1"/>
  <c r="R647" i="2" s="1"/>
  <c r="T647" i="2"/>
  <c r="T752" i="2"/>
  <c r="M752" i="2"/>
  <c r="N752" i="2" s="1"/>
  <c r="Q752" i="2" s="1"/>
  <c r="R752" i="2" s="1"/>
  <c r="M806" i="2"/>
  <c r="N806" i="2" s="1"/>
  <c r="T806" i="2"/>
  <c r="M829" i="2"/>
  <c r="N829" i="2" s="1"/>
  <c r="Q829" i="2" s="1"/>
  <c r="R829" i="2" s="1"/>
  <c r="T829" i="2"/>
  <c r="M949" i="2"/>
  <c r="N949" i="2" s="1"/>
  <c r="Q949" i="2" s="1"/>
  <c r="R949" i="2" s="1"/>
  <c r="T949" i="2"/>
  <c r="M4" i="2"/>
  <c r="N4" i="2" s="1"/>
  <c r="Q4" i="2" s="1"/>
  <c r="R4" i="2" s="1"/>
  <c r="T4" i="2"/>
  <c r="M102" i="2"/>
  <c r="N102" i="2" s="1"/>
  <c r="Q102" i="2" s="1"/>
  <c r="R102" i="2" s="1"/>
  <c r="T102" i="2"/>
  <c r="M118" i="2"/>
  <c r="N118" i="2" s="1"/>
  <c r="Q118" i="2" s="1"/>
  <c r="R118" i="2" s="1"/>
  <c r="T118" i="2"/>
  <c r="M251" i="2"/>
  <c r="N251" i="2" s="1"/>
  <c r="Q251" i="2" s="1"/>
  <c r="R251" i="2" s="1"/>
  <c r="T251" i="2"/>
  <c r="M369" i="2"/>
  <c r="N369" i="2" s="1"/>
  <c r="Q369" i="2" s="1"/>
  <c r="R369" i="2" s="1"/>
  <c r="T369" i="2"/>
  <c r="M421" i="2"/>
  <c r="N421" i="2" s="1"/>
  <c r="Q421" i="2" s="1"/>
  <c r="R421" i="2" s="1"/>
  <c r="T421" i="2"/>
  <c r="M605" i="2"/>
  <c r="N605" i="2" s="1"/>
  <c r="Q605" i="2" s="1"/>
  <c r="R605" i="2" s="1"/>
  <c r="T605" i="2"/>
  <c r="M701" i="2"/>
  <c r="N701" i="2" s="1"/>
  <c r="Q701" i="2" s="1"/>
  <c r="R701" i="2" s="1"/>
  <c r="T701" i="2"/>
  <c r="M818" i="2"/>
  <c r="N818" i="2" s="1"/>
  <c r="Q818" i="2" s="1"/>
  <c r="R818" i="2" s="1"/>
  <c r="T818" i="2"/>
  <c r="M879" i="2"/>
  <c r="N879" i="2" s="1"/>
  <c r="T879" i="2"/>
  <c r="M56" i="2"/>
  <c r="N56" i="2" s="1"/>
  <c r="Q56" i="2" s="1"/>
  <c r="R56" i="2" s="1"/>
  <c r="T56" i="2"/>
  <c r="M41" i="2"/>
  <c r="N41" i="2" s="1"/>
  <c r="Q41" i="2" s="1"/>
  <c r="R41" i="2" s="1"/>
  <c r="T41" i="2"/>
  <c r="M49" i="2"/>
  <c r="N49" i="2" s="1"/>
  <c r="Q49" i="2" s="1"/>
  <c r="R49" i="2" s="1"/>
  <c r="T49" i="2"/>
  <c r="M53" i="2"/>
  <c r="N53" i="2" s="1"/>
  <c r="Q53" i="2" s="1"/>
  <c r="R53" i="2" s="1"/>
  <c r="T53" i="2"/>
  <c r="M65" i="2"/>
  <c r="N65" i="2" s="1"/>
  <c r="Q65" i="2" s="1"/>
  <c r="R65" i="2" s="1"/>
  <c r="T65" i="2"/>
  <c r="M88" i="2"/>
  <c r="N88" i="2" s="1"/>
  <c r="Q88" i="2" s="1"/>
  <c r="R88" i="2" s="1"/>
  <c r="T88" i="2"/>
  <c r="M155" i="2"/>
  <c r="N155" i="2" s="1"/>
  <c r="Q155" i="2" s="1"/>
  <c r="R155" i="2" s="1"/>
  <c r="T155" i="2"/>
  <c r="M186" i="2"/>
  <c r="N186" i="2" s="1"/>
  <c r="T186" i="2"/>
  <c r="M205" i="2"/>
  <c r="N205" i="2" s="1"/>
  <c r="Q205" i="2" s="1"/>
  <c r="R205" i="2" s="1"/>
  <c r="M26" i="2"/>
  <c r="N26" i="2" s="1"/>
  <c r="Q26" i="2" s="1"/>
  <c r="R26" i="2" s="1"/>
  <c r="T26" i="2"/>
  <c r="M159" i="2"/>
  <c r="N159" i="2" s="1"/>
  <c r="Q159" i="2" s="1"/>
  <c r="R159" i="2" s="1"/>
  <c r="M163" i="2"/>
  <c r="N163" i="2" s="1"/>
  <c r="Q163" i="2" s="1"/>
  <c r="R163" i="2" s="1"/>
  <c r="T163" i="2"/>
  <c r="M167" i="2"/>
  <c r="N167" i="2" s="1"/>
  <c r="Q167" i="2" s="1"/>
  <c r="R167" i="2" s="1"/>
  <c r="T167" i="2"/>
  <c r="M171" i="2"/>
  <c r="N171" i="2" s="1"/>
  <c r="Q171" i="2" s="1"/>
  <c r="R171" i="2" s="1"/>
  <c r="T171" i="2"/>
  <c r="M175" i="2"/>
  <c r="N175" i="2" s="1"/>
  <c r="Q175" i="2" s="1"/>
  <c r="R175" i="2" s="1"/>
  <c r="T175" i="2"/>
  <c r="T179" i="2"/>
  <c r="M179" i="2"/>
  <c r="N179" i="2" s="1"/>
  <c r="M298" i="2"/>
  <c r="N298" i="2" s="1"/>
  <c r="Q298" i="2" s="1"/>
  <c r="R298" i="2" s="1"/>
  <c r="T298" i="2"/>
  <c r="M321" i="2"/>
  <c r="N321" i="2" s="1"/>
  <c r="Q321" i="2" s="1"/>
  <c r="R321" i="2" s="1"/>
  <c r="T321" i="2"/>
  <c r="M325" i="2"/>
  <c r="N325" i="2" s="1"/>
  <c r="Q325" i="2" s="1"/>
  <c r="R325" i="2" s="1"/>
  <c r="T325" i="2"/>
  <c r="M329" i="2"/>
  <c r="N329" i="2" s="1"/>
  <c r="Q329" i="2" s="1"/>
  <c r="R329" i="2" s="1"/>
  <c r="T329" i="2"/>
  <c r="M333" i="2"/>
  <c r="N333" i="2" s="1"/>
  <c r="Q333" i="2" s="1"/>
  <c r="R333" i="2" s="1"/>
  <c r="T333" i="2"/>
  <c r="M337" i="2"/>
  <c r="N337" i="2" s="1"/>
  <c r="Q337" i="2" s="1"/>
  <c r="R337" i="2" s="1"/>
  <c r="T337" i="2"/>
  <c r="M344" i="2"/>
  <c r="N344" i="2" s="1"/>
  <c r="Q344" i="2" s="1"/>
  <c r="R344" i="2" s="1"/>
  <c r="T344" i="2"/>
  <c r="T359" i="2"/>
  <c r="M359" i="2"/>
  <c r="N359" i="2" s="1"/>
  <c r="Q359" i="2" s="1"/>
  <c r="R359" i="2" s="1"/>
  <c r="M442" i="2"/>
  <c r="N442" i="2" s="1"/>
  <c r="T442" i="2"/>
  <c r="M446" i="2"/>
  <c r="N446" i="2" s="1"/>
  <c r="Q446" i="2" s="1"/>
  <c r="R446" i="2" s="1"/>
  <c r="T446" i="2"/>
  <c r="M508" i="2"/>
  <c r="N508" i="2" s="1"/>
  <c r="Q508" i="2" s="1"/>
  <c r="R508" i="2" s="1"/>
  <c r="T508" i="2"/>
  <c r="M512" i="2"/>
  <c r="N512" i="2" s="1"/>
  <c r="Q512" i="2" s="1"/>
  <c r="R512" i="2" s="1"/>
  <c r="T512" i="2"/>
  <c r="M515" i="2"/>
  <c r="N515" i="2" s="1"/>
  <c r="M519" i="2"/>
  <c r="N519" i="2" s="1"/>
  <c r="T519" i="2"/>
  <c r="M523" i="2"/>
  <c r="N523" i="2" s="1"/>
  <c r="Q523" i="2" s="1"/>
  <c r="R523" i="2" s="1"/>
  <c r="T523" i="2"/>
  <c r="M527" i="2"/>
  <c r="N527" i="2" s="1"/>
  <c r="Q527" i="2" s="1"/>
  <c r="R527" i="2" s="1"/>
  <c r="T527" i="2"/>
  <c r="M531" i="2"/>
  <c r="N531" i="2" s="1"/>
  <c r="Q531" i="2" s="1"/>
  <c r="R531" i="2" s="1"/>
  <c r="T531" i="2"/>
  <c r="M542" i="2"/>
  <c r="N542" i="2" s="1"/>
  <c r="Q542" i="2" s="1"/>
  <c r="R542" i="2" s="1"/>
  <c r="T542" i="2"/>
  <c r="M546" i="2"/>
  <c r="N546" i="2" s="1"/>
  <c r="Q546" i="2" s="1"/>
  <c r="R546" i="2" s="1"/>
  <c r="T546" i="2"/>
  <c r="M618" i="2"/>
  <c r="N618" i="2" s="1"/>
  <c r="Q618" i="2" s="1"/>
  <c r="R618" i="2" s="1"/>
  <c r="M665" i="2"/>
  <c r="N665" i="2" s="1"/>
  <c r="Q665" i="2" s="1"/>
  <c r="R665" i="2" s="1"/>
  <c r="T665" i="2"/>
  <c r="T669" i="2"/>
  <c r="M669" i="2"/>
  <c r="N669" i="2" s="1"/>
  <c r="Q669" i="2" s="1"/>
  <c r="R669" i="2" s="1"/>
  <c r="M713" i="2"/>
  <c r="N713" i="2" s="1"/>
  <c r="Q713" i="2" s="1"/>
  <c r="R713" i="2" s="1"/>
  <c r="T713" i="2"/>
  <c r="T717" i="2"/>
  <c r="M717" i="2"/>
  <c r="N717" i="2" s="1"/>
  <c r="Q717" i="2" s="1"/>
  <c r="R717" i="2" s="1"/>
  <c r="M754" i="2"/>
  <c r="N754" i="2" s="1"/>
  <c r="Q754" i="2" s="1"/>
  <c r="R754" i="2" s="1"/>
  <c r="M764" i="2"/>
  <c r="N764" i="2" s="1"/>
  <c r="M771" i="2"/>
  <c r="N771" i="2" s="1"/>
  <c r="T771" i="2"/>
  <c r="M775" i="2"/>
  <c r="N775" i="2" s="1"/>
  <c r="Q775" i="2" s="1"/>
  <c r="R775" i="2" s="1"/>
  <c r="T775" i="2"/>
  <c r="M779" i="2"/>
  <c r="N779" i="2" s="1"/>
  <c r="Q779" i="2" s="1"/>
  <c r="R779" i="2" s="1"/>
  <c r="T779" i="2"/>
  <c r="T869" i="2"/>
  <c r="M869" i="2"/>
  <c r="N869" i="2" s="1"/>
  <c r="Q869" i="2" s="1"/>
  <c r="R869" i="2" s="1"/>
  <c r="M904" i="2"/>
  <c r="N904" i="2" s="1"/>
  <c r="Q904" i="2" s="1"/>
  <c r="R904" i="2" s="1"/>
  <c r="T904" i="2"/>
  <c r="T908" i="2"/>
  <c r="M908" i="2"/>
  <c r="N908" i="2" s="1"/>
  <c r="Q908" i="2" s="1"/>
  <c r="R908" i="2" s="1"/>
  <c r="M950" i="2"/>
  <c r="N950" i="2" s="1"/>
  <c r="Q950" i="2" s="1"/>
  <c r="R950" i="2" s="1"/>
  <c r="T950" i="2"/>
  <c r="M961" i="2"/>
  <c r="N961" i="2" s="1"/>
  <c r="Q961" i="2" s="1"/>
  <c r="R961" i="2" s="1"/>
  <c r="T961" i="2"/>
  <c r="M12" i="2"/>
  <c r="N12" i="2" s="1"/>
  <c r="Q12" i="2" s="1"/>
  <c r="R12" i="2" s="1"/>
  <c r="T12" i="2"/>
  <c r="M35" i="2"/>
  <c r="N35" i="2" s="1"/>
  <c r="Q35" i="2" s="1"/>
  <c r="R35" i="2" s="1"/>
  <c r="T35" i="2"/>
  <c r="M46" i="2"/>
  <c r="N46" i="2" s="1"/>
  <c r="Q46" i="2" s="1"/>
  <c r="R46" i="2" s="1"/>
  <c r="T46" i="2"/>
  <c r="M96" i="2"/>
  <c r="N96" i="2" s="1"/>
  <c r="T96" i="2"/>
  <c r="M111" i="2"/>
  <c r="N111" i="2" s="1"/>
  <c r="Q111" i="2" s="1"/>
  <c r="R111" i="2" s="1"/>
  <c r="T111" i="2"/>
  <c r="M172" i="2"/>
  <c r="N172" i="2" s="1"/>
  <c r="Q172" i="2" s="1"/>
  <c r="R172" i="2" s="1"/>
  <c r="T172" i="2"/>
  <c r="M217" i="2"/>
  <c r="N217" i="2" s="1"/>
  <c r="Q217" i="2" s="1"/>
  <c r="R217" i="2" s="1"/>
  <c r="T217" i="2"/>
  <c r="M229" i="2"/>
  <c r="N229" i="2" s="1"/>
  <c r="Q229" i="2" s="1"/>
  <c r="R229" i="2" s="1"/>
  <c r="T229" i="2"/>
  <c r="M241" i="2"/>
  <c r="N241" i="2" s="1"/>
  <c r="Q241" i="2" s="1"/>
  <c r="R241" i="2" s="1"/>
  <c r="T241" i="2"/>
  <c r="M264" i="2"/>
  <c r="N264" i="2" s="1"/>
  <c r="Q264" i="2" s="1"/>
  <c r="R264" i="2" s="1"/>
  <c r="T264" i="2"/>
  <c r="M296" i="2"/>
  <c r="N296" i="2" s="1"/>
  <c r="Q296" i="2" s="1"/>
  <c r="R296" i="2" s="1"/>
  <c r="T296" i="2"/>
  <c r="M311" i="2"/>
  <c r="N311" i="2" s="1"/>
  <c r="Q311" i="2" s="1"/>
  <c r="R311" i="2" s="1"/>
  <c r="T311" i="2"/>
  <c r="M322" i="2"/>
  <c r="N322" i="2" s="1"/>
  <c r="Q322" i="2" s="1"/>
  <c r="R322" i="2" s="1"/>
  <c r="T322" i="2"/>
  <c r="M334" i="2"/>
  <c r="N334" i="2" s="1"/>
  <c r="Q334" i="2" s="1"/>
  <c r="R334" i="2" s="1"/>
  <c r="T334" i="2"/>
  <c r="M450" i="2"/>
  <c r="N450" i="2" s="1"/>
  <c r="Q450" i="2" s="1"/>
  <c r="R450" i="2" s="1"/>
  <c r="T450" i="2"/>
  <c r="M487" i="2"/>
  <c r="N487" i="2" s="1"/>
  <c r="Q487" i="2" s="1"/>
  <c r="R487" i="2" s="1"/>
  <c r="T487" i="2"/>
  <c r="M498" i="2"/>
  <c r="N498" i="2" s="1"/>
  <c r="Q498" i="2" s="1"/>
  <c r="R498" i="2" s="1"/>
  <c r="T498" i="2"/>
  <c r="M535" i="2"/>
  <c r="N535" i="2" s="1"/>
  <c r="Q535" i="2" s="1"/>
  <c r="R535" i="2" s="1"/>
  <c r="T535" i="2"/>
  <c r="M569" i="2"/>
  <c r="N569" i="2" s="1"/>
  <c r="Q569" i="2" s="1"/>
  <c r="R569" i="2" s="1"/>
  <c r="T569" i="2"/>
  <c r="M598" i="2"/>
  <c r="N598" i="2" s="1"/>
  <c r="Q598" i="2" s="1"/>
  <c r="R598" i="2" s="1"/>
  <c r="T598" i="2"/>
  <c r="M619" i="2"/>
  <c r="N619" i="2" s="1"/>
  <c r="Q619" i="2" s="1"/>
  <c r="R619" i="2" s="1"/>
  <c r="T619" i="2"/>
  <c r="M629" i="2"/>
  <c r="N629" i="2" s="1"/>
  <c r="Q629" i="2" s="1"/>
  <c r="R629" i="2" s="1"/>
  <c r="T629" i="2"/>
  <c r="M680" i="2"/>
  <c r="N680" i="2" s="1"/>
  <c r="Q680" i="2" s="1"/>
  <c r="R680" i="2" s="1"/>
  <c r="T680" i="2"/>
  <c r="M721" i="2"/>
  <c r="N721" i="2" s="1"/>
  <c r="Q721" i="2" s="1"/>
  <c r="R721" i="2" s="1"/>
  <c r="T721" i="2"/>
  <c r="M765" i="2"/>
  <c r="N765" i="2" s="1"/>
  <c r="Q765" i="2" s="1"/>
  <c r="R765" i="2" s="1"/>
  <c r="T765" i="2"/>
  <c r="M803" i="2"/>
  <c r="N803" i="2" s="1"/>
  <c r="Q803" i="2" s="1"/>
  <c r="R803" i="2" s="1"/>
  <c r="T803" i="2"/>
  <c r="Q848" i="2"/>
  <c r="R848" i="2" s="1"/>
  <c r="M866" i="2"/>
  <c r="N866" i="2" s="1"/>
  <c r="Q866" i="2" s="1"/>
  <c r="R866" i="2" s="1"/>
  <c r="T866" i="2"/>
  <c r="M922" i="2"/>
  <c r="N922" i="2" s="1"/>
  <c r="Q922" i="2" s="1"/>
  <c r="R922" i="2" s="1"/>
  <c r="T922" i="2"/>
  <c r="M940" i="2"/>
  <c r="N940" i="2" s="1"/>
  <c r="Q940" i="2" s="1"/>
  <c r="R940" i="2" s="1"/>
  <c r="T940" i="2"/>
  <c r="M996" i="2"/>
  <c r="N996" i="2" s="1"/>
  <c r="Q996" i="2" s="1"/>
  <c r="R996" i="2" s="1"/>
  <c r="T996" i="2"/>
  <c r="M9" i="2"/>
  <c r="N9" i="2" s="1"/>
  <c r="Q9" i="2" s="1"/>
  <c r="R9" i="2" s="1"/>
  <c r="T9" i="2"/>
  <c r="M24" i="2"/>
  <c r="N24" i="2" s="1"/>
  <c r="Q24" i="2" s="1"/>
  <c r="R24" i="2" s="1"/>
  <c r="T24" i="2"/>
  <c r="M43" i="2"/>
  <c r="N43" i="2" s="1"/>
  <c r="Q43" i="2" s="1"/>
  <c r="R43" i="2" s="1"/>
  <c r="T43" i="2"/>
  <c r="M58" i="2"/>
  <c r="N58" i="2" s="1"/>
  <c r="Q58" i="2" s="1"/>
  <c r="R58" i="2" s="1"/>
  <c r="T58" i="2"/>
  <c r="M62" i="2"/>
  <c r="N62" i="2" s="1"/>
  <c r="Q62" i="2" s="1"/>
  <c r="R62" i="2" s="1"/>
  <c r="T62" i="2"/>
  <c r="M66" i="2"/>
  <c r="N66" i="2" s="1"/>
  <c r="Q66" i="2" s="1"/>
  <c r="R66" i="2" s="1"/>
  <c r="T66" i="2"/>
  <c r="M81" i="2"/>
  <c r="N81" i="2" s="1"/>
  <c r="Q81" i="2" s="1"/>
  <c r="R81" i="2" s="1"/>
  <c r="T81" i="2"/>
  <c r="M85" i="2"/>
  <c r="N85" i="2" s="1"/>
  <c r="Q85" i="2" s="1"/>
  <c r="R85" i="2" s="1"/>
  <c r="T85" i="2"/>
  <c r="M89" i="2"/>
  <c r="N89" i="2" s="1"/>
  <c r="Q89" i="2" s="1"/>
  <c r="R89" i="2" s="1"/>
  <c r="T89" i="2"/>
  <c r="M100" i="2"/>
  <c r="N100" i="2" s="1"/>
  <c r="Q100" i="2" s="1"/>
  <c r="R100" i="2" s="1"/>
  <c r="M127" i="2"/>
  <c r="N127" i="2" s="1"/>
  <c r="Q127" i="2" s="1"/>
  <c r="R127" i="2" s="1"/>
  <c r="T127" i="2"/>
  <c r="M131" i="2"/>
  <c r="N131" i="2" s="1"/>
  <c r="Q131" i="2" s="1"/>
  <c r="R131" i="2" s="1"/>
  <c r="T131" i="2"/>
  <c r="M150" i="2"/>
  <c r="N150" i="2" s="1"/>
  <c r="Q150" i="2" s="1"/>
  <c r="R150" i="2" s="1"/>
  <c r="T150" i="2"/>
  <c r="M157" i="2"/>
  <c r="N157" i="2" s="1"/>
  <c r="Q157" i="2" s="1"/>
  <c r="R157" i="2" s="1"/>
  <c r="T157" i="2"/>
  <c r="M206" i="2"/>
  <c r="N206" i="2" s="1"/>
  <c r="Q206" i="2" s="1"/>
  <c r="R206" i="2" s="1"/>
  <c r="T206" i="2"/>
  <c r="M249" i="2"/>
  <c r="N249" i="2" s="1"/>
  <c r="Q249" i="2" s="1"/>
  <c r="R249" i="2" s="1"/>
  <c r="T249" i="2"/>
  <c r="M253" i="2"/>
  <c r="N253" i="2" s="1"/>
  <c r="Q253" i="2" s="1"/>
  <c r="R253" i="2" s="1"/>
  <c r="T253" i="2"/>
  <c r="M257" i="2"/>
  <c r="N257" i="2" s="1"/>
  <c r="Q257" i="2" s="1"/>
  <c r="R257" i="2" s="1"/>
  <c r="T257" i="2"/>
  <c r="M261" i="2"/>
  <c r="N261" i="2" s="1"/>
  <c r="Q261" i="2" s="1"/>
  <c r="R261" i="2" s="1"/>
  <c r="T261" i="2"/>
  <c r="M285" i="2"/>
  <c r="N285" i="2" s="1"/>
  <c r="Q285" i="2" s="1"/>
  <c r="R285" i="2" s="1"/>
  <c r="T285" i="2"/>
  <c r="M289" i="2"/>
  <c r="N289" i="2" s="1"/>
  <c r="T289" i="2"/>
  <c r="M293" i="2"/>
  <c r="N293" i="2" s="1"/>
  <c r="Q293" i="2" s="1"/>
  <c r="R293" i="2" s="1"/>
  <c r="T293" i="2"/>
  <c r="M319" i="2"/>
  <c r="N319" i="2" s="1"/>
  <c r="Q319" i="2" s="1"/>
  <c r="R319" i="2" s="1"/>
  <c r="T319" i="2"/>
  <c r="M342" i="2"/>
  <c r="N342" i="2" s="1"/>
  <c r="Q342" i="2" s="1"/>
  <c r="R342" i="2" s="1"/>
  <c r="T342" i="2"/>
  <c r="M349" i="2"/>
  <c r="N349" i="2" s="1"/>
  <c r="Q349" i="2" s="1"/>
  <c r="R349" i="2" s="1"/>
  <c r="T349" i="2"/>
  <c r="M374" i="2"/>
  <c r="N374" i="2" s="1"/>
  <c r="Q374" i="2" s="1"/>
  <c r="R374" i="2" s="1"/>
  <c r="T374" i="2"/>
  <c r="M381" i="2"/>
  <c r="N381" i="2" s="1"/>
  <c r="Q381" i="2" s="1"/>
  <c r="R381" i="2" s="1"/>
  <c r="T381" i="2"/>
  <c r="M385" i="2"/>
  <c r="N385" i="2" s="1"/>
  <c r="Q385" i="2" s="1"/>
  <c r="R385" i="2" s="1"/>
  <c r="T385" i="2"/>
  <c r="M389" i="2"/>
  <c r="N389" i="2" s="1"/>
  <c r="Q389" i="2" s="1"/>
  <c r="R389" i="2" s="1"/>
  <c r="T389" i="2"/>
  <c r="M396" i="2"/>
  <c r="N396" i="2" s="1"/>
  <c r="Q396" i="2" s="1"/>
  <c r="R396" i="2" s="1"/>
  <c r="T396" i="2"/>
  <c r="M400" i="2"/>
  <c r="N400" i="2" s="1"/>
  <c r="Q400" i="2" s="1"/>
  <c r="R400" i="2" s="1"/>
  <c r="T400" i="2"/>
  <c r="M422" i="2"/>
  <c r="N422" i="2" s="1"/>
  <c r="Q422" i="2" s="1"/>
  <c r="R422" i="2" s="1"/>
  <c r="T422" i="2"/>
  <c r="M426" i="2"/>
  <c r="N426" i="2" s="1"/>
  <c r="Q426" i="2" s="1"/>
  <c r="R426" i="2" s="1"/>
  <c r="T426" i="2"/>
  <c r="M440" i="2"/>
  <c r="N440" i="2" s="1"/>
  <c r="Q440" i="2" s="1"/>
  <c r="R440" i="2" s="1"/>
  <c r="T440" i="2"/>
  <c r="M447" i="2"/>
  <c r="N447" i="2" s="1"/>
  <c r="Q447" i="2" s="1"/>
  <c r="R447" i="2" s="1"/>
  <c r="T447" i="2"/>
  <c r="M454" i="2"/>
  <c r="N454" i="2" s="1"/>
  <c r="Q454" i="2" s="1"/>
  <c r="R454" i="2" s="1"/>
  <c r="T454" i="2"/>
  <c r="M458" i="2"/>
  <c r="N458" i="2" s="1"/>
  <c r="Q458" i="2" s="1"/>
  <c r="R458" i="2" s="1"/>
  <c r="T458" i="2"/>
  <c r="M462" i="2"/>
  <c r="N462" i="2" s="1"/>
  <c r="Q462" i="2" s="1"/>
  <c r="R462" i="2" s="1"/>
  <c r="T462" i="2"/>
  <c r="M466" i="2"/>
  <c r="N466" i="2" s="1"/>
  <c r="Q466" i="2" s="1"/>
  <c r="R466" i="2" s="1"/>
  <c r="T466" i="2"/>
  <c r="M470" i="2"/>
  <c r="N470" i="2" s="1"/>
  <c r="Q470" i="2" s="1"/>
  <c r="R470" i="2" s="1"/>
  <c r="T470" i="2"/>
  <c r="M477" i="2"/>
  <c r="N477" i="2" s="1"/>
  <c r="Q477" i="2" s="1"/>
  <c r="R477" i="2" s="1"/>
  <c r="T477" i="2"/>
  <c r="M484" i="2"/>
  <c r="N484" i="2" s="1"/>
  <c r="Q484" i="2" s="1"/>
  <c r="R484" i="2" s="1"/>
  <c r="T484" i="2"/>
  <c r="M491" i="2"/>
  <c r="N491" i="2" s="1"/>
  <c r="Q491" i="2" s="1"/>
  <c r="R491" i="2" s="1"/>
  <c r="M502" i="2"/>
  <c r="N502" i="2" s="1"/>
  <c r="Q502" i="2" s="1"/>
  <c r="R502" i="2" s="1"/>
  <c r="M509" i="2"/>
  <c r="N509" i="2" s="1"/>
  <c r="Q509" i="2" s="1"/>
  <c r="R509" i="2" s="1"/>
  <c r="T509" i="2"/>
  <c r="M513" i="2"/>
  <c r="N513" i="2" s="1"/>
  <c r="Q513" i="2" s="1"/>
  <c r="R513" i="2" s="1"/>
  <c r="T513" i="2"/>
  <c r="M516" i="2"/>
  <c r="N516" i="2" s="1"/>
  <c r="Q516" i="2" s="1"/>
  <c r="R516" i="2" s="1"/>
  <c r="T516" i="2"/>
  <c r="M520" i="2"/>
  <c r="N520" i="2" s="1"/>
  <c r="Q520" i="2" s="1"/>
  <c r="R520" i="2" s="1"/>
  <c r="T520" i="2"/>
  <c r="M524" i="2"/>
  <c r="N524" i="2" s="1"/>
  <c r="Q524" i="2" s="1"/>
  <c r="R524" i="2" s="1"/>
  <c r="T524" i="2"/>
  <c r="M528" i="2"/>
  <c r="N528" i="2" s="1"/>
  <c r="Q528" i="2" s="1"/>
  <c r="R528" i="2" s="1"/>
  <c r="T528" i="2"/>
  <c r="M532" i="2"/>
  <c r="N532" i="2" s="1"/>
  <c r="Q532" i="2" s="1"/>
  <c r="R532" i="2" s="1"/>
  <c r="T532" i="2"/>
  <c r="M543" i="2"/>
  <c r="N543" i="2" s="1"/>
  <c r="T543" i="2"/>
  <c r="M550" i="2"/>
  <c r="N550" i="2" s="1"/>
  <c r="Q550" i="2" s="1"/>
  <c r="R550" i="2" s="1"/>
  <c r="T550" i="2"/>
  <c r="M554" i="2"/>
  <c r="N554" i="2" s="1"/>
  <c r="T554" i="2"/>
  <c r="M558" i="2"/>
  <c r="N558" i="2" s="1"/>
  <c r="Q558" i="2" s="1"/>
  <c r="R558" i="2" s="1"/>
  <c r="T558" i="2"/>
  <c r="M562" i="2"/>
  <c r="N562" i="2" s="1"/>
  <c r="Q562" i="2" s="1"/>
  <c r="R562" i="2" s="1"/>
  <c r="T562" i="2"/>
  <c r="M573" i="2"/>
  <c r="N573" i="2" s="1"/>
  <c r="Q573" i="2" s="1"/>
  <c r="R573" i="2" s="1"/>
  <c r="T573" i="2"/>
  <c r="M577" i="2"/>
  <c r="N577" i="2" s="1"/>
  <c r="T577" i="2"/>
  <c r="M581" i="2"/>
  <c r="N581" i="2" s="1"/>
  <c r="Q581" i="2" s="1"/>
  <c r="R581" i="2" s="1"/>
  <c r="T581" i="2"/>
  <c r="M585" i="2"/>
  <c r="N585" i="2" s="1"/>
  <c r="Q585" i="2" s="1"/>
  <c r="R585" i="2" s="1"/>
  <c r="T585" i="2"/>
  <c r="M588" i="2"/>
  <c r="N588" i="2" s="1"/>
  <c r="Q588" i="2" s="1"/>
  <c r="R588" i="2" s="1"/>
  <c r="T588" i="2"/>
  <c r="M606" i="2"/>
  <c r="N606" i="2" s="1"/>
  <c r="T606" i="2"/>
  <c r="M613" i="2"/>
  <c r="N613" i="2" s="1"/>
  <c r="Q613" i="2" s="1"/>
  <c r="R613" i="2" s="1"/>
  <c r="T613" i="2"/>
  <c r="M626" i="2"/>
  <c r="N626" i="2" s="1"/>
  <c r="Q626" i="2" s="1"/>
  <c r="R626" i="2" s="1"/>
  <c r="M637" i="2"/>
  <c r="N637" i="2" s="1"/>
  <c r="Q637" i="2" s="1"/>
  <c r="R637" i="2" s="1"/>
  <c r="T637" i="2"/>
  <c r="M641" i="2"/>
  <c r="N641" i="2" s="1"/>
  <c r="Q641" i="2" s="1"/>
  <c r="R641" i="2" s="1"/>
  <c r="T641" i="2"/>
  <c r="M645" i="2"/>
  <c r="N645" i="2" s="1"/>
  <c r="Q645" i="2" s="1"/>
  <c r="R645" i="2" s="1"/>
  <c r="T645" i="2"/>
  <c r="M649" i="2"/>
  <c r="N649" i="2" s="1"/>
  <c r="Q649" i="2" s="1"/>
  <c r="R649" i="2" s="1"/>
  <c r="T649" i="2"/>
  <c r="M653" i="2"/>
  <c r="N653" i="2" s="1"/>
  <c r="Q653" i="2" s="1"/>
  <c r="R653" i="2" s="1"/>
  <c r="T653" i="2"/>
  <c r="M660" i="2"/>
  <c r="N660" i="2" s="1"/>
  <c r="Q660" i="2" s="1"/>
  <c r="R660" i="2" s="1"/>
  <c r="T660" i="2"/>
  <c r="M663" i="2"/>
  <c r="N663" i="2" s="1"/>
  <c r="Q663" i="2" s="1"/>
  <c r="R663" i="2" s="1"/>
  <c r="T663" i="2"/>
  <c r="M673" i="2"/>
  <c r="N673" i="2" s="1"/>
  <c r="Q673" i="2" s="1"/>
  <c r="R673" i="2" s="1"/>
  <c r="T673" i="2"/>
  <c r="M688" i="2"/>
  <c r="N688" i="2" s="1"/>
  <c r="Q688" i="2" s="1"/>
  <c r="R688" i="2" s="1"/>
  <c r="T688" i="2"/>
  <c r="M699" i="2"/>
  <c r="N699" i="2" s="1"/>
  <c r="T699" i="2"/>
  <c r="M702" i="2"/>
  <c r="N702" i="2" s="1"/>
  <c r="Q702" i="2" s="1"/>
  <c r="R702" i="2" s="1"/>
  <c r="T702" i="2"/>
  <c r="M705" i="2"/>
  <c r="N705" i="2" s="1"/>
  <c r="Q705" i="2" s="1"/>
  <c r="R705" i="2" s="1"/>
  <c r="T705" i="2"/>
  <c r="M714" i="2"/>
  <c r="N714" i="2" s="1"/>
  <c r="Q714" i="2" s="1"/>
  <c r="R714" i="2" s="1"/>
  <c r="T714" i="2"/>
  <c r="M725" i="2"/>
  <c r="N725" i="2" s="1"/>
  <c r="Q725" i="2" s="1"/>
  <c r="R725" i="2" s="1"/>
  <c r="T725" i="2"/>
  <c r="M732" i="2"/>
  <c r="N732" i="2" s="1"/>
  <c r="Q732" i="2" s="1"/>
  <c r="R732" i="2" s="1"/>
  <c r="T732" i="2"/>
  <c r="M735" i="2"/>
  <c r="N735" i="2" s="1"/>
  <c r="Q735" i="2" s="1"/>
  <c r="R735" i="2" s="1"/>
  <c r="T735" i="2"/>
  <c r="M749" i="2"/>
  <c r="N749" i="2" s="1"/>
  <c r="Q749" i="2" s="1"/>
  <c r="R749" i="2" s="1"/>
  <c r="T749" i="2"/>
  <c r="M759" i="2"/>
  <c r="N759" i="2" s="1"/>
  <c r="T759" i="2"/>
  <c r="M768" i="2"/>
  <c r="N768" i="2" s="1"/>
  <c r="T768" i="2"/>
  <c r="M772" i="2"/>
  <c r="N772" i="2" s="1"/>
  <c r="Q772" i="2" s="1"/>
  <c r="R772" i="2" s="1"/>
  <c r="T772" i="2"/>
  <c r="M776" i="2"/>
  <c r="N776" i="2" s="1"/>
  <c r="Q776" i="2" s="1"/>
  <c r="R776" i="2" s="1"/>
  <c r="T776" i="2"/>
  <c r="M783" i="2"/>
  <c r="N783" i="2" s="1"/>
  <c r="Q783" i="2" s="1"/>
  <c r="R783" i="2" s="1"/>
  <c r="T783" i="2"/>
  <c r="M787" i="2"/>
  <c r="N787" i="2" s="1"/>
  <c r="Q787" i="2" s="1"/>
  <c r="R787" i="2" s="1"/>
  <c r="T787" i="2"/>
  <c r="M793" i="2"/>
  <c r="N793" i="2" s="1"/>
  <c r="Q793" i="2" s="1"/>
  <c r="R793" i="2" s="1"/>
  <c r="T793" i="2"/>
  <c r="M800" i="2"/>
  <c r="N800" i="2" s="1"/>
  <c r="Q800" i="2" s="1"/>
  <c r="R800" i="2" s="1"/>
  <c r="T800" i="2"/>
  <c r="M819" i="2"/>
  <c r="N819" i="2" s="1"/>
  <c r="Q819" i="2" s="1"/>
  <c r="R819" i="2" s="1"/>
  <c r="T819" i="2"/>
  <c r="M823" i="2"/>
  <c r="N823" i="2" s="1"/>
  <c r="Q823" i="2" s="1"/>
  <c r="R823" i="2" s="1"/>
  <c r="T823" i="2"/>
  <c r="M838" i="2"/>
  <c r="N838" i="2" s="1"/>
  <c r="Q838" i="2" s="1"/>
  <c r="R838" i="2" s="1"/>
  <c r="T838" i="2"/>
  <c r="M849" i="2"/>
  <c r="N849" i="2" s="1"/>
  <c r="Q849" i="2" s="1"/>
  <c r="R849" i="2" s="1"/>
  <c r="T849" i="2"/>
  <c r="M856" i="2"/>
  <c r="N856" i="2" s="1"/>
  <c r="T856" i="2"/>
  <c r="M860" i="2"/>
  <c r="N860" i="2" s="1"/>
  <c r="Q860" i="2" s="1"/>
  <c r="R860" i="2" s="1"/>
  <c r="T860" i="2"/>
  <c r="M863" i="2"/>
  <c r="N863" i="2" s="1"/>
  <c r="Q863" i="2" s="1"/>
  <c r="R863" i="2" s="1"/>
  <c r="T863" i="2"/>
  <c r="M877" i="2"/>
  <c r="N877" i="2" s="1"/>
  <c r="Q877" i="2" s="1"/>
  <c r="R877" i="2" s="1"/>
  <c r="T877" i="2"/>
  <c r="M880" i="2"/>
  <c r="N880" i="2" s="1"/>
  <c r="Q880" i="2" s="1"/>
  <c r="R880" i="2" s="1"/>
  <c r="T880" i="2"/>
  <c r="M884" i="2"/>
  <c r="N884" i="2" s="1"/>
  <c r="Q884" i="2" s="1"/>
  <c r="R884" i="2" s="1"/>
  <c r="T884" i="2"/>
  <c r="M888" i="2"/>
  <c r="N888" i="2" s="1"/>
  <c r="Q888" i="2" s="1"/>
  <c r="R888" i="2" s="1"/>
  <c r="T888" i="2"/>
  <c r="M892" i="2"/>
  <c r="N892" i="2" s="1"/>
  <c r="Q892" i="2" s="1"/>
  <c r="R892" i="2" s="1"/>
  <c r="T892" i="2"/>
  <c r="Q901" i="2"/>
  <c r="R901" i="2" s="1"/>
  <c r="M905" i="2"/>
  <c r="N905" i="2" s="1"/>
  <c r="Q905" i="2" s="1"/>
  <c r="R905" i="2" s="1"/>
  <c r="T905" i="2"/>
  <c r="M919" i="2"/>
  <c r="N919" i="2" s="1"/>
  <c r="Q919" i="2" s="1"/>
  <c r="R919" i="2" s="1"/>
  <c r="M926" i="2"/>
  <c r="N926" i="2" s="1"/>
  <c r="Q926" i="2" s="1"/>
  <c r="R926" i="2" s="1"/>
  <c r="T926" i="2"/>
  <c r="M933" i="2"/>
  <c r="N933" i="2" s="1"/>
  <c r="Q933" i="2" s="1"/>
  <c r="R933" i="2" s="1"/>
  <c r="T933" i="2"/>
  <c r="M947" i="2"/>
  <c r="N947" i="2" s="1"/>
  <c r="Q947" i="2" s="1"/>
  <c r="R947" i="2" s="1"/>
  <c r="T947" i="2"/>
  <c r="M951" i="2"/>
  <c r="N951" i="2" s="1"/>
  <c r="Q951" i="2" s="1"/>
  <c r="R951" i="2" s="1"/>
  <c r="T951" i="2"/>
  <c r="M955" i="2"/>
  <c r="N955" i="2" s="1"/>
  <c r="Q955" i="2" s="1"/>
  <c r="R955" i="2" s="1"/>
  <c r="T955" i="2"/>
  <c r="M5" i="2"/>
  <c r="N5" i="2" s="1"/>
  <c r="Q5" i="2" s="1"/>
  <c r="R5" i="2" s="1"/>
  <c r="T5" i="2"/>
  <c r="M16" i="2"/>
  <c r="N16" i="2" s="1"/>
  <c r="Q16" i="2" s="1"/>
  <c r="R16" i="2" s="1"/>
  <c r="T16" i="2"/>
  <c r="M31" i="2"/>
  <c r="N31" i="2" s="1"/>
  <c r="Q31" i="2" s="1"/>
  <c r="R31" i="2" s="1"/>
  <c r="T31" i="2"/>
  <c r="M54" i="2"/>
  <c r="N54" i="2" s="1"/>
  <c r="Q54" i="2" s="1"/>
  <c r="R54" i="2" s="1"/>
  <c r="T54" i="2"/>
  <c r="M69" i="2"/>
  <c r="N69" i="2" s="1"/>
  <c r="Q69" i="2" s="1"/>
  <c r="R69" i="2" s="1"/>
  <c r="T69" i="2"/>
  <c r="M92" i="2"/>
  <c r="N92" i="2" s="1"/>
  <c r="Q92" i="2" s="1"/>
  <c r="R92" i="2" s="1"/>
  <c r="T92" i="2"/>
  <c r="M107" i="2"/>
  <c r="N107" i="2" s="1"/>
  <c r="Q107" i="2" s="1"/>
  <c r="R107" i="2" s="1"/>
  <c r="T107" i="2"/>
  <c r="M123" i="2"/>
  <c r="N123" i="2" s="1"/>
  <c r="Q123" i="2" s="1"/>
  <c r="R123" i="2" s="1"/>
  <c r="T123" i="2"/>
  <c r="M138" i="2"/>
  <c r="N138" i="2" s="1"/>
  <c r="Q138" i="2" s="1"/>
  <c r="R138" i="2" s="1"/>
  <c r="T138" i="2"/>
  <c r="M146" i="2"/>
  <c r="N146" i="2" s="1"/>
  <c r="Q146" i="2" s="1"/>
  <c r="R146" i="2" s="1"/>
  <c r="T146" i="2"/>
  <c r="M168" i="2"/>
  <c r="N168" i="2" s="1"/>
  <c r="Q168" i="2" s="1"/>
  <c r="R168" i="2" s="1"/>
  <c r="T168" i="2"/>
  <c r="M190" i="2"/>
  <c r="N190" i="2" s="1"/>
  <c r="T190" i="2"/>
  <c r="M198" i="2"/>
  <c r="N198" i="2" s="1"/>
  <c r="Q198" i="2" s="1"/>
  <c r="R198" i="2" s="1"/>
  <c r="T198" i="2"/>
  <c r="M213" i="2"/>
  <c r="N213" i="2" s="1"/>
  <c r="Q213" i="2" s="1"/>
  <c r="R213" i="2" s="1"/>
  <c r="T213" i="2"/>
  <c r="M233" i="2"/>
  <c r="N233" i="2" s="1"/>
  <c r="Q233" i="2" s="1"/>
  <c r="R233" i="2" s="1"/>
  <c r="T233" i="2"/>
  <c r="M268" i="2"/>
  <c r="N268" i="2" s="1"/>
  <c r="Q268" i="2" s="1"/>
  <c r="R268" i="2" s="1"/>
  <c r="T268" i="2"/>
  <c r="M281" i="2"/>
  <c r="N281" i="2" s="1"/>
  <c r="Q281" i="2" s="1"/>
  <c r="R281" i="2" s="1"/>
  <c r="T281" i="2"/>
  <c r="M299" i="2"/>
  <c r="N299" i="2" s="1"/>
  <c r="T299" i="2"/>
  <c r="M338" i="2"/>
  <c r="N338" i="2" s="1"/>
  <c r="Q338" i="2" s="1"/>
  <c r="R338" i="2" s="1"/>
  <c r="T338" i="2"/>
  <c r="M356" i="2"/>
  <c r="N356" i="2" s="1"/>
  <c r="Q356" i="2" s="1"/>
  <c r="R356" i="2" s="1"/>
  <c r="T356" i="2"/>
  <c r="M403" i="2"/>
  <c r="N403" i="2" s="1"/>
  <c r="Q403" i="2" s="1"/>
  <c r="R403" i="2" s="1"/>
  <c r="T403" i="2"/>
  <c r="M436" i="2"/>
  <c r="N436" i="2" s="1"/>
  <c r="T436" i="2"/>
  <c r="M591" i="2"/>
  <c r="N591" i="2" s="1"/>
  <c r="Q591" i="2" s="1"/>
  <c r="R591" i="2" s="1"/>
  <c r="T591" i="2"/>
  <c r="M676" i="2"/>
  <c r="N676" i="2" s="1"/>
  <c r="Q676" i="2" s="1"/>
  <c r="R676" i="2" s="1"/>
  <c r="T676" i="2"/>
  <c r="M695" i="2"/>
  <c r="N695" i="2" s="1"/>
  <c r="Q695" i="2" s="1"/>
  <c r="R695" i="2" s="1"/>
  <c r="T695" i="2"/>
  <c r="M728" i="2"/>
  <c r="N728" i="2" s="1"/>
  <c r="T728" i="2"/>
  <c r="M742" i="2"/>
  <c r="N742" i="2" s="1"/>
  <c r="Q742" i="2" s="1"/>
  <c r="R742" i="2" s="1"/>
  <c r="T742" i="2"/>
  <c r="M762" i="2"/>
  <c r="N762" i="2" s="1"/>
  <c r="Q762" i="2" s="1"/>
  <c r="R762" i="2" s="1"/>
  <c r="T762" i="2"/>
  <c r="M834" i="2"/>
  <c r="N834" i="2" s="1"/>
  <c r="Q834" i="2" s="1"/>
  <c r="R834" i="2" s="1"/>
  <c r="T834" i="2"/>
  <c r="M845" i="2"/>
  <c r="N845" i="2" s="1"/>
  <c r="Q845" i="2" s="1"/>
  <c r="R845" i="2" s="1"/>
  <c r="T845" i="2"/>
  <c r="M852" i="2"/>
  <c r="N852" i="2" s="1"/>
  <c r="Q852" i="2" s="1"/>
  <c r="R852" i="2" s="1"/>
  <c r="T852" i="2"/>
  <c r="M912" i="2"/>
  <c r="N912" i="2" s="1"/>
  <c r="Q912" i="2" s="1"/>
  <c r="R912" i="2" s="1"/>
  <c r="T912" i="2"/>
  <c r="M2" i="2"/>
  <c r="N2" i="2" s="1"/>
  <c r="Q2" i="2" s="1"/>
  <c r="R2" i="2" s="1"/>
  <c r="T2" i="2"/>
  <c r="M13" i="2"/>
  <c r="N13" i="2" s="1"/>
  <c r="Q13" i="2" s="1"/>
  <c r="R13" i="2" s="1"/>
  <c r="T13" i="2"/>
  <c r="M17" i="2"/>
  <c r="N17" i="2" s="1"/>
  <c r="Q17" i="2" s="1"/>
  <c r="R17" i="2" s="1"/>
  <c r="T17" i="2"/>
  <c r="M21" i="2"/>
  <c r="N21" i="2" s="1"/>
  <c r="Q21" i="2" s="1"/>
  <c r="R21" i="2" s="1"/>
  <c r="T21" i="2"/>
  <c r="M28" i="2"/>
  <c r="N28" i="2" s="1"/>
  <c r="Q28" i="2" s="1"/>
  <c r="R28" i="2" s="1"/>
  <c r="T28" i="2"/>
  <c r="M32" i="2"/>
  <c r="N32" i="2" s="1"/>
  <c r="Q32" i="2" s="1"/>
  <c r="R32" i="2" s="1"/>
  <c r="T32" i="2"/>
  <c r="M36" i="2"/>
  <c r="N36" i="2" s="1"/>
  <c r="Q36" i="2" s="1"/>
  <c r="R36" i="2" s="1"/>
  <c r="T36" i="2"/>
  <c r="M47" i="2"/>
  <c r="N47" i="2" s="1"/>
  <c r="Q47" i="2" s="1"/>
  <c r="R47" i="2" s="1"/>
  <c r="T47" i="2"/>
  <c r="M51" i="2"/>
  <c r="N51" i="2" s="1"/>
  <c r="Q51" i="2" s="1"/>
  <c r="R51" i="2" s="1"/>
  <c r="T51" i="2"/>
  <c r="M70" i="2"/>
  <c r="N70" i="2" s="1"/>
  <c r="T70" i="2"/>
  <c r="M74" i="2"/>
  <c r="N74" i="2" s="1"/>
  <c r="Q74" i="2" s="1"/>
  <c r="R74" i="2" s="1"/>
  <c r="T74" i="2"/>
  <c r="M93" i="2"/>
  <c r="N93" i="2" s="1"/>
  <c r="Q93" i="2" s="1"/>
  <c r="R93" i="2" s="1"/>
  <c r="T93" i="2"/>
  <c r="M97" i="2"/>
  <c r="N97" i="2" s="1"/>
  <c r="Q97" i="2" s="1"/>
  <c r="R97" i="2" s="1"/>
  <c r="T97" i="2"/>
  <c r="M104" i="2"/>
  <c r="N104" i="2" s="1"/>
  <c r="Q104" i="2" s="1"/>
  <c r="R104" i="2" s="1"/>
  <c r="T104" i="2"/>
  <c r="M108" i="2"/>
  <c r="N108" i="2" s="1"/>
  <c r="Q108" i="2" s="1"/>
  <c r="R108" i="2" s="1"/>
  <c r="T108" i="2"/>
  <c r="M112" i="2"/>
  <c r="N112" i="2" s="1"/>
  <c r="Q112" i="2" s="1"/>
  <c r="R112" i="2" s="1"/>
  <c r="T112" i="2"/>
  <c r="M116" i="2"/>
  <c r="N116" i="2" s="1"/>
  <c r="Q116" i="2" s="1"/>
  <c r="R116" i="2" s="1"/>
  <c r="T116" i="2"/>
  <c r="M120" i="2"/>
  <c r="N120" i="2" s="1"/>
  <c r="Q120" i="2" s="1"/>
  <c r="R120" i="2" s="1"/>
  <c r="T120" i="2"/>
  <c r="M135" i="2"/>
  <c r="N135" i="2" s="1"/>
  <c r="T135" i="2"/>
  <c r="M139" i="2"/>
  <c r="N139" i="2" s="1"/>
  <c r="Q139" i="2" s="1"/>
  <c r="R139" i="2" s="1"/>
  <c r="T139" i="2"/>
  <c r="M143" i="2"/>
  <c r="N143" i="2" s="1"/>
  <c r="Q143" i="2" s="1"/>
  <c r="R143" i="2" s="1"/>
  <c r="T143" i="2"/>
  <c r="M161" i="2"/>
  <c r="N161" i="2" s="1"/>
  <c r="Q161" i="2" s="1"/>
  <c r="R161" i="2" s="1"/>
  <c r="T161" i="2"/>
  <c r="M165" i="2"/>
  <c r="N165" i="2" s="1"/>
  <c r="Q165" i="2" s="1"/>
  <c r="R165" i="2" s="1"/>
  <c r="T165" i="2"/>
  <c r="M169" i="2"/>
  <c r="N169" i="2" s="1"/>
  <c r="Q169" i="2" s="1"/>
  <c r="R169" i="2" s="1"/>
  <c r="T169" i="2"/>
  <c r="M173" i="2"/>
  <c r="N173" i="2" s="1"/>
  <c r="Q173" i="2" s="1"/>
  <c r="R173" i="2" s="1"/>
  <c r="T173" i="2"/>
  <c r="M180" i="2"/>
  <c r="N180" i="2" s="1"/>
  <c r="Q180" i="2" s="1"/>
  <c r="R180" i="2" s="1"/>
  <c r="T180" i="2"/>
  <c r="M191" i="2"/>
  <c r="N191" i="2" s="1"/>
  <c r="Q191" i="2" s="1"/>
  <c r="R191" i="2" s="1"/>
  <c r="T191" i="2"/>
  <c r="M195" i="2"/>
  <c r="N195" i="2" s="1"/>
  <c r="Q195" i="2" s="1"/>
  <c r="R195" i="2" s="1"/>
  <c r="T195" i="2"/>
  <c r="M199" i="2"/>
  <c r="N199" i="2" s="1"/>
  <c r="Q199" i="2" s="1"/>
  <c r="R199" i="2" s="1"/>
  <c r="T199" i="2"/>
  <c r="M203" i="2"/>
  <c r="N203" i="2" s="1"/>
  <c r="Q203" i="2" s="1"/>
  <c r="R203" i="2" s="1"/>
  <c r="T203" i="2"/>
  <c r="M210" i="2"/>
  <c r="N210" i="2" s="1"/>
  <c r="Q210" i="2" s="1"/>
  <c r="R210" i="2" s="1"/>
  <c r="T210" i="2"/>
  <c r="M214" i="2"/>
  <c r="N214" i="2" s="1"/>
  <c r="Q214" i="2" s="1"/>
  <c r="R214" i="2" s="1"/>
  <c r="T214" i="2"/>
  <c r="M218" i="2"/>
  <c r="N218" i="2" s="1"/>
  <c r="Q218" i="2" s="1"/>
  <c r="R218" i="2" s="1"/>
  <c r="T218" i="2"/>
  <c r="M222" i="2"/>
  <c r="N222" i="2" s="1"/>
  <c r="Q222" i="2" s="1"/>
  <c r="R222" i="2" s="1"/>
  <c r="T222" i="2"/>
  <c r="M226" i="2"/>
  <c r="N226" i="2" s="1"/>
  <c r="Q226" i="2" s="1"/>
  <c r="R226" i="2" s="1"/>
  <c r="T226" i="2"/>
  <c r="M230" i="2"/>
  <c r="N230" i="2" s="1"/>
  <c r="Q230" i="2" s="1"/>
  <c r="R230" i="2" s="1"/>
  <c r="T230" i="2"/>
  <c r="M234" i="2"/>
  <c r="N234" i="2" s="1"/>
  <c r="Q234" i="2" s="1"/>
  <c r="R234" i="2" s="1"/>
  <c r="T234" i="2"/>
  <c r="M238" i="2"/>
  <c r="N238" i="2" s="1"/>
  <c r="T238" i="2"/>
  <c r="M242" i="2"/>
  <c r="N242" i="2" s="1"/>
  <c r="Q242" i="2" s="1"/>
  <c r="R242" i="2" s="1"/>
  <c r="T242" i="2"/>
  <c r="M246" i="2"/>
  <c r="N246" i="2" s="1"/>
  <c r="Q246" i="2" s="1"/>
  <c r="R246" i="2" s="1"/>
  <c r="T246" i="2"/>
  <c r="M265" i="2"/>
  <c r="N265" i="2" s="1"/>
  <c r="T265" i="2"/>
  <c r="M269" i="2"/>
  <c r="N269" i="2" s="1"/>
  <c r="Q269" i="2" s="1"/>
  <c r="R269" i="2" s="1"/>
  <c r="T269" i="2"/>
  <c r="M272" i="2"/>
  <c r="N272" i="2" s="1"/>
  <c r="Q272" i="2" s="1"/>
  <c r="R272" i="2" s="1"/>
  <c r="T272" i="2"/>
  <c r="M300" i="2"/>
  <c r="N300" i="2" s="1"/>
  <c r="Q300" i="2" s="1"/>
  <c r="R300" i="2" s="1"/>
  <c r="T300" i="2"/>
  <c r="M304" i="2"/>
  <c r="N304" i="2" s="1"/>
  <c r="Q304" i="2" s="1"/>
  <c r="R304" i="2" s="1"/>
  <c r="T304" i="2"/>
  <c r="M308" i="2"/>
  <c r="N308" i="2" s="1"/>
  <c r="Q308" i="2" s="1"/>
  <c r="R308" i="2" s="1"/>
  <c r="T308" i="2"/>
  <c r="M312" i="2"/>
  <c r="N312" i="2" s="1"/>
  <c r="Q312" i="2" s="1"/>
  <c r="R312" i="2" s="1"/>
  <c r="T312" i="2"/>
  <c r="M316" i="2"/>
  <c r="N316" i="2" s="1"/>
  <c r="Q316" i="2" s="1"/>
  <c r="R316" i="2" s="1"/>
  <c r="T316" i="2"/>
  <c r="M323" i="2"/>
  <c r="N323" i="2" s="1"/>
  <c r="Q323" i="2" s="1"/>
  <c r="R323" i="2" s="1"/>
  <c r="T323" i="2"/>
  <c r="M327" i="2"/>
  <c r="N327" i="2" s="1"/>
  <c r="Q327" i="2" s="1"/>
  <c r="R327" i="2" s="1"/>
  <c r="T327" i="2"/>
  <c r="M331" i="2"/>
  <c r="N331" i="2" s="1"/>
  <c r="Q331" i="2" s="1"/>
  <c r="R331" i="2" s="1"/>
  <c r="T331" i="2"/>
  <c r="M335" i="2"/>
  <c r="N335" i="2" s="1"/>
  <c r="Q335" i="2" s="1"/>
  <c r="R335" i="2" s="1"/>
  <c r="T335" i="2"/>
  <c r="M339" i="2"/>
  <c r="N339" i="2" s="1"/>
  <c r="Q339" i="2" s="1"/>
  <c r="R339" i="2" s="1"/>
  <c r="T339" i="2"/>
  <c r="M353" i="2"/>
  <c r="N353" i="2" s="1"/>
  <c r="T353" i="2"/>
  <c r="M360" i="2"/>
  <c r="N360" i="2" s="1"/>
  <c r="Q360" i="2" s="1"/>
  <c r="R360" i="2" s="1"/>
  <c r="T360" i="2"/>
  <c r="M364" i="2"/>
  <c r="N364" i="2" s="1"/>
  <c r="Q364" i="2" s="1"/>
  <c r="R364" i="2" s="1"/>
  <c r="T364" i="2"/>
  <c r="M367" i="2"/>
  <c r="N367" i="2" s="1"/>
  <c r="Q367" i="2" s="1"/>
  <c r="R367" i="2" s="1"/>
  <c r="T367" i="2"/>
  <c r="M371" i="2"/>
  <c r="N371" i="2" s="1"/>
  <c r="Q371" i="2" s="1"/>
  <c r="R371" i="2" s="1"/>
  <c r="T371" i="2"/>
  <c r="M378" i="2"/>
  <c r="N378" i="2" s="1"/>
  <c r="Q378" i="2" s="1"/>
  <c r="R378" i="2" s="1"/>
  <c r="T378" i="2"/>
  <c r="M393" i="2"/>
  <c r="N393" i="2" s="1"/>
  <c r="Q393" i="2" s="1"/>
  <c r="R393" i="2" s="1"/>
  <c r="T393" i="2"/>
  <c r="M404" i="2"/>
  <c r="N404" i="2" s="1"/>
  <c r="T404" i="2"/>
  <c r="M411" i="2"/>
  <c r="N411" i="2" s="1"/>
  <c r="Q411" i="2" s="1"/>
  <c r="R411" i="2" s="1"/>
  <c r="T411" i="2"/>
  <c r="M415" i="2"/>
  <c r="N415" i="2" s="1"/>
  <c r="Q415" i="2" s="1"/>
  <c r="R415" i="2" s="1"/>
  <c r="T415" i="2"/>
  <c r="M430" i="2"/>
  <c r="N430" i="2" s="1"/>
  <c r="Q430" i="2" s="1"/>
  <c r="R430" i="2" s="1"/>
  <c r="T430" i="2"/>
  <c r="M433" i="2"/>
  <c r="N433" i="2" s="1"/>
  <c r="Q433" i="2" s="1"/>
  <c r="R433" i="2" s="1"/>
  <c r="T433" i="2"/>
  <c r="M437" i="2"/>
  <c r="N437" i="2" s="1"/>
  <c r="Q437" i="2" s="1"/>
  <c r="R437" i="2" s="1"/>
  <c r="T437" i="2"/>
  <c r="M444" i="2"/>
  <c r="N444" i="2" s="1"/>
  <c r="Q444" i="2" s="1"/>
  <c r="R444" i="2" s="1"/>
  <c r="T444" i="2"/>
  <c r="M474" i="2"/>
  <c r="N474" i="2" s="1"/>
  <c r="Q474" i="2" s="1"/>
  <c r="R474" i="2" s="1"/>
  <c r="T474" i="2"/>
  <c r="M488" i="2"/>
  <c r="N488" i="2" s="1"/>
  <c r="Q488" i="2" s="1"/>
  <c r="R488" i="2" s="1"/>
  <c r="T488" i="2"/>
  <c r="M495" i="2"/>
  <c r="N495" i="2" s="1"/>
  <c r="Q495" i="2" s="1"/>
  <c r="R495" i="2" s="1"/>
  <c r="T495" i="2"/>
  <c r="M499" i="2"/>
  <c r="N499" i="2" s="1"/>
  <c r="Q499" i="2" s="1"/>
  <c r="R499" i="2" s="1"/>
  <c r="T499" i="2"/>
  <c r="M506" i="2"/>
  <c r="N506" i="2" s="1"/>
  <c r="Q506" i="2" s="1"/>
  <c r="R506" i="2" s="1"/>
  <c r="T506" i="2"/>
  <c r="M536" i="2"/>
  <c r="N536" i="2" s="1"/>
  <c r="T536" i="2"/>
  <c r="M540" i="2"/>
  <c r="N540" i="2" s="1"/>
  <c r="Q540" i="2" s="1"/>
  <c r="R540" i="2" s="1"/>
  <c r="T540" i="2"/>
  <c r="M547" i="2"/>
  <c r="N547" i="2" s="1"/>
  <c r="Q547" i="2" s="1"/>
  <c r="R547" i="2" s="1"/>
  <c r="T547" i="2"/>
  <c r="M566" i="2"/>
  <c r="N566" i="2" s="1"/>
  <c r="Q566" i="2" s="1"/>
  <c r="R566" i="2" s="1"/>
  <c r="T566" i="2"/>
  <c r="M592" i="2"/>
  <c r="N592" i="2" s="1"/>
  <c r="Q592" i="2" s="1"/>
  <c r="R592" i="2" s="1"/>
  <c r="T592" i="2"/>
  <c r="M595" i="2"/>
  <c r="N595" i="2" s="1"/>
  <c r="Q595" i="2" s="1"/>
  <c r="R595" i="2" s="1"/>
  <c r="T595" i="2"/>
  <c r="M599" i="2"/>
  <c r="N599" i="2" s="1"/>
  <c r="Q599" i="2" s="1"/>
  <c r="R599" i="2" s="1"/>
  <c r="T599" i="2"/>
  <c r="M620" i="2"/>
  <c r="N620" i="2" s="1"/>
  <c r="Q620" i="2" s="1"/>
  <c r="R620" i="2" s="1"/>
  <c r="T620" i="2"/>
  <c r="M623" i="2"/>
  <c r="N623" i="2" s="1"/>
  <c r="Q623" i="2" s="1"/>
  <c r="R623" i="2" s="1"/>
  <c r="T623" i="2"/>
  <c r="M630" i="2"/>
  <c r="N630" i="2" s="1"/>
  <c r="Q630" i="2" s="1"/>
  <c r="R630" i="2" s="1"/>
  <c r="T630" i="2"/>
  <c r="M657" i="2"/>
  <c r="N657" i="2" s="1"/>
  <c r="M670" i="2"/>
  <c r="N670" i="2" s="1"/>
  <c r="Q670" i="2" s="1"/>
  <c r="R670" i="2" s="1"/>
  <c r="T670" i="2"/>
  <c r="M677" i="2"/>
  <c r="N677" i="2" s="1"/>
  <c r="Q677" i="2" s="1"/>
  <c r="R677" i="2" s="1"/>
  <c r="T677" i="2"/>
  <c r="M681" i="2"/>
  <c r="N681" i="2" s="1"/>
  <c r="Q681" i="2" s="1"/>
  <c r="R681" i="2" s="1"/>
  <c r="T681" i="2"/>
  <c r="M685" i="2"/>
  <c r="N685" i="2" s="1"/>
  <c r="Q685" i="2" s="1"/>
  <c r="R685" i="2" s="1"/>
  <c r="T685" i="2"/>
  <c r="M692" i="2"/>
  <c r="N692" i="2" s="1"/>
  <c r="Q692" i="2" s="1"/>
  <c r="R692" i="2" s="1"/>
  <c r="T692" i="2"/>
  <c r="M718" i="2"/>
  <c r="N718" i="2" s="1"/>
  <c r="Q718" i="2" s="1"/>
  <c r="R718" i="2" s="1"/>
  <c r="T718" i="2"/>
  <c r="M722" i="2"/>
  <c r="N722" i="2" s="1"/>
  <c r="Q722" i="2" s="1"/>
  <c r="R722" i="2" s="1"/>
  <c r="T722" i="2"/>
  <c r="M729" i="2"/>
  <c r="N729" i="2" s="1"/>
  <c r="Q729" i="2" s="1"/>
  <c r="R729" i="2" s="1"/>
  <c r="T729" i="2"/>
  <c r="M739" i="2"/>
  <c r="N739" i="2" s="1"/>
  <c r="Q739" i="2" s="1"/>
  <c r="R739" i="2" s="1"/>
  <c r="T739" i="2"/>
  <c r="M743" i="2"/>
  <c r="N743" i="2" s="1"/>
  <c r="Q743" i="2" s="1"/>
  <c r="R743" i="2" s="1"/>
  <c r="T743" i="2"/>
  <c r="M756" i="2"/>
  <c r="N756" i="2" s="1"/>
  <c r="Q756" i="2" s="1"/>
  <c r="R756" i="2" s="1"/>
  <c r="T756" i="2"/>
  <c r="M766" i="2"/>
  <c r="N766" i="2" s="1"/>
  <c r="Q766" i="2" s="1"/>
  <c r="R766" i="2" s="1"/>
  <c r="T766" i="2"/>
  <c r="M780" i="2"/>
  <c r="N780" i="2" s="1"/>
  <c r="Q780" i="2" s="1"/>
  <c r="R780" i="2" s="1"/>
  <c r="T780" i="2"/>
  <c r="M797" i="2"/>
  <c r="N797" i="2" s="1"/>
  <c r="Q797" i="2" s="1"/>
  <c r="R797" i="2" s="1"/>
  <c r="T797" i="2"/>
  <c r="M804" i="2"/>
  <c r="N804" i="2" s="1"/>
  <c r="Q804" i="2" s="1"/>
  <c r="R804" i="2" s="1"/>
  <c r="T804" i="2"/>
  <c r="M808" i="2"/>
  <c r="N808" i="2" s="1"/>
  <c r="T808" i="2"/>
  <c r="M812" i="2"/>
  <c r="N812" i="2" s="1"/>
  <c r="Q812" i="2" s="1"/>
  <c r="R812" i="2" s="1"/>
  <c r="T812" i="2"/>
  <c r="M827" i="2"/>
  <c r="N827" i="2" s="1"/>
  <c r="Q827" i="2" s="1"/>
  <c r="R827" i="2" s="1"/>
  <c r="T827" i="2"/>
  <c r="M831" i="2"/>
  <c r="N831" i="2" s="1"/>
  <c r="Q831" i="2" s="1"/>
  <c r="R831" i="2" s="1"/>
  <c r="T831" i="2"/>
  <c r="M842" i="2"/>
  <c r="N842" i="2" s="1"/>
  <c r="Q842" i="2" s="1"/>
  <c r="R842" i="2" s="1"/>
  <c r="T842" i="2"/>
  <c r="M846" i="2"/>
  <c r="N846" i="2" s="1"/>
  <c r="Q846" i="2" s="1"/>
  <c r="R846" i="2" s="1"/>
  <c r="T846" i="2"/>
  <c r="M867" i="2"/>
  <c r="N867" i="2" s="1"/>
  <c r="Q867" i="2" s="1"/>
  <c r="R867" i="2" s="1"/>
  <c r="T867" i="2"/>
  <c r="M870" i="2"/>
  <c r="N870" i="2" s="1"/>
  <c r="Q870" i="2" s="1"/>
  <c r="R870" i="2" s="1"/>
  <c r="T870" i="2"/>
  <c r="M874" i="2"/>
  <c r="N874" i="2" s="1"/>
  <c r="T874" i="2"/>
  <c r="M896" i="2"/>
  <c r="N896" i="2" s="1"/>
  <c r="Q896" i="2" s="1"/>
  <c r="R896" i="2" s="1"/>
  <c r="T896" i="2"/>
  <c r="M899" i="2"/>
  <c r="N899" i="2" s="1"/>
  <c r="Q899" i="2" s="1"/>
  <c r="R899" i="2" s="1"/>
  <c r="T899" i="2"/>
  <c r="M902" i="2"/>
  <c r="N902" i="2" s="1"/>
  <c r="T902" i="2"/>
  <c r="M909" i="2"/>
  <c r="N909" i="2" s="1"/>
  <c r="Q909" i="2" s="1"/>
  <c r="R909" i="2" s="1"/>
  <c r="T909" i="2"/>
  <c r="M916" i="2"/>
  <c r="N916" i="2" s="1"/>
  <c r="Q916" i="2" s="1"/>
  <c r="R916" i="2" s="1"/>
  <c r="T916" i="2"/>
  <c r="M923" i="2"/>
  <c r="N923" i="2" s="1"/>
  <c r="Q923" i="2" s="1"/>
  <c r="R923" i="2" s="1"/>
  <c r="T923" i="2"/>
  <c r="M930" i="2"/>
  <c r="N930" i="2" s="1"/>
  <c r="Q930" i="2" s="1"/>
  <c r="R930" i="2" s="1"/>
  <c r="T930" i="2"/>
  <c r="M937" i="2"/>
  <c r="N937" i="2" s="1"/>
  <c r="T937" i="2"/>
  <c r="M944" i="2"/>
  <c r="N944" i="2" s="1"/>
  <c r="Q944" i="2" s="1"/>
  <c r="R944" i="2" s="1"/>
  <c r="M959" i="2"/>
  <c r="N959" i="2" s="1"/>
  <c r="Q959" i="2" s="1"/>
  <c r="R959" i="2" s="1"/>
  <c r="T959" i="2"/>
  <c r="M966" i="2"/>
  <c r="N966" i="2" s="1"/>
  <c r="Q966" i="2" s="1"/>
  <c r="R966" i="2" s="1"/>
  <c r="T966" i="2"/>
  <c r="M973" i="2"/>
  <c r="N973" i="2" s="1"/>
  <c r="Q973" i="2" s="1"/>
  <c r="R973" i="2" s="1"/>
  <c r="T973" i="2"/>
  <c r="M985" i="2"/>
  <c r="N985" i="2" s="1"/>
  <c r="Q985" i="2" s="1"/>
  <c r="R985" i="2" s="1"/>
  <c r="T985" i="2"/>
  <c r="M989" i="2"/>
  <c r="N989" i="2" s="1"/>
  <c r="Q989" i="2" s="1"/>
  <c r="R989" i="2" s="1"/>
  <c r="T989" i="2"/>
  <c r="M997" i="2"/>
  <c r="N997" i="2" s="1"/>
  <c r="Q997" i="2" s="1"/>
  <c r="R997" i="2" s="1"/>
  <c r="T997" i="2"/>
  <c r="M943" i="2"/>
  <c r="N943" i="2" s="1"/>
  <c r="Q943" i="2" s="1"/>
  <c r="R943" i="2" s="1"/>
  <c r="T943" i="2"/>
  <c r="M27" i="2"/>
  <c r="N27" i="2" s="1"/>
  <c r="Q27" i="2" s="1"/>
  <c r="R27" i="2" s="1"/>
  <c r="T27" i="2"/>
  <c r="M39" i="2"/>
  <c r="N39" i="2" s="1"/>
  <c r="Q39" i="2" s="1"/>
  <c r="R39" i="2" s="1"/>
  <c r="T39" i="2"/>
  <c r="M77" i="2"/>
  <c r="N77" i="2" s="1"/>
  <c r="T77" i="2"/>
  <c r="M115" i="2"/>
  <c r="N115" i="2" s="1"/>
  <c r="Q115" i="2" s="1"/>
  <c r="R115" i="2" s="1"/>
  <c r="T115" i="2"/>
  <c r="M134" i="2"/>
  <c r="N134" i="2" s="1"/>
  <c r="Q134" i="2" s="1"/>
  <c r="R134" i="2" s="1"/>
  <c r="T134" i="2"/>
  <c r="M160" i="2"/>
  <c r="N160" i="2" s="1"/>
  <c r="Q160" i="2" s="1"/>
  <c r="R160" i="2" s="1"/>
  <c r="T160" i="2"/>
  <c r="M176" i="2"/>
  <c r="N176" i="2" s="1"/>
  <c r="Q176" i="2" s="1"/>
  <c r="R176" i="2" s="1"/>
  <c r="T176" i="2"/>
  <c r="M202" i="2"/>
  <c r="N202" i="2" s="1"/>
  <c r="Q202" i="2" s="1"/>
  <c r="R202" i="2" s="1"/>
  <c r="T202" i="2"/>
  <c r="M221" i="2"/>
  <c r="N221" i="2" s="1"/>
  <c r="Q221" i="2" s="1"/>
  <c r="R221" i="2" s="1"/>
  <c r="T221" i="2"/>
  <c r="M245" i="2"/>
  <c r="N245" i="2" s="1"/>
  <c r="Q245" i="2" s="1"/>
  <c r="R245" i="2" s="1"/>
  <c r="T245" i="2"/>
  <c r="M271" i="2"/>
  <c r="N271" i="2" s="1"/>
  <c r="Q271" i="2" s="1"/>
  <c r="R271" i="2" s="1"/>
  <c r="T271" i="2"/>
  <c r="M307" i="2"/>
  <c r="N307" i="2" s="1"/>
  <c r="Q307" i="2" s="1"/>
  <c r="R307" i="2" s="1"/>
  <c r="T307" i="2"/>
  <c r="M330" i="2"/>
  <c r="N330" i="2" s="1"/>
  <c r="Q330" i="2" s="1"/>
  <c r="R330" i="2" s="1"/>
  <c r="T330" i="2"/>
  <c r="M370" i="2"/>
  <c r="N370" i="2" s="1"/>
  <c r="Q370" i="2" s="1"/>
  <c r="R370" i="2" s="1"/>
  <c r="T370" i="2"/>
  <c r="M414" i="2"/>
  <c r="N414" i="2" s="1"/>
  <c r="T414" i="2"/>
  <c r="M480" i="2"/>
  <c r="N480" i="2" s="1"/>
  <c r="Q480" i="2" s="1"/>
  <c r="R480" i="2" s="1"/>
  <c r="T480" i="2"/>
  <c r="M539" i="2"/>
  <c r="N539" i="2" s="1"/>
  <c r="Q539" i="2" s="1"/>
  <c r="R539" i="2" s="1"/>
  <c r="T539" i="2"/>
  <c r="M565" i="2"/>
  <c r="N565" i="2" s="1"/>
  <c r="Q565" i="2" s="1"/>
  <c r="R565" i="2" s="1"/>
  <c r="T565" i="2"/>
  <c r="M616" i="2"/>
  <c r="N616" i="2" s="1"/>
  <c r="Q616" i="2" s="1"/>
  <c r="R616" i="2" s="1"/>
  <c r="T616" i="2"/>
  <c r="M633" i="2"/>
  <c r="N633" i="2" s="1"/>
  <c r="Q633" i="2" s="1"/>
  <c r="R633" i="2" s="1"/>
  <c r="T633" i="2"/>
  <c r="M807" i="2"/>
  <c r="N807" i="2" s="1"/>
  <c r="Q807" i="2" s="1"/>
  <c r="R807" i="2" s="1"/>
  <c r="T807" i="2"/>
  <c r="M826" i="2"/>
  <c r="N826" i="2" s="1"/>
  <c r="Q826" i="2" s="1"/>
  <c r="R826" i="2" s="1"/>
  <c r="T826" i="2"/>
  <c r="M841" i="2"/>
  <c r="N841" i="2" s="1"/>
  <c r="Q841" i="2" s="1"/>
  <c r="R841" i="2" s="1"/>
  <c r="T841" i="2"/>
  <c r="M873" i="2"/>
  <c r="N873" i="2" s="1"/>
  <c r="Q873" i="2" s="1"/>
  <c r="R873" i="2" s="1"/>
  <c r="T873" i="2"/>
  <c r="M915" i="2"/>
  <c r="N915" i="2" s="1"/>
  <c r="Q915" i="2" s="1"/>
  <c r="R915" i="2" s="1"/>
  <c r="T915" i="2"/>
  <c r="M958" i="2"/>
  <c r="N958" i="2" s="1"/>
  <c r="Q958" i="2" s="1"/>
  <c r="R958" i="2" s="1"/>
  <c r="T958" i="2"/>
  <c r="M965" i="2"/>
  <c r="N965" i="2" s="1"/>
  <c r="Q965" i="2" s="1"/>
  <c r="R965" i="2" s="1"/>
  <c r="T965" i="2"/>
  <c r="T972" i="2"/>
  <c r="M972" i="2"/>
  <c r="N972" i="2" s="1"/>
  <c r="Q972" i="2" s="1"/>
  <c r="R972" i="2" s="1"/>
  <c r="M984" i="2"/>
  <c r="N984" i="2" s="1"/>
  <c r="Q984" i="2" s="1"/>
  <c r="R984" i="2" s="1"/>
  <c r="T984" i="2"/>
  <c r="M6" i="2"/>
  <c r="N6" i="2" s="1"/>
  <c r="Q6" i="2" s="1"/>
  <c r="R6" i="2" s="1"/>
  <c r="M25" i="2"/>
  <c r="N25" i="2" s="1"/>
  <c r="Q25" i="2" s="1"/>
  <c r="R25" i="2" s="1"/>
  <c r="T25" i="2"/>
  <c r="M40" i="2"/>
  <c r="N40" i="2" s="1"/>
  <c r="M55" i="2"/>
  <c r="N55" i="2" s="1"/>
  <c r="Q55" i="2" s="1"/>
  <c r="R55" i="2" s="1"/>
  <c r="M59" i="2"/>
  <c r="N59" i="2" s="1"/>
  <c r="Q59" i="2" s="1"/>
  <c r="R59" i="2" s="1"/>
  <c r="T59" i="2"/>
  <c r="M63" i="2"/>
  <c r="N63" i="2" s="1"/>
  <c r="Q63" i="2" s="1"/>
  <c r="R63" i="2" s="1"/>
  <c r="T63" i="2"/>
  <c r="M67" i="2"/>
  <c r="N67" i="2" s="1"/>
  <c r="Q67" i="2" s="1"/>
  <c r="R67" i="2" s="1"/>
  <c r="T67" i="2"/>
  <c r="M78" i="2"/>
  <c r="N78" i="2" s="1"/>
  <c r="Q78" i="2" s="1"/>
  <c r="R78" i="2" s="1"/>
  <c r="T78" i="2"/>
  <c r="M82" i="2"/>
  <c r="N82" i="2" s="1"/>
  <c r="Q82" i="2" s="1"/>
  <c r="R82" i="2" s="1"/>
  <c r="T82" i="2"/>
  <c r="M86" i="2"/>
  <c r="N86" i="2" s="1"/>
  <c r="Q86" i="2" s="1"/>
  <c r="R86" i="2" s="1"/>
  <c r="T86" i="2"/>
  <c r="M101" i="2"/>
  <c r="N101" i="2" s="1"/>
  <c r="Q101" i="2" s="1"/>
  <c r="R101" i="2" s="1"/>
  <c r="T101" i="2"/>
  <c r="M124" i="2"/>
  <c r="N124" i="2" s="1"/>
  <c r="Q124" i="2" s="1"/>
  <c r="R124" i="2" s="1"/>
  <c r="M128" i="2"/>
  <c r="N128" i="2" s="1"/>
  <c r="T128" i="2"/>
  <c r="M147" i="2"/>
  <c r="N147" i="2" s="1"/>
  <c r="Q147" i="2" s="1"/>
  <c r="R147" i="2" s="1"/>
  <c r="T147" i="2"/>
  <c r="M151" i="2"/>
  <c r="N151" i="2" s="1"/>
  <c r="Q151" i="2" s="1"/>
  <c r="R151" i="2" s="1"/>
  <c r="T151" i="2"/>
  <c r="M154" i="2"/>
  <c r="N154" i="2" s="1"/>
  <c r="Q154" i="2" s="1"/>
  <c r="R154" i="2" s="1"/>
  <c r="M158" i="2"/>
  <c r="N158" i="2" s="1"/>
  <c r="T158" i="2"/>
  <c r="M177" i="2"/>
  <c r="N177" i="2" s="1"/>
  <c r="Q177" i="2" s="1"/>
  <c r="R177" i="2" s="1"/>
  <c r="T177" i="2"/>
  <c r="M184" i="2"/>
  <c r="N184" i="2" s="1"/>
  <c r="Q184" i="2" s="1"/>
  <c r="R184" i="2" s="1"/>
  <c r="T184" i="2"/>
  <c r="M207" i="2"/>
  <c r="N207" i="2" s="1"/>
  <c r="Q207" i="2" s="1"/>
  <c r="R207" i="2" s="1"/>
  <c r="T207" i="2"/>
  <c r="M250" i="2"/>
  <c r="N250" i="2" s="1"/>
  <c r="Q250" i="2" s="1"/>
  <c r="R250" i="2" s="1"/>
  <c r="T250" i="2"/>
  <c r="M254" i="2"/>
  <c r="N254" i="2" s="1"/>
  <c r="Q254" i="2" s="1"/>
  <c r="R254" i="2" s="1"/>
  <c r="T254" i="2"/>
  <c r="M258" i="2"/>
  <c r="N258" i="2" s="1"/>
  <c r="Q258" i="2" s="1"/>
  <c r="R258" i="2" s="1"/>
  <c r="T258" i="2"/>
  <c r="M262" i="2"/>
  <c r="N262" i="2" s="1"/>
  <c r="Q262" i="2" s="1"/>
  <c r="R262" i="2" s="1"/>
  <c r="T262" i="2"/>
  <c r="M276" i="2"/>
  <c r="N276" i="2" s="1"/>
  <c r="Q276" i="2" s="1"/>
  <c r="R276" i="2" s="1"/>
  <c r="M279" i="2"/>
  <c r="N279" i="2" s="1"/>
  <c r="Q279" i="2" s="1"/>
  <c r="R279" i="2" s="1"/>
  <c r="M282" i="2"/>
  <c r="N282" i="2" s="1"/>
  <c r="Q282" i="2" s="1"/>
  <c r="R282" i="2" s="1"/>
  <c r="T282" i="2"/>
  <c r="M286" i="2"/>
  <c r="N286" i="2" s="1"/>
  <c r="Q286" i="2" s="1"/>
  <c r="R286" i="2" s="1"/>
  <c r="T286" i="2"/>
  <c r="M290" i="2"/>
  <c r="N290" i="2" s="1"/>
  <c r="Q290" i="2" s="1"/>
  <c r="R290" i="2" s="1"/>
  <c r="T290" i="2"/>
  <c r="M297" i="2"/>
  <c r="N297" i="2" s="1"/>
  <c r="Q297" i="2" s="1"/>
  <c r="R297" i="2" s="1"/>
  <c r="M346" i="2"/>
  <c r="N346" i="2" s="1"/>
  <c r="T346" i="2"/>
  <c r="M350" i="2"/>
  <c r="N350" i="2" s="1"/>
  <c r="Q350" i="2" s="1"/>
  <c r="R350" i="2" s="1"/>
  <c r="T350" i="2"/>
  <c r="M357" i="2"/>
  <c r="N357" i="2" s="1"/>
  <c r="Q357" i="2" s="1"/>
  <c r="R357" i="2" s="1"/>
  <c r="T357" i="2"/>
  <c r="M375" i="2"/>
  <c r="N375" i="2" s="1"/>
  <c r="Q375" i="2" s="1"/>
  <c r="R375" i="2" s="1"/>
  <c r="T375" i="2"/>
  <c r="M382" i="2"/>
  <c r="N382" i="2" s="1"/>
  <c r="Q382" i="2" s="1"/>
  <c r="R382" i="2" s="1"/>
  <c r="T382" i="2"/>
  <c r="M386" i="2"/>
  <c r="N386" i="2" s="1"/>
  <c r="Q386" i="2" s="1"/>
  <c r="R386" i="2" s="1"/>
  <c r="T386" i="2"/>
  <c r="M390" i="2"/>
  <c r="N390" i="2" s="1"/>
  <c r="Q390" i="2" s="1"/>
  <c r="R390" i="2" s="1"/>
  <c r="T390" i="2"/>
  <c r="M397" i="2"/>
  <c r="N397" i="2" s="1"/>
  <c r="Q397" i="2" s="1"/>
  <c r="R397" i="2" s="1"/>
  <c r="T397" i="2"/>
  <c r="M419" i="2"/>
  <c r="N419" i="2" s="1"/>
  <c r="Q419" i="2" s="1"/>
  <c r="R419" i="2" s="1"/>
  <c r="T419" i="2"/>
  <c r="M423" i="2"/>
  <c r="N423" i="2" s="1"/>
  <c r="Q423" i="2" s="1"/>
  <c r="R423" i="2" s="1"/>
  <c r="T423" i="2"/>
  <c r="M427" i="2"/>
  <c r="N427" i="2" s="1"/>
  <c r="Q427" i="2" s="1"/>
  <c r="R427" i="2" s="1"/>
  <c r="T427" i="2"/>
  <c r="M441" i="2"/>
  <c r="N441" i="2" s="1"/>
  <c r="T441" i="2"/>
  <c r="M448" i="2"/>
  <c r="N448" i="2" s="1"/>
  <c r="Q448" i="2" s="1"/>
  <c r="R448" i="2" s="1"/>
  <c r="T448" i="2"/>
  <c r="M451" i="2"/>
  <c r="N451" i="2" s="1"/>
  <c r="Q451" i="2" s="1"/>
  <c r="R451" i="2" s="1"/>
  <c r="M455" i="2"/>
  <c r="N455" i="2" s="1"/>
  <c r="Q455" i="2" s="1"/>
  <c r="R455" i="2" s="1"/>
  <c r="T455" i="2"/>
  <c r="M459" i="2"/>
  <c r="N459" i="2" s="1"/>
  <c r="T459" i="2"/>
  <c r="M463" i="2"/>
  <c r="N463" i="2" s="1"/>
  <c r="Q463" i="2" s="1"/>
  <c r="R463" i="2" s="1"/>
  <c r="T463" i="2"/>
  <c r="M467" i="2"/>
  <c r="N467" i="2" s="1"/>
  <c r="Q467" i="2" s="1"/>
  <c r="R467" i="2" s="1"/>
  <c r="T467" i="2"/>
  <c r="M471" i="2"/>
  <c r="N471" i="2" s="1"/>
  <c r="Q471" i="2" s="1"/>
  <c r="R471" i="2" s="1"/>
  <c r="T471" i="2"/>
  <c r="M478" i="2"/>
  <c r="N478" i="2" s="1"/>
  <c r="T478" i="2"/>
  <c r="M481" i="2"/>
  <c r="N481" i="2" s="1"/>
  <c r="M492" i="2"/>
  <c r="N492" i="2" s="1"/>
  <c r="Q492" i="2" s="1"/>
  <c r="R492" i="2" s="1"/>
  <c r="T492" i="2"/>
  <c r="M503" i="2"/>
  <c r="N503" i="2" s="1"/>
  <c r="Q503" i="2" s="1"/>
  <c r="R503" i="2" s="1"/>
  <c r="T503" i="2"/>
  <c r="M510" i="2"/>
  <c r="N510" i="2" s="1"/>
  <c r="T510" i="2"/>
  <c r="M517" i="2"/>
  <c r="N517" i="2" s="1"/>
  <c r="T517" i="2"/>
  <c r="M521" i="2"/>
  <c r="N521" i="2" s="1"/>
  <c r="Q521" i="2" s="1"/>
  <c r="R521" i="2" s="1"/>
  <c r="T521" i="2"/>
  <c r="M525" i="2"/>
  <c r="N525" i="2" s="1"/>
  <c r="Q525" i="2" s="1"/>
  <c r="R525" i="2" s="1"/>
  <c r="T525" i="2"/>
  <c r="M529" i="2"/>
  <c r="N529" i="2" s="1"/>
  <c r="Q529" i="2" s="1"/>
  <c r="R529" i="2" s="1"/>
  <c r="T529" i="2"/>
  <c r="M533" i="2"/>
  <c r="N533" i="2" s="1"/>
  <c r="Q533" i="2" s="1"/>
  <c r="R533" i="2" s="1"/>
  <c r="T533" i="2"/>
  <c r="M544" i="2"/>
  <c r="N544" i="2" s="1"/>
  <c r="Q544" i="2" s="1"/>
  <c r="R544" i="2" s="1"/>
  <c r="T544" i="2"/>
  <c r="M551" i="2"/>
  <c r="N551" i="2" s="1"/>
  <c r="Q551" i="2" s="1"/>
  <c r="R551" i="2" s="1"/>
  <c r="T551" i="2"/>
  <c r="M555" i="2"/>
  <c r="N555" i="2" s="1"/>
  <c r="Q555" i="2" s="1"/>
  <c r="R555" i="2" s="1"/>
  <c r="T555" i="2"/>
  <c r="M559" i="2"/>
  <c r="N559" i="2" s="1"/>
  <c r="Q559" i="2" s="1"/>
  <c r="R559" i="2" s="1"/>
  <c r="T559" i="2"/>
  <c r="M570" i="2"/>
  <c r="N570" i="2" s="1"/>
  <c r="Q570" i="2" s="1"/>
  <c r="R570" i="2" s="1"/>
  <c r="T570" i="2"/>
  <c r="M574" i="2"/>
  <c r="N574" i="2" s="1"/>
  <c r="Q574" i="2" s="1"/>
  <c r="R574" i="2" s="1"/>
  <c r="T574" i="2"/>
  <c r="M578" i="2"/>
  <c r="N578" i="2" s="1"/>
  <c r="Q578" i="2" s="1"/>
  <c r="R578" i="2" s="1"/>
  <c r="T578" i="2"/>
  <c r="M582" i="2"/>
  <c r="N582" i="2" s="1"/>
  <c r="Q582" i="2" s="1"/>
  <c r="R582" i="2" s="1"/>
  <c r="T582" i="2"/>
  <c r="M586" i="2"/>
  <c r="N586" i="2" s="1"/>
  <c r="T586" i="2"/>
  <c r="M589" i="2"/>
  <c r="N589" i="2" s="1"/>
  <c r="Q589" i="2" s="1"/>
  <c r="R589" i="2" s="1"/>
  <c r="T589" i="2"/>
  <c r="M603" i="2"/>
  <c r="N603" i="2" s="1"/>
  <c r="Q603" i="2" s="1"/>
  <c r="R603" i="2" s="1"/>
  <c r="M607" i="2"/>
  <c r="N607" i="2" s="1"/>
  <c r="Q607" i="2" s="1"/>
  <c r="R607" i="2" s="1"/>
  <c r="T607" i="2"/>
  <c r="M617" i="2"/>
  <c r="N617" i="2" s="1"/>
  <c r="Q617" i="2" s="1"/>
  <c r="R617" i="2" s="1"/>
  <c r="T617" i="2"/>
  <c r="M634" i="2"/>
  <c r="N634" i="2" s="1"/>
  <c r="Q634" i="2" s="1"/>
  <c r="R634" i="2" s="1"/>
  <c r="M638" i="2"/>
  <c r="N638" i="2" s="1"/>
  <c r="Q638" i="2" s="1"/>
  <c r="R638" i="2" s="1"/>
  <c r="T638" i="2"/>
  <c r="M642" i="2"/>
  <c r="N642" i="2" s="1"/>
  <c r="Q642" i="2" s="1"/>
  <c r="R642" i="2" s="1"/>
  <c r="T642" i="2"/>
  <c r="M646" i="2"/>
  <c r="N646" i="2" s="1"/>
  <c r="T646" i="2"/>
  <c r="M650" i="2"/>
  <c r="N650" i="2" s="1"/>
  <c r="Q650" i="2" s="1"/>
  <c r="R650" i="2" s="1"/>
  <c r="T650" i="2"/>
  <c r="M654" i="2"/>
  <c r="N654" i="2" s="1"/>
  <c r="Q654" i="2" s="1"/>
  <c r="R654" i="2" s="1"/>
  <c r="T654" i="2"/>
  <c r="M664" i="2"/>
  <c r="N664" i="2" s="1"/>
  <c r="Q664" i="2" s="1"/>
  <c r="R664" i="2" s="1"/>
  <c r="T664" i="2"/>
  <c r="M667" i="2"/>
  <c r="N667" i="2" s="1"/>
  <c r="T667" i="2"/>
  <c r="M674" i="2"/>
  <c r="N674" i="2" s="1"/>
  <c r="Q674" i="2" s="1"/>
  <c r="R674" i="2" s="1"/>
  <c r="T674" i="2"/>
  <c r="M696" i="2"/>
  <c r="N696" i="2" s="1"/>
  <c r="Q696" i="2" s="1"/>
  <c r="R696" i="2" s="1"/>
  <c r="T696" i="2"/>
  <c r="M711" i="2"/>
  <c r="N711" i="2" s="1"/>
  <c r="Q711" i="2" s="1"/>
  <c r="R711" i="2" s="1"/>
  <c r="T711" i="2"/>
  <c r="M715" i="2"/>
  <c r="N715" i="2" s="1"/>
  <c r="Q715" i="2" s="1"/>
  <c r="R715" i="2" s="1"/>
  <c r="T715" i="2"/>
  <c r="M736" i="2"/>
  <c r="N736" i="2" s="1"/>
  <c r="Q736" i="2" s="1"/>
  <c r="R736" i="2" s="1"/>
  <c r="T736" i="2"/>
  <c r="M750" i="2"/>
  <c r="N750" i="2" s="1"/>
  <c r="Q750" i="2" s="1"/>
  <c r="R750" i="2" s="1"/>
  <c r="T750" i="2"/>
  <c r="M753" i="2"/>
  <c r="N753" i="2" s="1"/>
  <c r="Q753" i="2" s="1"/>
  <c r="R753" i="2" s="1"/>
  <c r="M760" i="2"/>
  <c r="N760" i="2" s="1"/>
  <c r="T760" i="2"/>
  <c r="M763" i="2"/>
  <c r="N763" i="2" s="1"/>
  <c r="Q763" i="2" s="1"/>
  <c r="R763" i="2" s="1"/>
  <c r="T763" i="2"/>
  <c r="M769" i="2"/>
  <c r="N769" i="2" s="1"/>
  <c r="Q769" i="2" s="1"/>
  <c r="R769" i="2" s="1"/>
  <c r="T769" i="2"/>
  <c r="M773" i="2"/>
  <c r="N773" i="2" s="1"/>
  <c r="Q773" i="2" s="1"/>
  <c r="R773" i="2" s="1"/>
  <c r="T773" i="2"/>
  <c r="M777" i="2"/>
  <c r="N777" i="2" s="1"/>
  <c r="Q777" i="2" s="1"/>
  <c r="R777" i="2" s="1"/>
  <c r="T777" i="2"/>
  <c r="M784" i="2"/>
  <c r="N784" i="2" s="1"/>
  <c r="Q784" i="2" s="1"/>
  <c r="R784" i="2" s="1"/>
  <c r="T784" i="2"/>
  <c r="M788" i="2"/>
  <c r="N788" i="2" s="1"/>
  <c r="Q788" i="2" s="1"/>
  <c r="R788" i="2" s="1"/>
  <c r="T788" i="2"/>
  <c r="M791" i="2"/>
  <c r="N791" i="2" s="1"/>
  <c r="Q791" i="2" s="1"/>
  <c r="R791" i="2" s="1"/>
  <c r="M816" i="2"/>
  <c r="N816" i="2" s="1"/>
  <c r="Q816" i="2" s="1"/>
  <c r="R816" i="2" s="1"/>
  <c r="T816" i="2"/>
  <c r="M820" i="2"/>
  <c r="N820" i="2" s="1"/>
  <c r="T820" i="2"/>
  <c r="M824" i="2"/>
  <c r="N824" i="2" s="1"/>
  <c r="Q824" i="2" s="1"/>
  <c r="R824" i="2" s="1"/>
  <c r="T824" i="2"/>
  <c r="M835" i="2"/>
  <c r="N835" i="2" s="1"/>
  <c r="Q835" i="2" s="1"/>
  <c r="R835" i="2" s="1"/>
  <c r="M839" i="2"/>
  <c r="N839" i="2" s="1"/>
  <c r="Q839" i="2" s="1"/>
  <c r="R839" i="2" s="1"/>
  <c r="T839" i="2"/>
  <c r="M853" i="2"/>
  <c r="N853" i="2" s="1"/>
  <c r="Q853" i="2" s="1"/>
  <c r="R853" i="2" s="1"/>
  <c r="M857" i="2"/>
  <c r="N857" i="2" s="1"/>
  <c r="Q857" i="2" s="1"/>
  <c r="R857" i="2" s="1"/>
  <c r="T857" i="2"/>
  <c r="M861" i="2"/>
  <c r="N861" i="2" s="1"/>
  <c r="Q861" i="2" s="1"/>
  <c r="R861" i="2" s="1"/>
  <c r="T861" i="2"/>
  <c r="M864" i="2"/>
  <c r="N864" i="2" s="1"/>
  <c r="Q864" i="2" s="1"/>
  <c r="R864" i="2" s="1"/>
  <c r="T864" i="2"/>
  <c r="M881" i="2"/>
  <c r="N881" i="2" s="1"/>
  <c r="Q881" i="2" s="1"/>
  <c r="R881" i="2" s="1"/>
  <c r="T881" i="2"/>
  <c r="M885" i="2"/>
  <c r="N885" i="2" s="1"/>
  <c r="Q885" i="2" s="1"/>
  <c r="R885" i="2" s="1"/>
  <c r="T885" i="2"/>
  <c r="M889" i="2"/>
  <c r="N889" i="2" s="1"/>
  <c r="Q889" i="2" s="1"/>
  <c r="R889" i="2" s="1"/>
  <c r="T889" i="2"/>
  <c r="M893" i="2"/>
  <c r="N893" i="2" s="1"/>
  <c r="Q893" i="2" s="1"/>
  <c r="R893" i="2" s="1"/>
  <c r="T893" i="2"/>
  <c r="M906" i="2"/>
  <c r="N906" i="2" s="1"/>
  <c r="Q906" i="2" s="1"/>
  <c r="R906" i="2" s="1"/>
  <c r="T906" i="2"/>
  <c r="M913" i="2"/>
  <c r="N913" i="2" s="1"/>
  <c r="T913" i="2"/>
  <c r="M927" i="2"/>
  <c r="N927" i="2" s="1"/>
  <c r="Q927" i="2" s="1"/>
  <c r="R927" i="2" s="1"/>
  <c r="T927" i="2"/>
  <c r="M934" i="2"/>
  <c r="N934" i="2" s="1"/>
  <c r="Q934" i="2" s="1"/>
  <c r="R934" i="2" s="1"/>
  <c r="T934" i="2"/>
  <c r="M941" i="2"/>
  <c r="N941" i="2" s="1"/>
  <c r="Q941" i="2" s="1"/>
  <c r="R941" i="2" s="1"/>
  <c r="M948" i="2"/>
  <c r="N948" i="2" s="1"/>
  <c r="Q948" i="2" s="1"/>
  <c r="R948" i="2" s="1"/>
  <c r="T948" i="2"/>
  <c r="M952" i="2"/>
  <c r="N952" i="2" s="1"/>
  <c r="Q952" i="2" s="1"/>
  <c r="R952" i="2" s="1"/>
  <c r="T952" i="2"/>
  <c r="M970" i="2"/>
  <c r="N970" i="2" s="1"/>
  <c r="Q970" i="2" s="1"/>
  <c r="R970" i="2" s="1"/>
  <c r="T970" i="2"/>
  <c r="M936" i="2"/>
  <c r="N936" i="2" s="1"/>
  <c r="Q936" i="2" s="1"/>
  <c r="R936" i="2" s="1"/>
  <c r="T936" i="2"/>
  <c r="M954" i="2"/>
  <c r="N954" i="2" s="1"/>
  <c r="Q954" i="2" s="1"/>
  <c r="R954" i="2" s="1"/>
  <c r="T954" i="2"/>
  <c r="M20" i="2"/>
  <c r="N20" i="2" s="1"/>
  <c r="Q20" i="2" s="1"/>
  <c r="R20" i="2" s="1"/>
  <c r="T20" i="2"/>
  <c r="M50" i="2"/>
  <c r="N50" i="2" s="1"/>
  <c r="Q50" i="2" s="1"/>
  <c r="R50" i="2" s="1"/>
  <c r="T50" i="2"/>
  <c r="M73" i="2"/>
  <c r="N73" i="2" s="1"/>
  <c r="Q73" i="2" s="1"/>
  <c r="R73" i="2" s="1"/>
  <c r="T73" i="2"/>
  <c r="M119" i="2"/>
  <c r="N119" i="2" s="1"/>
  <c r="Q119" i="2" s="1"/>
  <c r="R119" i="2" s="1"/>
  <c r="T119" i="2"/>
  <c r="M142" i="2"/>
  <c r="N142" i="2" s="1"/>
  <c r="Q142" i="2" s="1"/>
  <c r="R142" i="2" s="1"/>
  <c r="T142" i="2"/>
  <c r="M164" i="2"/>
  <c r="N164" i="2" s="1"/>
  <c r="Q164" i="2" s="1"/>
  <c r="R164" i="2" s="1"/>
  <c r="T164" i="2"/>
  <c r="M183" i="2"/>
  <c r="N183" i="2" s="1"/>
  <c r="Q183" i="2" s="1"/>
  <c r="R183" i="2" s="1"/>
  <c r="T183" i="2"/>
  <c r="M194" i="2"/>
  <c r="N194" i="2" s="1"/>
  <c r="Q194" i="2" s="1"/>
  <c r="R194" i="2" s="1"/>
  <c r="T194" i="2"/>
  <c r="M209" i="2"/>
  <c r="N209" i="2" s="1"/>
  <c r="Q209" i="2" s="1"/>
  <c r="R209" i="2" s="1"/>
  <c r="T209" i="2"/>
  <c r="M225" i="2"/>
  <c r="N225" i="2" s="1"/>
  <c r="Q225" i="2" s="1"/>
  <c r="R225" i="2" s="1"/>
  <c r="T225" i="2"/>
  <c r="M237" i="2"/>
  <c r="N237" i="2" s="1"/>
  <c r="Q237" i="2" s="1"/>
  <c r="R237" i="2" s="1"/>
  <c r="T237" i="2"/>
  <c r="M275" i="2"/>
  <c r="N275" i="2" s="1"/>
  <c r="Q275" i="2" s="1"/>
  <c r="R275" i="2" s="1"/>
  <c r="T275" i="2"/>
  <c r="M303" i="2"/>
  <c r="N303" i="2" s="1"/>
  <c r="Q303" i="2" s="1"/>
  <c r="R303" i="2" s="1"/>
  <c r="T303" i="2"/>
  <c r="M315" i="2"/>
  <c r="N315" i="2" s="1"/>
  <c r="Q315" i="2" s="1"/>
  <c r="R315" i="2" s="1"/>
  <c r="T315" i="2"/>
  <c r="M326" i="2"/>
  <c r="N326" i="2" s="1"/>
  <c r="Q326" i="2" s="1"/>
  <c r="R326" i="2" s="1"/>
  <c r="T326" i="2"/>
  <c r="M363" i="2"/>
  <c r="N363" i="2" s="1"/>
  <c r="Q363" i="2" s="1"/>
  <c r="R363" i="2" s="1"/>
  <c r="T363" i="2"/>
  <c r="M377" i="2"/>
  <c r="N377" i="2" s="1"/>
  <c r="T377" i="2"/>
  <c r="M410" i="2"/>
  <c r="N410" i="2" s="1"/>
  <c r="Q410" i="2" s="1"/>
  <c r="R410" i="2" s="1"/>
  <c r="T410" i="2"/>
  <c r="M418" i="2"/>
  <c r="N418" i="2" s="1"/>
  <c r="Q418" i="2" s="1"/>
  <c r="R418" i="2" s="1"/>
  <c r="T418" i="2"/>
  <c r="M594" i="2"/>
  <c r="N594" i="2" s="1"/>
  <c r="Q594" i="2" s="1"/>
  <c r="R594" i="2" s="1"/>
  <c r="T594" i="2"/>
  <c r="M602" i="2"/>
  <c r="N602" i="2" s="1"/>
  <c r="Q602" i="2" s="1"/>
  <c r="R602" i="2" s="1"/>
  <c r="T602" i="2"/>
  <c r="M684" i="2"/>
  <c r="N684" i="2" s="1"/>
  <c r="Q684" i="2" s="1"/>
  <c r="R684" i="2" s="1"/>
  <c r="T684" i="2"/>
  <c r="M691" i="2"/>
  <c r="N691" i="2" s="1"/>
  <c r="Q691" i="2" s="1"/>
  <c r="R691" i="2" s="1"/>
  <c r="T691" i="2"/>
  <c r="M710" i="2"/>
  <c r="N710" i="2" s="1"/>
  <c r="Q710" i="2" s="1"/>
  <c r="R710" i="2" s="1"/>
  <c r="T710" i="2"/>
  <c r="M755" i="2"/>
  <c r="N755" i="2" s="1"/>
  <c r="Q755" i="2" s="1"/>
  <c r="R755" i="2" s="1"/>
  <c r="T755" i="2"/>
  <c r="M790" i="2"/>
  <c r="N790" i="2" s="1"/>
  <c r="Q790" i="2" s="1"/>
  <c r="R790" i="2" s="1"/>
  <c r="T790" i="2"/>
  <c r="M796" i="2"/>
  <c r="N796" i="2" s="1"/>
  <c r="Q796" i="2" s="1"/>
  <c r="R796" i="2" s="1"/>
  <c r="T796" i="2"/>
  <c r="M811" i="2"/>
  <c r="N811" i="2" s="1"/>
  <c r="Q811" i="2" s="1"/>
  <c r="R811" i="2" s="1"/>
  <c r="T811" i="2"/>
  <c r="M815" i="2"/>
  <c r="N815" i="2" s="1"/>
  <c r="Q815" i="2" s="1"/>
  <c r="R815" i="2" s="1"/>
  <c r="T815" i="2"/>
  <c r="M830" i="2"/>
  <c r="N830" i="2" s="1"/>
  <c r="Q830" i="2" s="1"/>
  <c r="R830" i="2" s="1"/>
  <c r="T830" i="2"/>
  <c r="M929" i="2"/>
  <c r="N929" i="2" s="1"/>
  <c r="Q929" i="2" s="1"/>
  <c r="R929" i="2" s="1"/>
  <c r="T929" i="2"/>
  <c r="M988" i="2"/>
  <c r="N988" i="2" s="1"/>
  <c r="Q988" i="2" s="1"/>
  <c r="R988" i="2" s="1"/>
  <c r="T988" i="2"/>
  <c r="M3" i="2"/>
  <c r="N3" i="2" s="1"/>
  <c r="Q3" i="2" s="1"/>
  <c r="R3" i="2" s="1"/>
  <c r="T3" i="2"/>
  <c r="M10" i="2"/>
  <c r="N10" i="2" s="1"/>
  <c r="Q10" i="2" s="1"/>
  <c r="R10" i="2" s="1"/>
  <c r="T10" i="2"/>
  <c r="M14" i="2"/>
  <c r="N14" i="2" s="1"/>
  <c r="Q14" i="2" s="1"/>
  <c r="R14" i="2" s="1"/>
  <c r="T14" i="2"/>
  <c r="M18" i="2"/>
  <c r="N18" i="2" s="1"/>
  <c r="Q18" i="2" s="1"/>
  <c r="R18" i="2" s="1"/>
  <c r="T18" i="2"/>
  <c r="M22" i="2"/>
  <c r="N22" i="2" s="1"/>
  <c r="Q22" i="2" s="1"/>
  <c r="R22" i="2" s="1"/>
  <c r="T22" i="2"/>
  <c r="M29" i="2"/>
  <c r="N29" i="2" s="1"/>
  <c r="Q29" i="2" s="1"/>
  <c r="R29" i="2" s="1"/>
  <c r="T29" i="2"/>
  <c r="M33" i="2"/>
  <c r="N33" i="2" s="1"/>
  <c r="Q33" i="2" s="1"/>
  <c r="R33" i="2" s="1"/>
  <c r="T33" i="2"/>
  <c r="M37" i="2"/>
  <c r="N37" i="2" s="1"/>
  <c r="Q37" i="2" s="1"/>
  <c r="R37" i="2" s="1"/>
  <c r="T37" i="2"/>
  <c r="M44" i="2"/>
  <c r="N44" i="2" s="1"/>
  <c r="Q44" i="2" s="1"/>
  <c r="R44" i="2" s="1"/>
  <c r="T44" i="2"/>
  <c r="M48" i="2"/>
  <c r="N48" i="2" s="1"/>
  <c r="Q48" i="2" s="1"/>
  <c r="R48" i="2" s="1"/>
  <c r="T48" i="2"/>
  <c r="M52" i="2"/>
  <c r="N52" i="2" s="1"/>
  <c r="Q52" i="2" s="1"/>
  <c r="R52" i="2" s="1"/>
  <c r="T52" i="2"/>
  <c r="M71" i="2"/>
  <c r="N71" i="2" s="1"/>
  <c r="Q71" i="2" s="1"/>
  <c r="R71" i="2" s="1"/>
  <c r="T71" i="2"/>
  <c r="M75" i="2"/>
  <c r="N75" i="2" s="1"/>
  <c r="Q75" i="2" s="1"/>
  <c r="R75" i="2" s="1"/>
  <c r="T75" i="2"/>
  <c r="M94" i="2"/>
  <c r="N94" i="2" s="1"/>
  <c r="Q94" i="2" s="1"/>
  <c r="R94" i="2" s="1"/>
  <c r="T94" i="2"/>
  <c r="M98" i="2"/>
  <c r="N98" i="2" s="1"/>
  <c r="Q98" i="2" s="1"/>
  <c r="R98" i="2" s="1"/>
  <c r="T98" i="2"/>
  <c r="M105" i="2"/>
  <c r="N105" i="2" s="1"/>
  <c r="Q105" i="2" s="1"/>
  <c r="R105" i="2" s="1"/>
  <c r="T105" i="2"/>
  <c r="M109" i="2"/>
  <c r="N109" i="2" s="1"/>
  <c r="Q109" i="2" s="1"/>
  <c r="R109" i="2" s="1"/>
  <c r="T109" i="2"/>
  <c r="M113" i="2"/>
  <c r="N113" i="2" s="1"/>
  <c r="Q113" i="2" s="1"/>
  <c r="R113" i="2" s="1"/>
  <c r="T113" i="2"/>
  <c r="M117" i="2"/>
  <c r="N117" i="2" s="1"/>
  <c r="Q117" i="2" s="1"/>
  <c r="R117" i="2" s="1"/>
  <c r="T117" i="2"/>
  <c r="M121" i="2"/>
  <c r="N121" i="2" s="1"/>
  <c r="Q121" i="2" s="1"/>
  <c r="R121" i="2" s="1"/>
  <c r="T121" i="2"/>
  <c r="M132" i="2"/>
  <c r="N132" i="2" s="1"/>
  <c r="T132" i="2"/>
  <c r="M136" i="2"/>
  <c r="N136" i="2" s="1"/>
  <c r="Q136" i="2" s="1"/>
  <c r="R136" i="2" s="1"/>
  <c r="T136" i="2"/>
  <c r="M140" i="2"/>
  <c r="N140" i="2" s="1"/>
  <c r="Q140" i="2" s="1"/>
  <c r="R140" i="2" s="1"/>
  <c r="T140" i="2"/>
  <c r="M144" i="2"/>
  <c r="N144" i="2" s="1"/>
  <c r="Q144" i="2" s="1"/>
  <c r="R144" i="2" s="1"/>
  <c r="T144" i="2"/>
  <c r="M162" i="2"/>
  <c r="N162" i="2" s="1"/>
  <c r="Q162" i="2" s="1"/>
  <c r="R162" i="2" s="1"/>
  <c r="T162" i="2"/>
  <c r="M166" i="2"/>
  <c r="N166" i="2" s="1"/>
  <c r="Q166" i="2" s="1"/>
  <c r="R166" i="2" s="1"/>
  <c r="T166" i="2"/>
  <c r="M170" i="2"/>
  <c r="N170" i="2" s="1"/>
  <c r="Q170" i="2" s="1"/>
  <c r="R170" i="2" s="1"/>
  <c r="T170" i="2"/>
  <c r="M174" i="2"/>
  <c r="N174" i="2" s="1"/>
  <c r="Q174" i="2" s="1"/>
  <c r="R174" i="2" s="1"/>
  <c r="T174" i="2"/>
  <c r="M181" i="2"/>
  <c r="N181" i="2" s="1"/>
  <c r="Q181" i="2" s="1"/>
  <c r="R181" i="2" s="1"/>
  <c r="T181" i="2"/>
  <c r="M188" i="2"/>
  <c r="N188" i="2" s="1"/>
  <c r="Q188" i="2" s="1"/>
  <c r="R188" i="2" s="1"/>
  <c r="T188" i="2"/>
  <c r="M192" i="2"/>
  <c r="N192" i="2" s="1"/>
  <c r="Q192" i="2" s="1"/>
  <c r="R192" i="2" s="1"/>
  <c r="T192" i="2"/>
  <c r="M196" i="2"/>
  <c r="N196" i="2" s="1"/>
  <c r="Q196" i="2" s="1"/>
  <c r="R196" i="2" s="1"/>
  <c r="T196" i="2"/>
  <c r="M200" i="2"/>
  <c r="N200" i="2" s="1"/>
  <c r="Q200" i="2" s="1"/>
  <c r="R200" i="2" s="1"/>
  <c r="T200" i="2"/>
  <c r="M204" i="2"/>
  <c r="N204" i="2" s="1"/>
  <c r="Q204" i="2" s="1"/>
  <c r="R204" i="2" s="1"/>
  <c r="T204" i="2"/>
  <c r="M211" i="2"/>
  <c r="N211" i="2" s="1"/>
  <c r="Q211" i="2" s="1"/>
  <c r="R211" i="2" s="1"/>
  <c r="T211" i="2"/>
  <c r="M215" i="2"/>
  <c r="N215" i="2" s="1"/>
  <c r="Q215" i="2" s="1"/>
  <c r="R215" i="2" s="1"/>
  <c r="T215" i="2"/>
  <c r="M219" i="2"/>
  <c r="N219" i="2" s="1"/>
  <c r="Q219" i="2" s="1"/>
  <c r="R219" i="2" s="1"/>
  <c r="T219" i="2"/>
  <c r="M223" i="2"/>
  <c r="N223" i="2" s="1"/>
  <c r="Q223" i="2" s="1"/>
  <c r="R223" i="2" s="1"/>
  <c r="T223" i="2"/>
  <c r="M227" i="2"/>
  <c r="N227" i="2" s="1"/>
  <c r="Q227" i="2" s="1"/>
  <c r="R227" i="2" s="1"/>
  <c r="T227" i="2"/>
  <c r="M231" i="2"/>
  <c r="N231" i="2" s="1"/>
  <c r="Q231" i="2" s="1"/>
  <c r="R231" i="2" s="1"/>
  <c r="T231" i="2"/>
  <c r="M235" i="2"/>
  <c r="N235" i="2" s="1"/>
  <c r="T235" i="2"/>
  <c r="M239" i="2"/>
  <c r="N239" i="2" s="1"/>
  <c r="Q239" i="2" s="1"/>
  <c r="R239" i="2" s="1"/>
  <c r="T239" i="2"/>
  <c r="M243" i="2"/>
  <c r="N243" i="2" s="1"/>
  <c r="Q243" i="2" s="1"/>
  <c r="R243" i="2" s="1"/>
  <c r="T243" i="2"/>
  <c r="M247" i="2"/>
  <c r="N247" i="2" s="1"/>
  <c r="Q247" i="2" s="1"/>
  <c r="R247" i="2" s="1"/>
  <c r="T247" i="2"/>
  <c r="M266" i="2"/>
  <c r="N266" i="2" s="1"/>
  <c r="T266" i="2"/>
  <c r="M273" i="2"/>
  <c r="N273" i="2" s="1"/>
  <c r="Q273" i="2" s="1"/>
  <c r="R273" i="2" s="1"/>
  <c r="T273" i="2"/>
  <c r="Q294" i="2"/>
  <c r="R294" i="2" s="1"/>
  <c r="M301" i="2"/>
  <c r="N301" i="2" s="1"/>
  <c r="Q301" i="2" s="1"/>
  <c r="R301" i="2" s="1"/>
  <c r="T301" i="2"/>
  <c r="M305" i="2"/>
  <c r="N305" i="2" s="1"/>
  <c r="Q305" i="2" s="1"/>
  <c r="R305" i="2" s="1"/>
  <c r="T305" i="2"/>
  <c r="M309" i="2"/>
  <c r="N309" i="2" s="1"/>
  <c r="Q309" i="2" s="1"/>
  <c r="R309" i="2" s="1"/>
  <c r="T309" i="2"/>
  <c r="M313" i="2"/>
  <c r="N313" i="2" s="1"/>
  <c r="Q313" i="2" s="1"/>
  <c r="R313" i="2" s="1"/>
  <c r="T313" i="2"/>
  <c r="M317" i="2"/>
  <c r="N317" i="2" s="1"/>
  <c r="Q317" i="2" s="1"/>
  <c r="R317" i="2" s="1"/>
  <c r="T317" i="2"/>
  <c r="M320" i="2"/>
  <c r="N320" i="2" s="1"/>
  <c r="Q320" i="2" s="1"/>
  <c r="R320" i="2" s="1"/>
  <c r="T320" i="2"/>
  <c r="M324" i="2"/>
  <c r="N324" i="2" s="1"/>
  <c r="Q324" i="2" s="1"/>
  <c r="R324" i="2" s="1"/>
  <c r="T324" i="2"/>
  <c r="M328" i="2"/>
  <c r="N328" i="2" s="1"/>
  <c r="Q328" i="2" s="1"/>
  <c r="R328" i="2" s="1"/>
  <c r="T328" i="2"/>
  <c r="M332" i="2"/>
  <c r="N332" i="2" s="1"/>
  <c r="Q332" i="2" s="1"/>
  <c r="R332" i="2" s="1"/>
  <c r="T332" i="2"/>
  <c r="M336" i="2"/>
  <c r="N336" i="2" s="1"/>
  <c r="Q336" i="2" s="1"/>
  <c r="R336" i="2" s="1"/>
  <c r="T336" i="2"/>
  <c r="M340" i="2"/>
  <c r="N340" i="2" s="1"/>
  <c r="Q340" i="2" s="1"/>
  <c r="R340" i="2" s="1"/>
  <c r="T340" i="2"/>
  <c r="M354" i="2"/>
  <c r="N354" i="2" s="1"/>
  <c r="Q354" i="2" s="1"/>
  <c r="R354" i="2" s="1"/>
  <c r="T354" i="2"/>
  <c r="M361" i="2"/>
  <c r="N361" i="2" s="1"/>
  <c r="Q361" i="2" s="1"/>
  <c r="R361" i="2" s="1"/>
  <c r="T361" i="2"/>
  <c r="M368" i="2"/>
  <c r="N368" i="2" s="1"/>
  <c r="Q368" i="2" s="1"/>
  <c r="R368" i="2" s="1"/>
  <c r="T368" i="2"/>
  <c r="M372" i="2"/>
  <c r="N372" i="2" s="1"/>
  <c r="Q372" i="2" s="1"/>
  <c r="R372" i="2" s="1"/>
  <c r="T372" i="2"/>
  <c r="M394" i="2"/>
  <c r="N394" i="2" s="1"/>
  <c r="Q394" i="2" s="1"/>
  <c r="R394" i="2" s="1"/>
  <c r="T394" i="2"/>
  <c r="M405" i="2"/>
  <c r="N405" i="2" s="1"/>
  <c r="Q405" i="2" s="1"/>
  <c r="R405" i="2" s="1"/>
  <c r="T405" i="2"/>
  <c r="M408" i="2"/>
  <c r="N408" i="2" s="1"/>
  <c r="Q408" i="2" s="1"/>
  <c r="R408" i="2" s="1"/>
  <c r="T408" i="2"/>
  <c r="M412" i="2"/>
  <c r="N412" i="2" s="1"/>
  <c r="Q412" i="2" s="1"/>
  <c r="R412" i="2" s="1"/>
  <c r="T412" i="2"/>
  <c r="M416" i="2"/>
  <c r="N416" i="2" s="1"/>
  <c r="Q416" i="2" s="1"/>
  <c r="R416" i="2" s="1"/>
  <c r="T416" i="2"/>
  <c r="M434" i="2"/>
  <c r="N434" i="2" s="1"/>
  <c r="Q434" i="2" s="1"/>
  <c r="R434" i="2" s="1"/>
  <c r="T434" i="2"/>
  <c r="M438" i="2"/>
  <c r="N438" i="2" s="1"/>
  <c r="Q438" i="2" s="1"/>
  <c r="R438" i="2" s="1"/>
  <c r="T438" i="2"/>
  <c r="M445" i="2"/>
  <c r="N445" i="2" s="1"/>
  <c r="T445" i="2"/>
  <c r="M485" i="2"/>
  <c r="N485" i="2" s="1"/>
  <c r="Q485" i="2" s="1"/>
  <c r="R485" i="2" s="1"/>
  <c r="T485" i="2"/>
  <c r="M489" i="2"/>
  <c r="N489" i="2" s="1"/>
  <c r="Q489" i="2" s="1"/>
  <c r="R489" i="2" s="1"/>
  <c r="T489" i="2"/>
  <c r="M496" i="2"/>
  <c r="N496" i="2" s="1"/>
  <c r="Q496" i="2" s="1"/>
  <c r="R496" i="2" s="1"/>
  <c r="T496" i="2"/>
  <c r="M500" i="2"/>
  <c r="N500" i="2" s="1"/>
  <c r="Q500" i="2" s="1"/>
  <c r="R500" i="2" s="1"/>
  <c r="T500" i="2"/>
  <c r="Q514" i="2"/>
  <c r="R514" i="2" s="1"/>
  <c r="M537" i="2"/>
  <c r="N537" i="2" s="1"/>
  <c r="Q537" i="2" s="1"/>
  <c r="R537" i="2" s="1"/>
  <c r="T537" i="2"/>
  <c r="M541" i="2"/>
  <c r="N541" i="2" s="1"/>
  <c r="Q541" i="2" s="1"/>
  <c r="R541" i="2" s="1"/>
  <c r="T541" i="2"/>
  <c r="M548" i="2"/>
  <c r="N548" i="2" s="1"/>
  <c r="T548" i="2"/>
  <c r="Q563" i="2"/>
  <c r="R563" i="2" s="1"/>
  <c r="M567" i="2"/>
  <c r="N567" i="2" s="1"/>
  <c r="Q567" i="2" s="1"/>
  <c r="R567" i="2" s="1"/>
  <c r="T567" i="2"/>
  <c r="M596" i="2"/>
  <c r="N596" i="2" s="1"/>
  <c r="Q596" i="2" s="1"/>
  <c r="R596" i="2" s="1"/>
  <c r="T596" i="2"/>
  <c r="M600" i="2"/>
  <c r="N600" i="2" s="1"/>
  <c r="Q600" i="2" s="1"/>
  <c r="R600" i="2" s="1"/>
  <c r="T600" i="2"/>
  <c r="M614" i="2"/>
  <c r="N614" i="2" s="1"/>
  <c r="Q614" i="2" s="1"/>
  <c r="R614" i="2" s="1"/>
  <c r="T614" i="2"/>
  <c r="M624" i="2"/>
  <c r="N624" i="2" s="1"/>
  <c r="Q624" i="2" s="1"/>
  <c r="R624" i="2" s="1"/>
  <c r="T624" i="2"/>
  <c r="M627" i="2"/>
  <c r="N627" i="2" s="1"/>
  <c r="Q627" i="2" s="1"/>
  <c r="R627" i="2" s="1"/>
  <c r="T627" i="2"/>
  <c r="M631" i="2"/>
  <c r="N631" i="2" s="1"/>
  <c r="Q631" i="2" s="1"/>
  <c r="R631" i="2" s="1"/>
  <c r="T631" i="2"/>
  <c r="M658" i="2"/>
  <c r="N658" i="2" s="1"/>
  <c r="T658" i="2"/>
  <c r="M661" i="2"/>
  <c r="N661" i="2" s="1"/>
  <c r="Q661" i="2" s="1"/>
  <c r="R661" i="2" s="1"/>
  <c r="T661" i="2"/>
  <c r="M671" i="2"/>
  <c r="N671" i="2" s="1"/>
  <c r="Q671" i="2" s="1"/>
  <c r="R671" i="2" s="1"/>
  <c r="T671" i="2"/>
  <c r="M678" i="2"/>
  <c r="N678" i="2" s="1"/>
  <c r="Q678" i="2" s="1"/>
  <c r="R678" i="2" s="1"/>
  <c r="T678" i="2"/>
  <c r="M682" i="2"/>
  <c r="N682" i="2" s="1"/>
  <c r="Q682" i="2" s="1"/>
  <c r="R682" i="2" s="1"/>
  <c r="T682" i="2"/>
  <c r="M686" i="2"/>
  <c r="N686" i="2" s="1"/>
  <c r="Q686" i="2" s="1"/>
  <c r="R686" i="2" s="1"/>
  <c r="T686" i="2"/>
  <c r="M689" i="2"/>
  <c r="N689" i="2" s="1"/>
  <c r="Q689" i="2" s="1"/>
  <c r="R689" i="2" s="1"/>
  <c r="T689" i="2"/>
  <c r="M693" i="2"/>
  <c r="N693" i="2" s="1"/>
  <c r="Q693" i="2" s="1"/>
  <c r="R693" i="2" s="1"/>
  <c r="T693" i="2"/>
  <c r="M703" i="2"/>
  <c r="N703" i="2" s="1"/>
  <c r="Q703" i="2" s="1"/>
  <c r="R703" i="2" s="1"/>
  <c r="T703" i="2"/>
  <c r="M706" i="2"/>
  <c r="N706" i="2" s="1"/>
  <c r="Q706" i="2" s="1"/>
  <c r="R706" i="2" s="1"/>
  <c r="T706" i="2"/>
  <c r="M719" i="2"/>
  <c r="N719" i="2" s="1"/>
  <c r="Q719" i="2" s="1"/>
  <c r="R719" i="2" s="1"/>
  <c r="T719" i="2"/>
  <c r="M723" i="2"/>
  <c r="N723" i="2" s="1"/>
  <c r="T723" i="2"/>
  <c r="M726" i="2"/>
  <c r="N726" i="2" s="1"/>
  <c r="Q726" i="2" s="1"/>
  <c r="R726" i="2" s="1"/>
  <c r="T726" i="2"/>
  <c r="M730" i="2"/>
  <c r="N730" i="2" s="1"/>
  <c r="Q730" i="2" s="1"/>
  <c r="R730" i="2" s="1"/>
  <c r="T730" i="2"/>
  <c r="M733" i="2"/>
  <c r="N733" i="2" s="1"/>
  <c r="Q733" i="2" s="1"/>
  <c r="R733" i="2" s="1"/>
  <c r="T733" i="2"/>
  <c r="M740" i="2"/>
  <c r="N740" i="2" s="1"/>
  <c r="Q740" i="2" s="1"/>
  <c r="R740" i="2" s="1"/>
  <c r="T740" i="2"/>
  <c r="M744" i="2"/>
  <c r="N744" i="2" s="1"/>
  <c r="Q744" i="2" s="1"/>
  <c r="R744" i="2" s="1"/>
  <c r="T744" i="2"/>
  <c r="M747" i="2"/>
  <c r="N747" i="2" s="1"/>
  <c r="Q747" i="2" s="1"/>
  <c r="R747" i="2" s="1"/>
  <c r="T747" i="2"/>
  <c r="M757" i="2"/>
  <c r="N757" i="2" s="1"/>
  <c r="Q757" i="2" s="1"/>
  <c r="R757" i="2" s="1"/>
  <c r="T757" i="2"/>
  <c r="M794" i="2"/>
  <c r="N794" i="2" s="1"/>
  <c r="Q794" i="2" s="1"/>
  <c r="R794" i="2" s="1"/>
  <c r="T794" i="2"/>
  <c r="M798" i="2"/>
  <c r="N798" i="2" s="1"/>
  <c r="Q798" i="2" s="1"/>
  <c r="R798" i="2" s="1"/>
  <c r="T798" i="2"/>
  <c r="M801" i="2"/>
  <c r="N801" i="2" s="1"/>
  <c r="Q801" i="2" s="1"/>
  <c r="R801" i="2" s="1"/>
  <c r="T801" i="2"/>
  <c r="M805" i="2"/>
  <c r="N805" i="2" s="1"/>
  <c r="Q805" i="2" s="1"/>
  <c r="R805" i="2" s="1"/>
  <c r="T805" i="2"/>
  <c r="M809" i="2"/>
  <c r="N809" i="2" s="1"/>
  <c r="T809" i="2"/>
  <c r="M813" i="2"/>
  <c r="N813" i="2" s="1"/>
  <c r="Q813" i="2" s="1"/>
  <c r="R813" i="2" s="1"/>
  <c r="T813" i="2"/>
  <c r="M828" i="2"/>
  <c r="N828" i="2" s="1"/>
  <c r="Q828" i="2" s="1"/>
  <c r="R828" i="2" s="1"/>
  <c r="T828" i="2"/>
  <c r="M832" i="2"/>
  <c r="N832" i="2" s="1"/>
  <c r="Q832" i="2" s="1"/>
  <c r="R832" i="2" s="1"/>
  <c r="T832" i="2"/>
  <c r="M843" i="2"/>
  <c r="N843" i="2" s="1"/>
  <c r="Q843" i="2" s="1"/>
  <c r="R843" i="2" s="1"/>
  <c r="T843" i="2"/>
  <c r="M850" i="2"/>
  <c r="N850" i="2" s="1"/>
  <c r="Q850" i="2" s="1"/>
  <c r="R850" i="2" s="1"/>
  <c r="T850" i="2"/>
  <c r="M871" i="2"/>
  <c r="N871" i="2" s="1"/>
  <c r="Q871" i="2" s="1"/>
  <c r="R871" i="2" s="1"/>
  <c r="T871" i="2"/>
  <c r="M875" i="2"/>
  <c r="N875" i="2" s="1"/>
  <c r="Q875" i="2" s="1"/>
  <c r="R875" i="2" s="1"/>
  <c r="T875" i="2"/>
  <c r="M878" i="2"/>
  <c r="N878" i="2" s="1"/>
  <c r="Q878" i="2" s="1"/>
  <c r="R878" i="2" s="1"/>
  <c r="T878" i="2"/>
  <c r="M897" i="2"/>
  <c r="N897" i="2" s="1"/>
  <c r="Q897" i="2" s="1"/>
  <c r="R897" i="2" s="1"/>
  <c r="T897" i="2"/>
  <c r="M903" i="2"/>
  <c r="N903" i="2" s="1"/>
  <c r="Q903" i="2" s="1"/>
  <c r="R903" i="2" s="1"/>
  <c r="T903" i="2"/>
  <c r="M910" i="2"/>
  <c r="N910" i="2" s="1"/>
  <c r="Q910" i="2" s="1"/>
  <c r="R910" i="2" s="1"/>
  <c r="T910" i="2"/>
  <c r="M917" i="2"/>
  <c r="N917" i="2" s="1"/>
  <c r="T917" i="2"/>
  <c r="M920" i="2"/>
  <c r="N920" i="2" s="1"/>
  <c r="Q920" i="2" s="1"/>
  <c r="R920" i="2" s="1"/>
  <c r="T920" i="2"/>
  <c r="M924" i="2"/>
  <c r="N924" i="2" s="1"/>
  <c r="Q924" i="2" s="1"/>
  <c r="R924" i="2" s="1"/>
  <c r="T924" i="2"/>
  <c r="M931" i="2"/>
  <c r="N931" i="2" s="1"/>
  <c r="Q931" i="2" s="1"/>
  <c r="R931" i="2" s="1"/>
  <c r="T931" i="2"/>
  <c r="M938" i="2"/>
  <c r="N938" i="2" s="1"/>
  <c r="T938" i="2"/>
  <c r="M945" i="2"/>
  <c r="N945" i="2" s="1"/>
  <c r="Q945" i="2" s="1"/>
  <c r="R945" i="2" s="1"/>
  <c r="T945" i="2"/>
  <c r="M956" i="2"/>
  <c r="N956" i="2" s="1"/>
  <c r="Q956" i="2" s="1"/>
  <c r="R956" i="2" s="1"/>
  <c r="M960" i="2"/>
  <c r="N960" i="2" s="1"/>
  <c r="Q960" i="2" s="1"/>
  <c r="R960" i="2" s="1"/>
  <c r="T960" i="2"/>
  <c r="M963" i="2"/>
  <c r="N963" i="2" s="1"/>
  <c r="Q963" i="2" s="1"/>
  <c r="R963" i="2" s="1"/>
  <c r="T963" i="2"/>
  <c r="M967" i="2"/>
  <c r="N967" i="2" s="1"/>
  <c r="T967" i="2"/>
  <c r="M982" i="2"/>
  <c r="N982" i="2" s="1"/>
  <c r="Q982" i="2" s="1"/>
  <c r="R982" i="2" s="1"/>
  <c r="T982" i="2"/>
  <c r="M986" i="2"/>
  <c r="N986" i="2" s="1"/>
  <c r="Q986" i="2" s="1"/>
  <c r="R986" i="2" s="1"/>
  <c r="T986" i="2"/>
  <c r="M990" i="2"/>
  <c r="N990" i="2" s="1"/>
  <c r="Q990" i="2" s="1"/>
  <c r="R990" i="2" s="1"/>
  <c r="T990" i="2"/>
  <c r="Q998" i="2"/>
  <c r="R998" i="2" s="1"/>
  <c r="T1001" i="2"/>
  <c r="T993" i="2"/>
  <c r="T977" i="2"/>
  <c r="T969" i="2"/>
  <c r="T1000" i="2"/>
  <c r="T992" i="2"/>
  <c r="T976" i="2"/>
  <c r="Q992" i="2"/>
  <c r="R992" i="2" s="1"/>
  <c r="T999" i="2"/>
  <c r="T975" i="2"/>
  <c r="T998" i="2"/>
  <c r="T974" i="2"/>
  <c r="Q993" i="2"/>
  <c r="R993" i="2" s="1"/>
  <c r="Q1000" i="2"/>
  <c r="R1000" i="2" s="1"/>
  <c r="T981" i="2"/>
  <c r="T980" i="2"/>
  <c r="T979" i="2"/>
  <c r="T994" i="2"/>
  <c r="T978" i="2"/>
  <c r="Q604" i="2"/>
  <c r="R604" i="2" s="1"/>
  <c r="Q42" i="2"/>
  <c r="R42" i="2" s="1"/>
  <c r="Q459" i="2"/>
  <c r="R459" i="2" s="1"/>
  <c r="Q577" i="2"/>
  <c r="R577" i="2" s="1"/>
  <c r="Q698" i="2"/>
  <c r="R698" i="2" s="1"/>
  <c r="Q792" i="2"/>
  <c r="R792" i="2" s="1"/>
  <c r="Q724" i="2"/>
  <c r="R724" i="2" s="1"/>
  <c r="Q99" i="2"/>
  <c r="R99" i="2" s="1"/>
  <c r="Q23" i="2"/>
  <c r="R23" i="2" s="1"/>
  <c r="Q40" i="2"/>
  <c r="R40" i="2" s="1"/>
  <c r="Q70" i="2"/>
  <c r="R70" i="2" s="1"/>
  <c r="Q96" i="2"/>
  <c r="R96" i="2" s="1"/>
  <c r="Q179" i="2"/>
  <c r="R179" i="2" s="1"/>
  <c r="Q255" i="2"/>
  <c r="R255" i="2" s="1"/>
  <c r="Q435" i="2"/>
  <c r="R435" i="2" s="1"/>
  <c r="Q507" i="2"/>
  <c r="R507" i="2" s="1"/>
  <c r="Q770" i="2"/>
  <c r="R770" i="2" s="1"/>
  <c r="Q820" i="2"/>
  <c r="R820" i="2" s="1"/>
  <c r="Q267" i="2"/>
  <c r="R267" i="2" s="1"/>
  <c r="Q289" i="2"/>
  <c r="R289" i="2" s="1"/>
  <c r="Q346" i="2"/>
  <c r="R346" i="2" s="1"/>
  <c r="Q353" i="2"/>
  <c r="R353" i="2" s="1"/>
  <c r="Q515" i="2"/>
  <c r="R515" i="2" s="1"/>
  <c r="Q652" i="2"/>
  <c r="R652" i="2" s="1"/>
  <c r="Q759" i="2"/>
  <c r="R759" i="2" s="1"/>
  <c r="Q768" i="2"/>
  <c r="R768" i="2" s="1"/>
  <c r="Q771" i="2"/>
  <c r="R771" i="2" s="1"/>
  <c r="Q967" i="2"/>
  <c r="R967" i="2" s="1"/>
  <c r="Q976" i="2"/>
  <c r="R976" i="2" s="1"/>
  <c r="Q886" i="2"/>
  <c r="R886" i="2" s="1"/>
  <c r="Q266" i="2"/>
  <c r="R266" i="2" s="1"/>
  <c r="Q380" i="2"/>
  <c r="R380" i="2" s="1"/>
  <c r="Q387" i="2"/>
  <c r="R387" i="2" s="1"/>
  <c r="Q404" i="2"/>
  <c r="R404" i="2" s="1"/>
  <c r="Q478" i="2"/>
  <c r="R478" i="2" s="1"/>
  <c r="Q490" i="2"/>
  <c r="R490" i="2" s="1"/>
  <c r="Q493" i="2"/>
  <c r="R493" i="2" s="1"/>
  <c r="Q606" i="2"/>
  <c r="R606" i="2" s="1"/>
  <c r="Q679" i="2"/>
  <c r="R679" i="2" s="1"/>
  <c r="Q865" i="2"/>
  <c r="R865" i="2" s="1"/>
  <c r="Q977" i="2"/>
  <c r="R977" i="2" s="1"/>
  <c r="Q1001" i="2"/>
  <c r="R1001" i="2" s="1"/>
  <c r="Q646" i="2"/>
  <c r="R646" i="2" s="1"/>
  <c r="Q657" i="2"/>
  <c r="R657" i="2" s="1"/>
  <c r="Q720" i="2"/>
  <c r="R720" i="2" s="1"/>
  <c r="Q833" i="2"/>
  <c r="R833" i="2" s="1"/>
  <c r="Q132" i="2"/>
  <c r="R132" i="2" s="1"/>
  <c r="Q186" i="2"/>
  <c r="R186" i="2" s="1"/>
  <c r="Q122" i="2"/>
  <c r="R122" i="2" s="1"/>
  <c r="Q235" i="2"/>
  <c r="R235" i="2" s="1"/>
  <c r="Q201" i="2"/>
  <c r="R201" i="2" s="1"/>
  <c r="Q587" i="2"/>
  <c r="R587" i="2" s="1"/>
  <c r="Q158" i="2"/>
  <c r="R158" i="2" s="1"/>
  <c r="Q135" i="2"/>
  <c r="R135" i="2" s="1"/>
  <c r="Q425" i="2"/>
  <c r="R425" i="2" s="1"/>
  <c r="Q436" i="2"/>
  <c r="R436" i="2" s="1"/>
  <c r="Q517" i="2"/>
  <c r="R517" i="2" s="1"/>
  <c r="Q572" i="2"/>
  <c r="R572" i="2" s="1"/>
  <c r="Q809" i="2"/>
  <c r="R809" i="2" s="1"/>
  <c r="Q77" i="2"/>
  <c r="R77" i="2" s="1"/>
  <c r="Q232" i="2"/>
  <c r="R232" i="2" s="1"/>
  <c r="Q481" i="2"/>
  <c r="R481" i="2" s="1"/>
  <c r="Q486" i="2"/>
  <c r="R486" i="2" s="1"/>
  <c r="Q145" i="2"/>
  <c r="R145" i="2" s="1"/>
  <c r="Q149" i="2"/>
  <c r="R149" i="2" s="1"/>
  <c r="Q238" i="2"/>
  <c r="R238" i="2" s="1"/>
  <c r="Q398" i="2"/>
  <c r="R398" i="2" s="1"/>
  <c r="Q593" i="2"/>
  <c r="R593" i="2" s="1"/>
  <c r="Q445" i="2"/>
  <c r="R445" i="2" s="1"/>
  <c r="Q510" i="2"/>
  <c r="R510" i="2" s="1"/>
  <c r="Q778" i="2"/>
  <c r="R778" i="2" s="1"/>
  <c r="Q917" i="2"/>
  <c r="R917" i="2" s="1"/>
  <c r="Q265" i="2"/>
  <c r="R265" i="2" s="1"/>
  <c r="Q348" i="2"/>
  <c r="R348" i="2" s="1"/>
  <c r="Q564" i="2"/>
  <c r="R564" i="2" s="1"/>
  <c r="Q814" i="2"/>
  <c r="R814" i="2" s="1"/>
  <c r="Q942" i="2"/>
  <c r="R942" i="2" s="1"/>
  <c r="Q975" i="2"/>
  <c r="R975" i="2" s="1"/>
  <c r="Q978" i="2"/>
  <c r="R978" i="2" s="1"/>
  <c r="Q858" i="2"/>
  <c r="R858" i="2" s="1"/>
  <c r="Q999" i="2"/>
  <c r="R999" i="2" s="1"/>
  <c r="Q501" i="2"/>
  <c r="R501" i="2" s="1"/>
  <c r="Q643" i="2"/>
  <c r="R643" i="2" s="1"/>
  <c r="Q937" i="2"/>
  <c r="R937" i="2" s="1"/>
  <c r="Q543" i="2"/>
  <c r="R543" i="2" s="1"/>
  <c r="Q672" i="2"/>
  <c r="R672" i="2" s="1"/>
  <c r="Q683" i="2"/>
  <c r="R683" i="2" s="1"/>
  <c r="Q761" i="2"/>
  <c r="R761" i="2" s="1"/>
  <c r="Q764" i="2"/>
  <c r="R764" i="2" s="1"/>
  <c r="Q808" i="2"/>
  <c r="R808" i="2" s="1"/>
  <c r="Q981" i="2"/>
  <c r="R981" i="2" s="1"/>
  <c r="Q519" i="2"/>
  <c r="R519" i="2" s="1"/>
  <c r="Q667" i="2"/>
  <c r="R667" i="2" s="1"/>
  <c r="Q728" i="2"/>
  <c r="R728" i="2" s="1"/>
  <c r="Q806" i="2"/>
  <c r="R806" i="2" s="1"/>
  <c r="Q855" i="2"/>
  <c r="R855" i="2" s="1"/>
  <c r="Q902" i="2"/>
  <c r="R902" i="2" s="1"/>
  <c r="Q979" i="2"/>
  <c r="R979" i="2" s="1"/>
  <c r="Q879" i="2"/>
  <c r="R879" i="2" s="1"/>
  <c r="Q697" i="2"/>
  <c r="R697" i="2" s="1"/>
  <c r="Q891" i="2"/>
  <c r="R891" i="2" s="1"/>
  <c r="Q8" i="2"/>
  <c r="R8" i="2" s="1"/>
  <c r="Q11" i="2"/>
  <c r="R11" i="2" s="1"/>
  <c r="Q34" i="2"/>
  <c r="R34" i="2" s="1"/>
  <c r="Q190" i="2"/>
  <c r="R190" i="2" s="1"/>
  <c r="Q278" i="2"/>
  <c r="R278" i="2" s="1"/>
  <c r="Q128" i="2"/>
  <c r="R128" i="2" s="1"/>
  <c r="Q189" i="2"/>
  <c r="R189" i="2" s="1"/>
  <c r="Q280" i="2"/>
  <c r="R280" i="2" s="1"/>
  <c r="Q341" i="2"/>
  <c r="R341" i="2" s="1"/>
  <c r="Q343" i="2"/>
  <c r="R343" i="2" s="1"/>
  <c r="Q90" i="2"/>
  <c r="R90" i="2" s="1"/>
  <c r="Q130" i="2"/>
  <c r="R130" i="2" s="1"/>
  <c r="Q424" i="2"/>
  <c r="R424" i="2" s="1"/>
  <c r="Q392" i="2"/>
  <c r="R392" i="2" s="1"/>
  <c r="Q442" i="2"/>
  <c r="R442" i="2" s="1"/>
  <c r="Q284" i="2"/>
  <c r="R284" i="2" s="1"/>
  <c r="Q299" i="2"/>
  <c r="R299" i="2" s="1"/>
  <c r="Q441" i="2"/>
  <c r="R441" i="2" s="1"/>
  <c r="Q452" i="2"/>
  <c r="R452" i="2" s="1"/>
  <c r="Q468" i="2"/>
  <c r="R468" i="2" s="1"/>
  <c r="Q395" i="2"/>
  <c r="R395" i="2" s="1"/>
  <c r="Q377" i="2"/>
  <c r="R377" i="2" s="1"/>
  <c r="Q388" i="2"/>
  <c r="R388" i="2" s="1"/>
  <c r="Q414" i="2"/>
  <c r="R414" i="2" s="1"/>
  <c r="Q449" i="2"/>
  <c r="R449" i="2" s="1"/>
  <c r="Q536" i="2"/>
  <c r="R536" i="2" s="1"/>
  <c r="Q548" i="2"/>
  <c r="R548" i="2" s="1"/>
  <c r="Q580" i="2"/>
  <c r="R580" i="2" s="1"/>
  <c r="Q610" i="2"/>
  <c r="R610" i="2" s="1"/>
  <c r="Q612" i="2"/>
  <c r="R612" i="2" s="1"/>
  <c r="Q758" i="2"/>
  <c r="R758" i="2" s="1"/>
  <c r="Q760" i="2"/>
  <c r="R760" i="2" s="1"/>
  <c r="Q554" i="2"/>
  <c r="R554" i="2" s="1"/>
  <c r="Q556" i="2"/>
  <c r="R556" i="2" s="1"/>
  <c r="Q586" i="2"/>
  <c r="R586" i="2" s="1"/>
  <c r="Q644" i="2"/>
  <c r="R644" i="2" s="1"/>
  <c r="Q700" i="2"/>
  <c r="R700" i="2" s="1"/>
  <c r="Q635" i="2"/>
  <c r="R635" i="2" s="1"/>
  <c r="Q723" i="2"/>
  <c r="R723" i="2" s="1"/>
  <c r="Q666" i="2"/>
  <c r="R666" i="2" s="1"/>
  <c r="Q658" i="2"/>
  <c r="R658" i="2" s="1"/>
  <c r="Q699" i="2"/>
  <c r="R699" i="2" s="1"/>
  <c r="Q781" i="2"/>
  <c r="R781" i="2" s="1"/>
  <c r="Q856" i="2"/>
  <c r="R856" i="2" s="1"/>
  <c r="Q900" i="2"/>
  <c r="R900" i="2" s="1"/>
  <c r="Q767" i="2"/>
  <c r="R767" i="2" s="1"/>
  <c r="Q913" i="2"/>
  <c r="R913" i="2" s="1"/>
  <c r="Q974" i="2"/>
  <c r="R974" i="2" s="1"/>
  <c r="Q953" i="2"/>
  <c r="R953" i="2" s="1"/>
  <c r="Q895" i="2"/>
  <c r="R895" i="2" s="1"/>
  <c r="Q874" i="2"/>
  <c r="R874" i="2" s="1"/>
  <c r="Q938" i="2"/>
  <c r="R938" i="2" s="1"/>
  <c r="Q980" i="2"/>
  <c r="R980" i="2" s="1"/>
  <c r="Q969" i="2"/>
  <c r="R969" i="2" s="1"/>
  <c r="Q994" i="2"/>
  <c r="R994" i="2" s="1"/>
</calcChain>
</file>

<file path=xl/sharedStrings.xml><?xml version="1.0" encoding="utf-8"?>
<sst xmlns="http://schemas.openxmlformats.org/spreadsheetml/2006/main" count="8321" uniqueCount="1164">
  <si>
    <t>SKU</t>
  </si>
  <si>
    <t>Brand</t>
  </si>
  <si>
    <t>Category</t>
  </si>
  <si>
    <t>Product</t>
  </si>
  <si>
    <t>List Price</t>
  </si>
  <si>
    <t>Unit Cost</t>
  </si>
  <si>
    <t>HC001</t>
  </si>
  <si>
    <t>Brand A</t>
  </si>
  <si>
    <t>Hair Care</t>
  </si>
  <si>
    <t>Shampoo 250ml</t>
  </si>
  <si>
    <t>HC002</t>
  </si>
  <si>
    <t>Shampoo 500ml</t>
  </si>
  <si>
    <t>HC003</t>
  </si>
  <si>
    <t>Conditioner 250ml</t>
  </si>
  <si>
    <t>HC004</t>
  </si>
  <si>
    <t>Brand B</t>
  </si>
  <si>
    <t>HC005</t>
  </si>
  <si>
    <t>HC006</t>
  </si>
  <si>
    <t>Brand C</t>
  </si>
  <si>
    <t>Anti-Dandruff Shampoo</t>
  </si>
  <si>
    <t>HC007</t>
  </si>
  <si>
    <t>Hair Oil</t>
  </si>
  <si>
    <t>HC008</t>
  </si>
  <si>
    <t>Styling Gel</t>
  </si>
  <si>
    <t>SC001</t>
  </si>
  <si>
    <t>Skin Care</t>
  </si>
  <si>
    <t>Body Lotion 400ml</t>
  </si>
  <si>
    <t>SC002</t>
  </si>
  <si>
    <t>Face Cream 50ml</t>
  </si>
  <si>
    <t>SC003</t>
  </si>
  <si>
    <t>Shower Gel 250ml</t>
  </si>
  <si>
    <t>SC004</t>
  </si>
  <si>
    <t>Facial Cleanser</t>
  </si>
  <si>
    <t>SC005</t>
  </si>
  <si>
    <t>Sunscreen 200ml</t>
  </si>
  <si>
    <t>SC006</t>
  </si>
  <si>
    <t>Hand Cream</t>
  </si>
  <si>
    <t>SC007</t>
  </si>
  <si>
    <t>Body Wash</t>
  </si>
  <si>
    <t>LA001</t>
  </si>
  <si>
    <t>Laundry</t>
  </si>
  <si>
    <t>Detergent 1L</t>
  </si>
  <si>
    <t>LA002</t>
  </si>
  <si>
    <t>Detergent Capsules</t>
  </si>
  <si>
    <t>LA003</t>
  </si>
  <si>
    <t>Fabric Softener</t>
  </si>
  <si>
    <t>LA004</t>
  </si>
  <si>
    <t>Stain Remover</t>
  </si>
  <si>
    <t>LA005</t>
  </si>
  <si>
    <t>Color Detergent</t>
  </si>
  <si>
    <t>LA006</t>
  </si>
  <si>
    <t>Sensitive Detergent</t>
  </si>
  <si>
    <t>LA007</t>
  </si>
  <si>
    <t>Laundry Pods</t>
  </si>
  <si>
    <t>LA008</t>
  </si>
  <si>
    <t>OR001</t>
  </si>
  <si>
    <t>Oral Care</t>
  </si>
  <si>
    <t>Toothpaste 75ml</t>
  </si>
  <si>
    <t>OR002</t>
  </si>
  <si>
    <t>Whitening Toothpaste</t>
  </si>
  <si>
    <t>OR003</t>
  </si>
  <si>
    <t>Sensitive Toothpaste</t>
  </si>
  <si>
    <t>OR004</t>
  </si>
  <si>
    <t>Mouthwash 500ml</t>
  </si>
  <si>
    <t>OR005</t>
  </si>
  <si>
    <t>Toothbrush</t>
  </si>
  <si>
    <t>OR006</t>
  </si>
  <si>
    <t>Electric Brush Heads</t>
  </si>
  <si>
    <t>OR007</t>
  </si>
  <si>
    <t>Kids Toothpaste</t>
  </si>
  <si>
    <t>Transaction ID</t>
  </si>
  <si>
    <t>Date</t>
  </si>
  <si>
    <t>Country</t>
  </si>
  <si>
    <t>Channel</t>
  </si>
  <si>
    <t>Units</t>
  </si>
  <si>
    <t>Promotion</t>
  </si>
  <si>
    <t>Discount</t>
  </si>
  <si>
    <t>Net Price</t>
  </si>
  <si>
    <t>Revenue</t>
  </si>
  <si>
    <t>COGS</t>
  </si>
  <si>
    <t xml:space="preserve">Gross Profit </t>
  </si>
  <si>
    <t>Gross Margin (%)</t>
  </si>
  <si>
    <t>Promotion Type</t>
  </si>
  <si>
    <t>TX0001</t>
  </si>
  <si>
    <t>Netherlands</t>
  </si>
  <si>
    <t>Supermarket</t>
  </si>
  <si>
    <t>No</t>
  </si>
  <si>
    <t>No Promotion</t>
  </si>
  <si>
    <t>TX0002</t>
  </si>
  <si>
    <t>Yes</t>
  </si>
  <si>
    <t>Seasonal</t>
  </si>
  <si>
    <t>TX0003</t>
  </si>
  <si>
    <t>TX0004</t>
  </si>
  <si>
    <t>Belgium</t>
  </si>
  <si>
    <t>Bundle</t>
  </si>
  <si>
    <t>TX0005</t>
  </si>
  <si>
    <t>Drugstore</t>
  </si>
  <si>
    <t>TX0006</t>
  </si>
  <si>
    <t>Germany</t>
  </si>
  <si>
    <t>Price Discount</t>
  </si>
  <si>
    <t>TX0007</t>
  </si>
  <si>
    <t>TX0008</t>
  </si>
  <si>
    <t>TX0009</t>
  </si>
  <si>
    <t>TX0010</t>
  </si>
  <si>
    <t>Online</t>
  </si>
  <si>
    <t>TX0011</t>
  </si>
  <si>
    <t>TX0012</t>
  </si>
  <si>
    <t>TX0013</t>
  </si>
  <si>
    <t>TX0014</t>
  </si>
  <si>
    <t>TX0015</t>
  </si>
  <si>
    <t>TX0016</t>
  </si>
  <si>
    <t>TX0017</t>
  </si>
  <si>
    <t>TX0018</t>
  </si>
  <si>
    <t>TX0019</t>
  </si>
  <si>
    <t>TX0020</t>
  </si>
  <si>
    <t>TX0021</t>
  </si>
  <si>
    <t>TX0022</t>
  </si>
  <si>
    <t>TX0023</t>
  </si>
  <si>
    <t>TX0024</t>
  </si>
  <si>
    <t>TX0025</t>
  </si>
  <si>
    <t>TX0026</t>
  </si>
  <si>
    <t>TX0027</t>
  </si>
  <si>
    <t>TX0028</t>
  </si>
  <si>
    <t>TX0029</t>
  </si>
  <si>
    <t>TX0030</t>
  </si>
  <si>
    <t>TX0031</t>
  </si>
  <si>
    <t>TX0032</t>
  </si>
  <si>
    <t>TX0033</t>
  </si>
  <si>
    <t>TX0034</t>
  </si>
  <si>
    <t>TX0035</t>
  </si>
  <si>
    <t>TX0036</t>
  </si>
  <si>
    <t>TX0037</t>
  </si>
  <si>
    <t>TX0038</t>
  </si>
  <si>
    <t>TX0039</t>
  </si>
  <si>
    <t>TX0040</t>
  </si>
  <si>
    <t>TX0041</t>
  </si>
  <si>
    <t>TX0042</t>
  </si>
  <si>
    <t>TX0043</t>
  </si>
  <si>
    <t>TX0044</t>
  </si>
  <si>
    <t>TX0045</t>
  </si>
  <si>
    <t>TX0046</t>
  </si>
  <si>
    <t>TX0047</t>
  </si>
  <si>
    <t>TX0048</t>
  </si>
  <si>
    <t>TX0049</t>
  </si>
  <si>
    <t>TX0050</t>
  </si>
  <si>
    <t>TX0051</t>
  </si>
  <si>
    <t>TX0052</t>
  </si>
  <si>
    <t>TX0053</t>
  </si>
  <si>
    <t>TX0054</t>
  </si>
  <si>
    <t>TX0055</t>
  </si>
  <si>
    <t>TX0056</t>
  </si>
  <si>
    <t>TX0057</t>
  </si>
  <si>
    <t>TX0058</t>
  </si>
  <si>
    <t>TX0059</t>
  </si>
  <si>
    <t>TX0060</t>
  </si>
  <si>
    <t>TX0061</t>
  </si>
  <si>
    <t>TX0062</t>
  </si>
  <si>
    <t>TX0063</t>
  </si>
  <si>
    <t>TX0064</t>
  </si>
  <si>
    <t>TX0065</t>
  </si>
  <si>
    <t>TX0066</t>
  </si>
  <si>
    <t>TX0067</t>
  </si>
  <si>
    <t>TX0068</t>
  </si>
  <si>
    <t>TX0069</t>
  </si>
  <si>
    <t>TX0070</t>
  </si>
  <si>
    <t>TX0071</t>
  </si>
  <si>
    <t>TX0072</t>
  </si>
  <si>
    <t>TX0073</t>
  </si>
  <si>
    <t>TX0074</t>
  </si>
  <si>
    <t>TX0075</t>
  </si>
  <si>
    <t>TX0076</t>
  </si>
  <si>
    <t>TX0077</t>
  </si>
  <si>
    <t>TX0078</t>
  </si>
  <si>
    <t>TX0079</t>
  </si>
  <si>
    <t>TX0080</t>
  </si>
  <si>
    <t>TX0081</t>
  </si>
  <si>
    <t>TX0082</t>
  </si>
  <si>
    <t>TX0083</t>
  </si>
  <si>
    <t>TX0084</t>
  </si>
  <si>
    <t>TX0085</t>
  </si>
  <si>
    <t>TX0086</t>
  </si>
  <si>
    <t>TX0087</t>
  </si>
  <si>
    <t>TX0088</t>
  </si>
  <si>
    <t>TX0089</t>
  </si>
  <si>
    <t>TX0090</t>
  </si>
  <si>
    <t>TX0091</t>
  </si>
  <si>
    <t>TX0092</t>
  </si>
  <si>
    <t>TX0093</t>
  </si>
  <si>
    <t>TX0094</t>
  </si>
  <si>
    <t>TX0095</t>
  </si>
  <si>
    <t>TX0096</t>
  </si>
  <si>
    <t>TX0097</t>
  </si>
  <si>
    <t>TX0098</t>
  </si>
  <si>
    <t>TX0099</t>
  </si>
  <si>
    <t>TX0100</t>
  </si>
  <si>
    <t>TX0101</t>
  </si>
  <si>
    <t>TX0102</t>
  </si>
  <si>
    <t>TX0103</t>
  </si>
  <si>
    <t>TX0104</t>
  </si>
  <si>
    <t>TX0105</t>
  </si>
  <si>
    <t>TX0106</t>
  </si>
  <si>
    <t>TX0107</t>
  </si>
  <si>
    <t>TX0108</t>
  </si>
  <si>
    <t>TX0109</t>
  </si>
  <si>
    <t>TX0110</t>
  </si>
  <si>
    <t>TX0111</t>
  </si>
  <si>
    <t>TX0112</t>
  </si>
  <si>
    <t>TX0113</t>
  </si>
  <si>
    <t>TX0114</t>
  </si>
  <si>
    <t>TX0115</t>
  </si>
  <si>
    <t>TX0116</t>
  </si>
  <si>
    <t>TX0117</t>
  </si>
  <si>
    <t>TX0118</t>
  </si>
  <si>
    <t>TX0119</t>
  </si>
  <si>
    <t>TX0120</t>
  </si>
  <si>
    <t>TX0121</t>
  </si>
  <si>
    <t>TX0122</t>
  </si>
  <si>
    <t>TX0123</t>
  </si>
  <si>
    <t>TX0124</t>
  </si>
  <si>
    <t>TX0125</t>
  </si>
  <si>
    <t>TX0126</t>
  </si>
  <si>
    <t>TX0127</t>
  </si>
  <si>
    <t>TX0128</t>
  </si>
  <si>
    <t>TX0129</t>
  </si>
  <si>
    <t>TX0130</t>
  </si>
  <si>
    <t>TX0131</t>
  </si>
  <si>
    <t>TX0132</t>
  </si>
  <si>
    <t>TX0133</t>
  </si>
  <si>
    <t>TX0134</t>
  </si>
  <si>
    <t>TX0135</t>
  </si>
  <si>
    <t>TX0136</t>
  </si>
  <si>
    <t>TX0137</t>
  </si>
  <si>
    <t>TX0138</t>
  </si>
  <si>
    <t>TX0139</t>
  </si>
  <si>
    <t>TX0140</t>
  </si>
  <si>
    <t>TX0141</t>
  </si>
  <si>
    <t>TX0142</t>
  </si>
  <si>
    <t>TX0143</t>
  </si>
  <si>
    <t>TX0144</t>
  </si>
  <si>
    <t>TX0145</t>
  </si>
  <si>
    <t>TX0146</t>
  </si>
  <si>
    <t>TX0147</t>
  </si>
  <si>
    <t>TX0148</t>
  </si>
  <si>
    <t>TX0149</t>
  </si>
  <si>
    <t>TX0150</t>
  </si>
  <si>
    <t>TX0151</t>
  </si>
  <si>
    <t>TX0152</t>
  </si>
  <si>
    <t>TX0153</t>
  </si>
  <si>
    <t>TX0154</t>
  </si>
  <si>
    <t>TX0155</t>
  </si>
  <si>
    <t>TX0156</t>
  </si>
  <si>
    <t>TX0157</t>
  </si>
  <si>
    <t>TX0158</t>
  </si>
  <si>
    <t>TX0159</t>
  </si>
  <si>
    <t>TX0160</t>
  </si>
  <si>
    <t>TX0161</t>
  </si>
  <si>
    <t>TX0162</t>
  </si>
  <si>
    <t>TX0163</t>
  </si>
  <si>
    <t>TX0164</t>
  </si>
  <si>
    <t>TX0165</t>
  </si>
  <si>
    <t>TX0166</t>
  </si>
  <si>
    <t>TX0167</t>
  </si>
  <si>
    <t>TX0168</t>
  </si>
  <si>
    <t>TX0169</t>
  </si>
  <si>
    <t>TX0170</t>
  </si>
  <si>
    <t>TX0171</t>
  </si>
  <si>
    <t>TX0172</t>
  </si>
  <si>
    <t>TX0173</t>
  </si>
  <si>
    <t>TX0174</t>
  </si>
  <si>
    <t>TX0175</t>
  </si>
  <si>
    <t>TX0176</t>
  </si>
  <si>
    <t>TX0177</t>
  </si>
  <si>
    <t>TX0178</t>
  </si>
  <si>
    <t>TX0179</t>
  </si>
  <si>
    <t>TX0180</t>
  </si>
  <si>
    <t>TX0181</t>
  </si>
  <si>
    <t>TX0182</t>
  </si>
  <si>
    <t>TX0183</t>
  </si>
  <si>
    <t>TX0184</t>
  </si>
  <si>
    <t>TX0185</t>
  </si>
  <si>
    <t>TX0186</t>
  </si>
  <si>
    <t>TX0187</t>
  </si>
  <si>
    <t>TX0188</t>
  </si>
  <si>
    <t>TX0189</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</si>
  <si>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</si>
  <si>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</si>
  <si>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</si>
  <si>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</si>
  <si>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</si>
  <si>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</si>
  <si>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</si>
  <si>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</si>
  <si>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</si>
  <si>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</si>
  <si>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</si>
  <si>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</si>
  <si>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</si>
  <si>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</si>
  <si>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</si>
  <si>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</si>
  <si>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</si>
  <si>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</si>
  <si>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</si>
  <si>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</si>
  <si>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</si>
  <si>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</si>
  <si>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</si>
  <si>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</si>
  <si>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</si>
  <si>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</si>
  <si>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TX0216</t>
  </si>
  <si>
    <t>TX0217</t>
  </si>
  <si>
    <t>TX0218</t>
  </si>
  <si>
    <t>TX0219</t>
  </si>
  <si>
    <t>TX0220</t>
  </si>
  <si>
    <t>TX0221</t>
  </si>
  <si>
    <t>TX0222</t>
  </si>
  <si>
    <t>TX0223</t>
  </si>
  <si>
    <t>TX0224</t>
  </si>
  <si>
    <t>TX0225</t>
  </si>
  <si>
    <t>TX0226</t>
  </si>
  <si>
    <t>TX0227</t>
  </si>
  <si>
    <t>TX0228</t>
  </si>
  <si>
    <t>TX0229</t>
  </si>
  <si>
    <t>TX0230</t>
  </si>
  <si>
    <t>TX0231</t>
  </si>
  <si>
    <t>TX0232</t>
  </si>
  <si>
    <t>TX0233</t>
  </si>
  <si>
    <t>TX0234</t>
  </si>
  <si>
    <t>TX0235</t>
  </si>
  <si>
    <t>TX0236</t>
  </si>
  <si>
    <t>TX0237</t>
  </si>
  <si>
    <t>TX0238</t>
  </si>
  <si>
    <t>TX0239</t>
  </si>
  <si>
    <t>TX0240</t>
  </si>
  <si>
    <t>TX0241</t>
  </si>
  <si>
    <t>TX0242</t>
  </si>
  <si>
    <t>TX0243</t>
  </si>
  <si>
    <t>TX0244</t>
  </si>
  <si>
    <t>TX0245</t>
  </si>
  <si>
    <t>TX0246</t>
  </si>
  <si>
    <t>TX0247</t>
  </si>
  <si>
    <t>TX0248</t>
  </si>
  <si>
    <t>TX0249</t>
  </si>
  <si>
    <t>TX0250</t>
  </si>
  <si>
    <t>TX0251</t>
  </si>
  <si>
    <t>TX0252</t>
  </si>
  <si>
    <t>TX0253</t>
  </si>
  <si>
    <t>TX0254</t>
  </si>
  <si>
    <t>TX0255</t>
  </si>
  <si>
    <t>TX0256</t>
  </si>
  <si>
    <t>TX0257</t>
  </si>
  <si>
    <t>TX0258</t>
  </si>
  <si>
    <t>TX0259</t>
  </si>
  <si>
    <t>TX0260</t>
  </si>
  <si>
    <t>TX0261</t>
  </si>
  <si>
    <t>TX0262</t>
  </si>
  <si>
    <t>TX0263</t>
  </si>
  <si>
    <t>TX0264</t>
  </si>
  <si>
    <t>TX0265</t>
  </si>
  <si>
    <t>TX0266</t>
  </si>
  <si>
    <t>TX0267</t>
  </si>
  <si>
    <t>TX0268</t>
  </si>
  <si>
    <t>TX0269</t>
  </si>
  <si>
    <t>TX0270</t>
  </si>
  <si>
    <t>TX0271</t>
  </si>
  <si>
    <t>TX0272</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</si>
  <si>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</si>
  <si>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</si>
  <si>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</si>
  <si>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</si>
  <si>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</si>
  <si>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</si>
  <si>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</si>
  <si>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</si>
  <si>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</si>
  <si>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</si>
  <si>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</si>
  <si>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</si>
  <si>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</si>
  <si>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</si>
  <si>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</si>
  <si>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</si>
  <si>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</si>
  <si>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</si>
  <si>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</si>
  <si>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</si>
  <si>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TX0293</t>
  </si>
  <si>
    <t>TX0294</t>
  </si>
  <si>
    <t>TX0295</t>
  </si>
  <si>
    <t>TX0296</t>
  </si>
  <si>
    <t>TX0297</t>
  </si>
  <si>
    <t>TX0298</t>
  </si>
  <si>
    <t>TX0299</t>
  </si>
  <si>
    <t>TX0300</t>
  </si>
  <si>
    <t>TX0301</t>
  </si>
  <si>
    <t>TX0302</t>
  </si>
  <si>
    <t>TX0303</t>
  </si>
  <si>
    <t>TX0304</t>
  </si>
  <si>
    <t>TX0305</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</si>
  <si>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</si>
  <si>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</si>
  <si>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</si>
  <si>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</si>
  <si>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</si>
  <si>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</si>
  <si>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</si>
  <si>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</si>
  <si>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</si>
  <si>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</si>
  <si>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</si>
  <si>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</si>
  <si>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</si>
  <si>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</si>
  <si>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</si>
  <si>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</si>
  <si>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</si>
  <si>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</si>
  <si>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</si>
  <si>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</si>
  <si>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</si>
  <si>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</si>
  <si>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</si>
  <si>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</si>
  <si>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</si>
  <si>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</si>
  <si>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</si>
  <si>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</si>
  <si>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</si>
  <si>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</si>
  <si>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</si>
  <si>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</si>
  <si>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</si>
  <si>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</si>
  <si>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</si>
  <si>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</si>
  <si>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</si>
  <si>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</si>
  <si>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</si>
  <si>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</si>
  <si>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</si>
  <si>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</si>
  <si>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</si>
  <si>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</si>
  <si>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</si>
  <si>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</si>
  <si>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</si>
  <si>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</si>
  <si>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</si>
  <si>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</si>
  <si>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</si>
  <si>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</si>
  <si>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</si>
  <si>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</si>
  <si>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</si>
  <si>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</si>
  <si>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</si>
  <si>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</si>
  <si>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</si>
  <si>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</si>
  <si>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</si>
  <si>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</si>
  <si>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</si>
  <si>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</si>
  <si>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</si>
  <si>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</si>
  <si>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</si>
  <si>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</si>
  <si>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</si>
  <si>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</si>
  <si>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</si>
  <si>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</si>
  <si>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</si>
  <si>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</si>
  <si>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</si>
  <si>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</si>
  <si>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</si>
  <si>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</si>
  <si>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</si>
  <si>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</si>
  <si>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</si>
  <si>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</si>
  <si>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</si>
  <si>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</si>
  <si>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</si>
  <si>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</si>
  <si>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</si>
  <si>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</si>
  <si>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</si>
  <si>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</si>
  <si>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</si>
  <si>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</si>
  <si>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</si>
  <si>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</si>
  <si>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</si>
  <si>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</si>
  <si>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</si>
  <si>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</si>
  <si>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</si>
  <si>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</si>
  <si>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</si>
  <si>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</si>
  <si>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</si>
  <si>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</si>
  <si>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</si>
  <si>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</si>
  <si>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</si>
  <si>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</si>
  <si>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</si>
  <si>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</si>
  <si>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</si>
  <si>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</si>
  <si>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</si>
  <si>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</si>
  <si>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</si>
  <si>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</si>
  <si>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</si>
  <si>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</si>
  <si>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</si>
  <si>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</si>
  <si>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</si>
  <si>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</si>
  <si>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</si>
  <si>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</si>
  <si>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</si>
  <si>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</si>
  <si>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</si>
  <si>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</si>
  <si>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</si>
  <si>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</si>
  <si>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</si>
  <si>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</si>
  <si>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</si>
  <si>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</si>
  <si>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</si>
  <si>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</si>
  <si>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</si>
  <si>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</si>
  <si>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TX0444</t>
  </si>
  <si>
    <t>TX0445</t>
  </si>
  <si>
    <t>TX0446</t>
  </si>
  <si>
    <t>TX0447</t>
  </si>
  <si>
    <t>TX0448</t>
  </si>
  <si>
    <t>TX0449</t>
  </si>
  <si>
    <t>TX0450</t>
  </si>
  <si>
    <t>TX0451</t>
  </si>
  <si>
    <t>TX0452</t>
  </si>
  <si>
    <t>TX0453</t>
  </si>
  <si>
    <t>TX0454</t>
  </si>
  <si>
    <t>TX0455</t>
  </si>
  <si>
    <t>TX0456</t>
  </si>
  <si>
    <t>TX0457</t>
  </si>
  <si>
    <t>TX0458</t>
  </si>
  <si>
    <t>TX0459</t>
  </si>
  <si>
    <t>TX0460</t>
  </si>
  <si>
    <t>TX0461</t>
  </si>
  <si>
    <t>TX0462</t>
  </si>
  <si>
    <t>TX0463</t>
  </si>
  <si>
    <t>TX0464</t>
  </si>
  <si>
    <t>TX0465</t>
  </si>
  <si>
    <t>TX0466</t>
  </si>
  <si>
    <t>TX0467</t>
  </si>
  <si>
    <t>TX0468</t>
  </si>
  <si>
    <t>TX0469</t>
  </si>
  <si>
    <t>TX0470</t>
  </si>
  <si>
    <t>TX0471</t>
  </si>
  <si>
    <t>TX0472</t>
  </si>
  <si>
    <t>TX0473</t>
  </si>
  <si>
    <t>TX0474</t>
  </si>
  <si>
    <t>TX0475</t>
  </si>
  <si>
    <t>TX0476</t>
  </si>
  <si>
    <t>TX0477</t>
  </si>
  <si>
    <t>TX0478</t>
  </si>
  <si>
    <t>TX0479</t>
  </si>
  <si>
    <t>TX0480</t>
  </si>
  <si>
    <t>TX0481</t>
  </si>
  <si>
    <t>TX0482</t>
  </si>
  <si>
    <t>TX0483</t>
  </si>
  <si>
    <t>TX0484</t>
  </si>
  <si>
    <t>TX0485</t>
  </si>
  <si>
    <t>TX0486</t>
  </si>
  <si>
    <t>TX0487</t>
  </si>
  <si>
    <t>TX0488</t>
  </si>
  <si>
    <t>TX0489</t>
  </si>
  <si>
    <t>TX0490</t>
  </si>
  <si>
    <t>TX0491</t>
  </si>
  <si>
    <t>TX0492</t>
  </si>
  <si>
    <t>TX0493</t>
  </si>
  <si>
    <t>TX0494</t>
  </si>
  <si>
    <t>TX0495</t>
  </si>
  <si>
    <t>TX0496</t>
  </si>
  <si>
    <t>TX0497</t>
  </si>
  <si>
    <t>TX0498</t>
  </si>
  <si>
    <t>TX0499</t>
  </si>
  <si>
    <t>TX0500</t>
  </si>
  <si>
    <t>TX0501</t>
  </si>
  <si>
    <t>TX0502</t>
  </si>
  <si>
    <t>TX0503</t>
  </si>
  <si>
    <t>TX0504</t>
  </si>
  <si>
    <t>TX0505</t>
  </si>
  <si>
    <t>TX0506</t>
  </si>
  <si>
    <t>TX0507</t>
  </si>
  <si>
    <t>TX0508</t>
  </si>
  <si>
    <t>TX0509</t>
  </si>
  <si>
    <t>TX0510</t>
  </si>
  <si>
    <t>TX0511</t>
  </si>
  <si>
    <t>TX0512</t>
  </si>
  <si>
    <t>TX0513</t>
  </si>
  <si>
    <t>TX0514</t>
  </si>
  <si>
    <t>TX0515</t>
  </si>
  <si>
    <t>TX0516</t>
  </si>
  <si>
    <t>TX0517</t>
  </si>
  <si>
    <t>TX0518</t>
  </si>
  <si>
    <t>TX0519</t>
  </si>
  <si>
    <t>TX0520</t>
  </si>
  <si>
    <t>TX0521</t>
  </si>
  <si>
    <t>TX0522</t>
  </si>
  <si>
    <t>TX0523</t>
  </si>
  <si>
    <t>TX0524</t>
  </si>
  <si>
    <t>TX0525</t>
  </si>
  <si>
    <t>TX0526</t>
  </si>
  <si>
    <t>TX0527</t>
  </si>
  <si>
    <t>TX0528</t>
  </si>
  <si>
    <t>TX0529</t>
  </si>
  <si>
    <t>TX0530</t>
  </si>
  <si>
    <t>TX0531</t>
  </si>
  <si>
    <t>TX0532</t>
  </si>
  <si>
    <t>TX0533</t>
  </si>
  <si>
    <t>TX0534</t>
  </si>
  <si>
    <t>TX0535</t>
  </si>
  <si>
    <t>TX0536</t>
  </si>
  <si>
    <t>TX0537</t>
  </si>
  <si>
    <t>TX0538</t>
  </si>
  <si>
    <t>TX0539</t>
  </si>
  <si>
    <t>TX0540</t>
  </si>
  <si>
    <t>TX0541</t>
  </si>
  <si>
    <t>TX0542</t>
  </si>
  <si>
    <t>TX0543</t>
  </si>
  <si>
    <t>TX0544</t>
  </si>
  <si>
    <t>TX0545</t>
  </si>
  <si>
    <t>TX0546</t>
  </si>
  <si>
    <t>TX0547</t>
  </si>
  <si>
    <t>TX0548</t>
  </si>
  <si>
    <t>TX0549</t>
  </si>
  <si>
    <t>TX0550</t>
  </si>
  <si>
    <t>TX0551</t>
  </si>
  <si>
    <t>TX0552</t>
  </si>
  <si>
    <t>TX0553</t>
  </si>
  <si>
    <t>TX0554</t>
  </si>
  <si>
    <t>TX0555</t>
  </si>
  <si>
    <t>TX0556</t>
  </si>
  <si>
    <t>TX0557</t>
  </si>
  <si>
    <t>TX0558</t>
  </si>
  <si>
    <t>TX0559</t>
  </si>
  <si>
    <t>TX0560</t>
  </si>
  <si>
    <t>TX0561</t>
  </si>
  <si>
    <t>TX0562</t>
  </si>
  <si>
    <t>TX0563</t>
  </si>
  <si>
    <t>TX0564</t>
  </si>
  <si>
    <t>TX0565</t>
  </si>
  <si>
    <t>TX0566</t>
  </si>
  <si>
    <t>TX0567</t>
  </si>
  <si>
    <t>TX0568</t>
  </si>
  <si>
    <t>TX0569</t>
  </si>
  <si>
    <t>TX0570</t>
  </si>
  <si>
    <t>TX0571</t>
  </si>
  <si>
    <t>TX0572</t>
  </si>
  <si>
    <t>TX0573</t>
  </si>
  <si>
    <t>TX0574</t>
  </si>
  <si>
    <t>TX0575</t>
  </si>
  <si>
    <t>TX0576</t>
  </si>
  <si>
    <t>TX0577</t>
  </si>
  <si>
    <t>TX0578</t>
  </si>
  <si>
    <t>TX0579</t>
  </si>
  <si>
    <t>TX0580</t>
  </si>
  <si>
    <t>TX0581</t>
  </si>
  <si>
    <t>TX0582</t>
  </si>
  <si>
    <t>TX0583</t>
  </si>
  <si>
    <t>TX0584</t>
  </si>
  <si>
    <t>TX0585</t>
  </si>
  <si>
    <t>TX0586</t>
  </si>
  <si>
    <t>TX0587</t>
  </si>
  <si>
    <t>TX0588</t>
  </si>
  <si>
    <t>TX0589</t>
  </si>
  <si>
    <t>TX0590</t>
  </si>
  <si>
    <t>TX0591</t>
  </si>
  <si>
    <t>TX0592</t>
  </si>
  <si>
    <t>TX0593</t>
  </si>
  <si>
    <t>TX0594</t>
  </si>
  <si>
    <t>TX0595</t>
  </si>
  <si>
    <t>TX0596</t>
  </si>
  <si>
    <t>TX0597</t>
  </si>
  <si>
    <t>TX0598</t>
  </si>
  <si>
    <t>TX0599</t>
  </si>
  <si>
    <t>TX0600</t>
  </si>
  <si>
    <t>TX0601</t>
  </si>
  <si>
    <t>TX0602</t>
  </si>
  <si>
    <t>TX0603</t>
  </si>
  <si>
    <t>TX0604</t>
  </si>
  <si>
    <t>TX0605</t>
  </si>
  <si>
    <t>TX0606</t>
  </si>
  <si>
    <t>TX0607</t>
  </si>
  <si>
    <t>TX0608</t>
  </si>
  <si>
    <t>TX0609</t>
  </si>
  <si>
    <t>TX0610</t>
  </si>
  <si>
    <t>TX0611</t>
  </si>
  <si>
    <t>TX0612</t>
  </si>
  <si>
    <t>TX0613</t>
  </si>
  <si>
    <t>TX0614</t>
  </si>
  <si>
    <t>TX0615</t>
  </si>
  <si>
    <t>TX0616</t>
  </si>
  <si>
    <t>TX0617</t>
  </si>
  <si>
    <t>TX0618</t>
  </si>
  <si>
    <t>TX0619</t>
  </si>
  <si>
    <t>TX0620</t>
  </si>
  <si>
    <t>TX0621</t>
  </si>
  <si>
    <t>TX0622</t>
  </si>
  <si>
    <t>TX0623</t>
  </si>
  <si>
    <t>TX0624</t>
  </si>
  <si>
    <t>TX0625</t>
  </si>
  <si>
    <t>TX0626</t>
  </si>
  <si>
    <t>TX0627</t>
  </si>
  <si>
    <t>TX0628</t>
  </si>
  <si>
    <t>TX0629</t>
  </si>
  <si>
    <t>TX0630</t>
  </si>
  <si>
    <t>TX0631</t>
  </si>
  <si>
    <t>TX0632</t>
  </si>
  <si>
    <t>TX0633</t>
  </si>
  <si>
    <t>TX0634</t>
  </si>
  <si>
    <t>TX0635</t>
  </si>
  <si>
    <t>TX0636</t>
  </si>
  <si>
    <t>TX0637</t>
  </si>
  <si>
    <t>TX0638</t>
  </si>
  <si>
    <t>TX0639</t>
  </si>
  <si>
    <t>TX0640</t>
  </si>
  <si>
    <t>TX0641</t>
  </si>
  <si>
    <t>TX0642</t>
  </si>
  <si>
    <t>TX0643</t>
  </si>
  <si>
    <t>TX0644</t>
  </si>
  <si>
    <t>TX0645</t>
  </si>
  <si>
    <t>TX0646</t>
  </si>
  <si>
    <t>TX0647</t>
  </si>
  <si>
    <t>TX0648</t>
  </si>
  <si>
    <t>TX0649</t>
  </si>
  <si>
    <t>TX0650</t>
  </si>
  <si>
    <t>TX0651</t>
  </si>
  <si>
    <t>TX0652</t>
  </si>
  <si>
    <t>TX0653</t>
  </si>
  <si>
    <t>TX0654</t>
  </si>
  <si>
    <t>TX0655</t>
  </si>
  <si>
    <t>TX0656</t>
  </si>
  <si>
    <t>TX0657</t>
  </si>
  <si>
    <t>TX0658</t>
  </si>
  <si>
    <t>TX0659</t>
  </si>
  <si>
    <t>TX0660</t>
  </si>
  <si>
    <t>TX0661</t>
  </si>
  <si>
    <t>TX0662</t>
  </si>
  <si>
    <t>TX0663</t>
  </si>
  <si>
    <t>TX0664</t>
  </si>
  <si>
    <t>TX0665</t>
  </si>
  <si>
    <t>TX0666</t>
  </si>
  <si>
    <t>TX0667</t>
  </si>
  <si>
    <t>TX0668</t>
  </si>
  <si>
    <t>TX0669</t>
  </si>
  <si>
    <t>TX0670</t>
  </si>
  <si>
    <t>TX0671</t>
  </si>
  <si>
    <t>TX0672</t>
  </si>
  <si>
    <t>TX0673</t>
  </si>
  <si>
    <t>TX0674</t>
  </si>
  <si>
    <t>TX0675</t>
  </si>
  <si>
    <t>TX0676</t>
  </si>
  <si>
    <t>TX0677</t>
  </si>
  <si>
    <t>TX0678</t>
  </si>
  <si>
    <t>TX0679</t>
  </si>
  <si>
    <t>TX0680</t>
  </si>
  <si>
    <t>TX0681</t>
  </si>
  <si>
    <t>TX0682</t>
  </si>
  <si>
    <t>TX0683</t>
  </si>
  <si>
    <t>TX0684</t>
  </si>
  <si>
    <t>TX0685</t>
  </si>
  <si>
    <t>TX0686</t>
  </si>
  <si>
    <t>TX0687</t>
  </si>
  <si>
    <t>TX0688</t>
  </si>
  <si>
    <t>TX0689</t>
  </si>
  <si>
    <t>TX0690</t>
  </si>
  <si>
    <t>TX0691</t>
  </si>
  <si>
    <t>TX0692</t>
  </si>
  <si>
    <t>TX0693</t>
  </si>
  <si>
    <t>TX0694</t>
  </si>
  <si>
    <t>TX0695</t>
  </si>
  <si>
    <t>TX0696</t>
  </si>
  <si>
    <t>TX0697</t>
  </si>
  <si>
    <t>TX0698</t>
  </si>
  <si>
    <t>TX0699</t>
  </si>
  <si>
    <t>TX0700</t>
  </si>
  <si>
    <t>TX0701</t>
  </si>
  <si>
    <t>TX0702</t>
  </si>
  <si>
    <t>TX0703</t>
  </si>
  <si>
    <t>TX0704</t>
  </si>
  <si>
    <t>TX0705</t>
  </si>
  <si>
    <t>TX0706</t>
  </si>
  <si>
    <t>TX0707</t>
  </si>
  <si>
    <t>TX0708</t>
  </si>
  <si>
    <t>TX0709</t>
  </si>
  <si>
    <t>TX0710</t>
  </si>
  <si>
    <t>TX0711</t>
  </si>
  <si>
    <t>TX0712</t>
  </si>
  <si>
    <t>TX0713</t>
  </si>
  <si>
    <t>TX0714</t>
  </si>
  <si>
    <t>TX0715</t>
  </si>
  <si>
    <t>TX0716</t>
  </si>
  <si>
    <t>TX0717</t>
  </si>
  <si>
    <t>TX0718</t>
  </si>
  <si>
    <t>TX0719</t>
  </si>
  <si>
    <t>TX0720</t>
  </si>
  <si>
    <t>TX0721</t>
  </si>
  <si>
    <t>TX0722</t>
  </si>
  <si>
    <t>TX0723</t>
  </si>
  <si>
    <t>TX0724</t>
  </si>
  <si>
    <t>TX0725</t>
  </si>
  <si>
    <t>TX0726</t>
  </si>
  <si>
    <t>TX0727</t>
  </si>
  <si>
    <t>TX0728</t>
  </si>
  <si>
    <t>TX0729</t>
  </si>
  <si>
    <t>TX0730</t>
  </si>
  <si>
    <t>TX0731</t>
  </si>
  <si>
    <t>TX0732</t>
  </si>
  <si>
    <t>TX0733</t>
  </si>
  <si>
    <t>TX0734</t>
  </si>
  <si>
    <t>TX0735</t>
  </si>
  <si>
    <t>TX0736</t>
  </si>
  <si>
    <t>TX0737</t>
  </si>
  <si>
    <t>TX0738</t>
  </si>
  <si>
    <t>TX0739</t>
  </si>
  <si>
    <t>TX0740</t>
  </si>
  <si>
    <t>TX0741</t>
  </si>
  <si>
    <t>TX0742</t>
  </si>
  <si>
    <t>TX0743</t>
  </si>
  <si>
    <t>TX0744</t>
  </si>
  <si>
    <t>TX0745</t>
  </si>
  <si>
    <t>TX0746</t>
  </si>
  <si>
    <t>TX0747</t>
  </si>
  <si>
    <t>TX0748</t>
  </si>
  <si>
    <t>TX0749</t>
  </si>
  <si>
    <t>TX0750</t>
  </si>
  <si>
    <t>TX0751</t>
  </si>
  <si>
    <t>TX0752</t>
  </si>
  <si>
    <t>TX0753</t>
  </si>
  <si>
    <t>TX0754</t>
  </si>
  <si>
    <t>TX0755</t>
  </si>
  <si>
    <t>TX0756</t>
  </si>
  <si>
    <t>TX0757</t>
  </si>
  <si>
    <t>TX0758</t>
  </si>
  <si>
    <t>TX0759</t>
  </si>
  <si>
    <t>TX0760</t>
  </si>
  <si>
    <t>TX0761</t>
  </si>
  <si>
    <t>TX0762</t>
  </si>
  <si>
    <t>TX0763</t>
  </si>
  <si>
    <t>TX0764</t>
  </si>
  <si>
    <t>TX0765</t>
  </si>
  <si>
    <t>TX0766</t>
  </si>
  <si>
    <t>TX0767</t>
  </si>
  <si>
    <t>TX0768</t>
  </si>
  <si>
    <t>TX0769</t>
  </si>
  <si>
    <t>TX0770</t>
  </si>
  <si>
    <t>TX0771</t>
  </si>
  <si>
    <t>TX0772</t>
  </si>
  <si>
    <t>TX0773</t>
  </si>
  <si>
    <t>TX0774</t>
  </si>
  <si>
    <t>TX0775</t>
  </si>
  <si>
    <t>TX0776</t>
  </si>
  <si>
    <t>TX0777</t>
  </si>
  <si>
    <t>TX0778</t>
  </si>
  <si>
    <t>TX0779</t>
  </si>
  <si>
    <t>TX0780</t>
  </si>
  <si>
    <t>TX0781</t>
  </si>
  <si>
    <t>TX0782</t>
  </si>
  <si>
    <t>TX0783</t>
  </si>
  <si>
    <t>TX0784</t>
  </si>
  <si>
    <t>TX0785</t>
  </si>
  <si>
    <t>TX0786</t>
  </si>
  <si>
    <t>TX0787</t>
  </si>
  <si>
    <t>TX0788</t>
  </si>
  <si>
    <t>TX0789</t>
  </si>
  <si>
    <t>TX0790</t>
  </si>
  <si>
    <t>TX0791</t>
  </si>
  <si>
    <t>TX0792</t>
  </si>
  <si>
    <t>TX0793</t>
  </si>
  <si>
    <t>TX0794</t>
  </si>
  <si>
    <t>TX0795</t>
  </si>
  <si>
    <t>TX0796</t>
  </si>
  <si>
    <t>TX0797</t>
  </si>
  <si>
    <t>TX0798</t>
  </si>
  <si>
    <t>TX0799</t>
  </si>
  <si>
    <t>TX0800</t>
  </si>
  <si>
    <t>TX0801</t>
  </si>
  <si>
    <t>TX0802</t>
  </si>
  <si>
    <t>TX0803</t>
  </si>
  <si>
    <t>TX0804</t>
  </si>
  <si>
    <t>TX0805</t>
  </si>
  <si>
    <t>TX0806</t>
  </si>
  <si>
    <t>TX0807</t>
  </si>
  <si>
    <t>TX0808</t>
  </si>
  <si>
    <t>TX0809</t>
  </si>
  <si>
    <t>TX0810</t>
  </si>
  <si>
    <t>TX0811</t>
  </si>
  <si>
    <t>TX0812</t>
  </si>
  <si>
    <t>TX0813</t>
  </si>
  <si>
    <t>TX0814</t>
  </si>
  <si>
    <t>TX0815</t>
  </si>
  <si>
    <t>TX0816</t>
  </si>
  <si>
    <t>TX0817</t>
  </si>
  <si>
    <t>TX0818</t>
  </si>
  <si>
    <t>TX0819</t>
  </si>
  <si>
    <t>TX0820</t>
  </si>
  <si>
    <t>TX0821</t>
  </si>
  <si>
    <t>TX0822</t>
  </si>
  <si>
    <t>TX0823</t>
  </si>
  <si>
    <t>TX0824</t>
  </si>
  <si>
    <t>TX0825</t>
  </si>
  <si>
    <t>TX0826</t>
  </si>
  <si>
    <t>TX0827</t>
  </si>
  <si>
    <t>TX0828</t>
  </si>
  <si>
    <t>TX0829</t>
  </si>
  <si>
    <t>TX0830</t>
  </si>
  <si>
    <t>TX0831</t>
  </si>
  <si>
    <t>TX0832</t>
  </si>
  <si>
    <t>TX0833</t>
  </si>
  <si>
    <t>TX0834</t>
  </si>
  <si>
    <t>TX0835</t>
  </si>
  <si>
    <t>TX0836</t>
  </si>
  <si>
    <t>TX0837</t>
  </si>
  <si>
    <t>TX0838</t>
  </si>
  <si>
    <t>TX0839</t>
  </si>
  <si>
    <t>TX0840</t>
  </si>
  <si>
    <t>TX0841</t>
  </si>
  <si>
    <t>TX0842</t>
  </si>
  <si>
    <t>TX0843</t>
  </si>
  <si>
    <t>TX0844</t>
  </si>
  <si>
    <t>TX0845</t>
  </si>
  <si>
    <t>TX0846</t>
  </si>
  <si>
    <t>TX0847</t>
  </si>
  <si>
    <t>TX0848</t>
  </si>
  <si>
    <t>TX0849</t>
  </si>
  <si>
    <t>TX0850</t>
  </si>
  <si>
    <t>TX0851</t>
  </si>
  <si>
    <t>TX0852</t>
  </si>
  <si>
    <t>TX0853</t>
  </si>
  <si>
    <t>TX0854</t>
  </si>
  <si>
    <t>TX0855</t>
  </si>
  <si>
    <t>TX0856</t>
  </si>
  <si>
    <t>TX0857</t>
  </si>
  <si>
    <t>TX0858</t>
  </si>
  <si>
    <t>TX0859</t>
  </si>
  <si>
    <t>TX0860</t>
  </si>
  <si>
    <t>TX0861</t>
  </si>
  <si>
    <t>TX0862</t>
  </si>
  <si>
    <t>TX0863</t>
  </si>
  <si>
    <t>TX0864</t>
  </si>
  <si>
    <t>TX0865</t>
  </si>
  <si>
    <t>TX0866</t>
  </si>
  <si>
    <t>TX0867</t>
  </si>
  <si>
    <t>TX0868</t>
  </si>
  <si>
    <t>TX0869</t>
  </si>
  <si>
    <t>TX0870</t>
  </si>
  <si>
    <t>TX0871</t>
  </si>
  <si>
    <t>TX0872</t>
  </si>
  <si>
    <t>TX0873</t>
  </si>
  <si>
    <t>TX0874</t>
  </si>
  <si>
    <t>TX0875</t>
  </si>
  <si>
    <t>TX0876</t>
  </si>
  <si>
    <t>TX0877</t>
  </si>
  <si>
    <t>TX0878</t>
  </si>
  <si>
    <t>TX0879</t>
  </si>
  <si>
    <t>TX0880</t>
  </si>
  <si>
    <t>TX0881</t>
  </si>
  <si>
    <t>TX0882</t>
  </si>
  <si>
    <t>TX0883</t>
  </si>
  <si>
    <t>TX0884</t>
  </si>
  <si>
    <t>TX0885</t>
  </si>
  <si>
    <t>TX0886</t>
  </si>
  <si>
    <t>TX0887</t>
  </si>
  <si>
    <t>TX0888</t>
  </si>
  <si>
    <t>TX0889</t>
  </si>
  <si>
    <t>TX0890</t>
  </si>
  <si>
    <t>TX0891</t>
  </si>
  <si>
    <t>TX0892</t>
  </si>
  <si>
    <t>TX0893</t>
  </si>
  <si>
    <t>TX0894</t>
  </si>
  <si>
    <t>TX0895</t>
  </si>
  <si>
    <t>TX0896</t>
  </si>
  <si>
    <t>TX0897</t>
  </si>
  <si>
    <t>TX0898</t>
  </si>
  <si>
    <t>TX0899</t>
  </si>
  <si>
    <t>TX0900</t>
  </si>
  <si>
    <t>TX0901</t>
  </si>
  <si>
    <t>TX0902</t>
  </si>
  <si>
    <t>TX0903</t>
  </si>
  <si>
    <t>TX0904</t>
  </si>
  <si>
    <t>TX0905</t>
  </si>
  <si>
    <t>TX0906</t>
  </si>
  <si>
    <t>TX0907</t>
  </si>
  <si>
    <t>TX0908</t>
  </si>
  <si>
    <t>TX0909</t>
  </si>
  <si>
    <t>TX0910</t>
  </si>
  <si>
    <t>TX0911</t>
  </si>
  <si>
    <t>TX0912</t>
  </si>
  <si>
    <t>TX0913</t>
  </si>
  <si>
    <t>TX0914</t>
  </si>
  <si>
    <t>TX0915</t>
  </si>
  <si>
    <t>TX0916</t>
  </si>
  <si>
    <t>TX0917</t>
  </si>
  <si>
    <t>TX0918</t>
  </si>
  <si>
    <t>TX0919</t>
  </si>
  <si>
    <t>TX0920</t>
  </si>
  <si>
    <t>TX0921</t>
  </si>
  <si>
    <t>TX0922</t>
  </si>
  <si>
    <t>TX0923</t>
  </si>
  <si>
    <t>TX0924</t>
  </si>
  <si>
    <t>TX0925</t>
  </si>
  <si>
    <t>TX0926</t>
  </si>
  <si>
    <t>TX0927</t>
  </si>
  <si>
    <t>TX0928</t>
  </si>
  <si>
    <t>TX0929</t>
  </si>
  <si>
    <t>TX0930</t>
  </si>
  <si>
    <t>TX0931</t>
  </si>
  <si>
    <t>TX0932</t>
  </si>
  <si>
    <t>TX0933</t>
  </si>
  <si>
    <t>TX0934</t>
  </si>
  <si>
    <t>TX0935</t>
  </si>
  <si>
    <t>TX0936</t>
  </si>
  <si>
    <t>TX0937</t>
  </si>
  <si>
    <t>TX0938</t>
  </si>
  <si>
    <t>TX0939</t>
  </si>
  <si>
    <t>TX0940</t>
  </si>
  <si>
    <t>TX0941</t>
  </si>
  <si>
    <t>TX0942</t>
  </si>
  <si>
    <t>TX0943</t>
  </si>
  <si>
    <t>TX0944</t>
  </si>
  <si>
    <t>TX0945</t>
  </si>
  <si>
    <t>TX0946</t>
  </si>
  <si>
    <t>TX0947</t>
  </si>
  <si>
    <t>TX0948</t>
  </si>
  <si>
    <t>TX0949</t>
  </si>
  <si>
    <t>TX0950</t>
  </si>
  <si>
    <t>TX0951</t>
  </si>
  <si>
    <t>TX0952</t>
  </si>
  <si>
    <t>TX0953</t>
  </si>
  <si>
    <t>TX0954</t>
  </si>
  <si>
    <t>TX0955</t>
  </si>
  <si>
    <t>TX0956</t>
  </si>
  <si>
    <t>TX0957</t>
  </si>
  <si>
    <t>TX0958</t>
  </si>
  <si>
    <t>TX0959</t>
  </si>
  <si>
    <t>TX0960</t>
  </si>
  <si>
    <t>TX0961</t>
  </si>
  <si>
    <t>TX0962</t>
  </si>
  <si>
    <t>TX0963</t>
  </si>
  <si>
    <t>TX0964</t>
  </si>
  <si>
    <t>TX0965</t>
  </si>
  <si>
    <t>TX0966</t>
  </si>
  <si>
    <t>TX0967</t>
  </si>
  <si>
    <t>TX0968</t>
  </si>
  <si>
    <t>TX0969</t>
  </si>
  <si>
    <t>TX0970</t>
  </si>
  <si>
    <t>TX0971</t>
  </si>
  <si>
    <t>TX0972</t>
  </si>
  <si>
    <t>TX0973</t>
  </si>
  <si>
    <t>TX0974</t>
  </si>
  <si>
    <t>TX0975</t>
  </si>
  <si>
    <t>TX0976</t>
  </si>
  <si>
    <t>TX0977</t>
  </si>
  <si>
    <t>TX0978</t>
  </si>
  <si>
    <t>TX0979</t>
  </si>
  <si>
    <t>TX0980</t>
  </si>
  <si>
    <t>TX0981</t>
  </si>
  <si>
    <t>TX0982</t>
  </si>
  <si>
    <t>TX0983</t>
  </si>
  <si>
    <t>TX0984</t>
  </si>
  <si>
    <t>TX0985</t>
  </si>
  <si>
    <t>TX0986</t>
  </si>
  <si>
    <t>TX0987</t>
  </si>
  <si>
    <t>TX0988</t>
  </si>
  <si>
    <t>TX0989</t>
  </si>
  <si>
    <t>TX0990</t>
  </si>
  <si>
    <t>TX0991</t>
  </si>
  <si>
    <t>TX0992</t>
  </si>
  <si>
    <t>TX0993</t>
  </si>
  <si>
    <t>TX0994</t>
  </si>
  <si>
    <t>TX0995</t>
  </si>
  <si>
    <t>TX0996</t>
  </si>
  <si>
    <t>TX0997</t>
  </si>
  <si>
    <t>TX0998</t>
  </si>
  <si>
    <t>TX0999</t>
  </si>
  <si>
    <t>TX1000</t>
  </si>
  <si>
    <t>Promotion Cost</t>
  </si>
  <si>
    <t>Row Labels</t>
  </si>
  <si>
    <t>Grand Total</t>
  </si>
  <si>
    <t>Sum of Revenue</t>
  </si>
  <si>
    <t xml:space="preserve">Sum of Gross Profit </t>
  </si>
  <si>
    <t>Sum of Units</t>
  </si>
  <si>
    <t>Jan</t>
  </si>
  <si>
    <t>Feb</t>
  </si>
  <si>
    <t>Mar</t>
  </si>
  <si>
    <t>Apr</t>
  </si>
  <si>
    <t>May</t>
  </si>
  <si>
    <t>Jun</t>
  </si>
  <si>
    <t>Jul</t>
  </si>
  <si>
    <t>Aug</t>
  </si>
  <si>
    <t>Sep</t>
  </si>
  <si>
    <t>Oct</t>
  </si>
  <si>
    <t>Nov</t>
  </si>
  <si>
    <t>Dec</t>
  </si>
  <si>
    <t>Sum of Promotion Cost</t>
  </si>
  <si>
    <t>Category Revenue</t>
  </si>
  <si>
    <t>Gross Profit Share</t>
  </si>
  <si>
    <t>Gross Margin (By Category)</t>
  </si>
  <si>
    <t>Column Labels</t>
  </si>
  <si>
    <t>Key findings</t>
  </si>
  <si>
    <t>Findings</t>
  </si>
  <si>
    <t>Promotion Type Analysis</t>
  </si>
  <si>
    <t>Price discount generates the most revenue, units and has the highest margin among promotional types</t>
  </si>
  <si>
    <t>Across all promotional types, gross margin averages approximately 49%.</t>
  </si>
  <si>
    <t>Promotion x Category</t>
  </si>
  <si>
    <t>Overall Promotion Performance</t>
  </si>
  <si>
    <t>This suggests that promotion strategy should be evaluated at category level rather than applied uniformly across the portfolio</t>
  </si>
  <si>
    <t>By Category</t>
  </si>
  <si>
    <t>Revenue Dashboard</t>
  </si>
  <si>
    <t>By Channel</t>
  </si>
  <si>
    <t>By Country</t>
  </si>
  <si>
    <t>Overall Commercial Performance</t>
  </si>
  <si>
    <t>Gross Margin %</t>
  </si>
  <si>
    <t>Total Revenue</t>
  </si>
  <si>
    <t xml:space="preserve">Total Gross Profit </t>
  </si>
  <si>
    <t>Total Units</t>
  </si>
  <si>
    <t>Promotion Performance</t>
  </si>
  <si>
    <t>Country x Channel Analysis</t>
  </si>
  <si>
    <t>Product-level Analysis</t>
  </si>
  <si>
    <t>Category Analysis</t>
  </si>
  <si>
    <t>FMCG Commercial Analytics</t>
  </si>
  <si>
    <t>Purpose</t>
  </si>
  <si>
    <t>Scope</t>
  </si>
  <si>
    <t>Important</t>
  </si>
  <si>
    <t>All transaction data is simulated for portfolio use and is not any company's confidential data</t>
  </si>
  <si>
    <t>Oral Care has the highest gross margin (58.8%) and the highest unit volume, indicating strong profitability combined with high sales volume.</t>
  </si>
  <si>
    <t>Products</t>
  </si>
  <si>
    <t>Toothpaste 75ml has the highest gross margin (62.5%) but contributes only 2.4% of total revenue, indicating a high-margin but relatively small revenue contribution.</t>
  </si>
  <si>
    <t>Detergent Capsules generates the highest product-level revenue (€241k; 6.6% of total revenue) but has a relatively low gross margin of 53.2%, highlighting a revenue–margin trade-off.</t>
  </si>
  <si>
    <t>Oral Care combines the highest gross margin with the highest unit volume, while Laundry generates the largest revenue contribution but has the lowest margin. This reinforces the revenue–profitability trade-off identified at category level.</t>
  </si>
  <si>
    <t>Online is the highest-margin channel across Belgium, Germany and the Netherlands, suggesting a relatively favorable channel mix for profitability.</t>
  </si>
  <si>
    <t>Non-promotional transactions generated approximately twice the revenue of promotional transactions (€2.42m vs €1.23m), while unit volume was only 1.5 times higher, reflecting the impact of discounting on realized revenue per unit.</t>
  </si>
  <si>
    <t>Promotional transactions have a substantially lower gross margin than non-promotional transactions (48.7% vs 58.7%), highlighting the margin trade-off associated with discounting.</t>
  </si>
  <si>
    <t>Laundry shows the largest observed margin difference between promotional and non-promotional transactions, with gross margin declining by approximately 11.5 percentage points, compared with approximately 8.5 points in Oral Care.</t>
  </si>
  <si>
    <t>Evaluate commercial performance across products, categories, markets, channels and promotional activities, with a focus on identifying revenue and profitability drivers.</t>
  </si>
  <si>
    <t>Key Assumptions</t>
  </si>
  <si>
    <t>Revenue reflects net selling price after discounts</t>
  </si>
  <si>
    <t>Gross Profit = Revenue - COGS</t>
  </si>
  <si>
    <t>Gross Margin = Gross Profit/ Revenue</t>
  </si>
  <si>
    <t>Promotion Cost represents the value of discounts already reflected in revenue</t>
  </si>
  <si>
    <t>Promotion analysis is descriptive and does not establish causality</t>
  </si>
  <si>
    <t>Analysis is based solely on the variables available in the dataset</t>
  </si>
  <si>
    <t>2026 simulated sales data across the Netherlands, Belgium, and Germany; 30 SKUs; 3 channels; 4 categories</t>
  </si>
  <si>
    <t>Laundry has the largest revenue contribution (32.2%) but the lowest gross margin (53.1%), indicating a revenue–profitability trade-off.</t>
  </si>
  <si>
    <t>Revenue Dashboard, Category &amp; Product Analysis, Country × Channel Analysis, Promotion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</si>
</sst>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2"/>
      <color theme="1"/>
      <name val="Aptos Narrow"/>
      <family val="2"/>
      <scheme val="minor"/>
    </font>
    <font>
      <sz val="12"/>
      <color theme="1"/>
      <name val="Aptos Narrow"/>
      <family val="2"/>
      <scheme val="minor"/>
    </font>
    <font>
      <b/>
      <sz val="11"/>
      <color rgb="FFFFFFFF"/>
      <name val="Calibri"/>
      <family val="2"/>
    </font>
    <font>
      <sz val="12"/>
      <color theme="0"/>
      <name val="Aptos Narrow"/>
      <scheme val="minor"/>
    </font>
    <font>
      <b/>
      <sz val="18"/>
      <color theme="0"/>
      <name val="Aptos Narrow"/>
      <scheme val="minor"/>
    </font>
    <font>
      <i/>
      <sz val="12"/>
      <color theme="1"/>
      <name val="Aptos Narrow"/>
      <scheme val="minor"/>
    </font>
    <font>
      <b/>
      <sz val="12"/>
      <color theme="0"/>
      <name val="Aptos Narrow"/>
      <scheme val="minor"/>
    </font>
    <font>
      <b/>
      <sz val="12"/>
      <color theme="1"/>
      <name val="Aptos Narrow"/>
      <scheme val="minor"/>
    </font>
    <font>
      <b/>
      <sz val="20"/>
      <color theme="0"/>
      <name val="Aptos Narrow"/>
      <scheme val="minor"/>
    </font>
  </fonts>
  <fills count="5">
    <fill>
      <patternFill patternType="none"/>
    </fill>
    <fill>
      <patternFill patternType="gray125"/>
    </fill>
    <fill>
      <patternFill patternType="solid">
        <fgColor rgb="FF1F4E78"/>
      </patternFill>
    </fill>
    <fill>
      <patternFill patternType="solid">
        <fgColor theme="3" tint="9.9978637043366805E-2"/>
        <bgColor indexed="64"/>
      </patternFill>
    </fill>
    <fill>
      <patternFill patternType="solid">
        <fgColor theme="3" tint="0.249977111117893"/>
        <bgColor indexed="64"/>
      </patternFill>
    </fill>
  </fills>
  <borders count="2">
    <border>
      <left/>
      <right/>
      <top/>
      <bottom/>
      <diagonal/>
    </border>
    <border>
      <left/>
      <right/>
      <top/>
      <bottom style="thin">
        <color rgb="FFD9E1F2"/>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2" borderId="1" xfId="0" applyFont="1" applyFill="1" applyBorder="1" applyAlignment="1">
      <alignment horizontal="center"/>
    </xf>
    <xf numFmtId="14" fontId="0" fillId="0" borderId="0" xfId="0" applyNumberFormat="1"/>
    <xf numFmtId="9" fontId="0" fillId="0" borderId="0" xfId="1" applyFont="1"/>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4" fontId="0" fillId="0" borderId="0" xfId="0" applyNumberFormat="1"/>
    <xf numFmtId="0" fontId="3" fillId="3" borderId="0" xfId="0" applyFont="1" applyFill="1"/>
    <xf numFmtId="0" fontId="5" fillId="0" borderId="0" xfId="0" applyFont="1"/>
    <xf numFmtId="0" fontId="6" fillId="4" borderId="0" xfId="0" applyFont="1" applyFill="1"/>
    <xf numFmtId="0" fontId="7" fillId="0" borderId="0" xfId="0" applyFont="1"/>
    <xf numFmtId="0" fontId="7" fillId="0" borderId="0" xfId="0" applyFont="1" applyAlignment="1">
      <alignment horizontal="left"/>
    </xf>
    <xf numFmtId="0" fontId="6" fillId="4" borderId="0" xfId="0" applyFont="1" applyFill="1" applyAlignment="1">
      <alignment horizontal="left"/>
    </xf>
    <xf numFmtId="0" fontId="0" fillId="3" borderId="0" xfId="0" applyFill="1"/>
    <xf numFmtId="0" fontId="8" fillId="3" borderId="0" xfId="0" applyFont="1" applyFill="1"/>
    <xf numFmtId="0" fontId="6" fillId="3" borderId="0" xfId="0" applyFont="1" applyFill="1"/>
    <xf numFmtId="0" fontId="0" fillId="4" borderId="0" xfId="0" applyFill="1"/>
    <xf numFmtId="0" fontId="6" fillId="4" borderId="0" xfId="0" applyFont="1" applyFill="1"/>
    <xf numFmtId="0" fontId="3" fillId="3" borderId="0" xfId="0" applyFont="1" applyFill="1"/>
    <xf numFmtId="0" fontId="4" fillId="3" borderId="0" xfId="0" applyFont="1" applyFill="1"/>
    <xf numFmtId="0" fontId="0" fillId="0" borderId="0" xfId="0" applyAlignment="1">
      <alignment wrapText="1"/>
    </xf>
    <xf numFmtId="0" fontId="8" fillId="3" borderId="0" xfId="0" applyFont="1" applyFill="1"/>
    <xf numFmtId="0" fontId="0" fillId="0" borderId="0" xfId="0" applyAlignment="1">
      <alignment vertical="center" wrapText="1"/>
    </xf>
    <xf numFmtId="0" fontId="0" fillId="0" borderId="0" xfId="0" applyAlignment="1">
      <alignment horizontal="left" wrapText="1"/>
    </xf>
    <xf numFmtId="0" fontId="0" fillId="0" borderId="0" xfId="0" applyNumberFormat="1"/>
  </cellXfs>
  <cellStyles count="2">
    <cellStyle name="Normal" xfId="0" builtinId="0"/>
    <cellStyle name="Percent" xfId="1" builtinId="5"/>
  </cellStyles>
  <dxfs count="26">
    <dxf>
      <numFmt numFmtId="14" formatCode="0.00%"/>
    </dxf>
    <dxf>
      <numFmt numFmtId="3" formatCode="#,##0"/>
    </dxf>
    <dxf>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Aptos Narrow"/>
        <family val="2"/>
        <scheme val="minor"/>
      </font>
      <numFmt numFmtId="14" formatCode="0.00%"/>
    </dxf>
    <dxf>
      <numFmt numFmtId="3" formatCode="#,##0"/>
    </dxf>
    <dxf>
      <numFmt numFmtId="3" formatCode="#,##0"/>
    </dxf>
    <dxf>
      <numFmt numFmtId="4" formatCode="#,##0.00"/>
    </dxf>
    <dxf>
      <numFmt numFmtId="3" formatCode="#,##0"/>
    </dxf>
    <dxf>
      <numFmt numFmtId="4" formatCode="#,##0.00"/>
    </dxf>
    <dxf>
      <font>
        <b val="0"/>
        <i val="0"/>
        <strike val="0"/>
        <condense val="0"/>
        <extend val="0"/>
        <outline val="0"/>
        <shadow val="0"/>
        <u val="none"/>
        <vertAlign val="baseline"/>
        <sz val="11"/>
        <color theme="1"/>
        <name val="Aptos Narrow"/>
        <family val="2"/>
        <scheme val="minor"/>
      </font>
    </dxf>
    <dxf>
      <numFmt numFmtId="0" formatCode="General"/>
    </dxf>
    <dxf>
      <numFmt numFmtId="19" formatCode="d/m/yy"/>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3" tint="9.9948118533890809E-2"/>
          <bgColor theme="3" tint="9.9948118533890809E-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ill>
        <patternFill patternType="solid">
          <fgColor theme="4" tint="0.79995117038483843"/>
          <bgColor theme="3" tint="0.89996032593768116"/>
        </patternFill>
      </fill>
    </dxf>
    <dxf>
      <font>
        <b/>
        <color theme="1"/>
      </font>
    </dxf>
    <dxf>
      <font>
        <b/>
        <color theme="1"/>
      </font>
    </dxf>
    <dxf>
      <font>
        <b/>
        <color theme="1"/>
      </font>
      <border>
        <top style="double">
          <color theme="4"/>
        </top>
      </border>
    </dxf>
    <dxf>
      <font>
        <b/>
        <color theme="0"/>
      </font>
      <fill>
        <patternFill patternType="solid">
          <fgColor theme="3" tint="-0.499984740745262"/>
          <bgColor theme="3"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2" defaultTableStyle="TableStyleMedium2" defaultPivotStyle="PivotStyleLight16">
    <tableStyle name="TableStyleMedium2 2" pivot="0" count="6" xr9:uid="{D66BDC1D-0740-1940-BDB7-28643C7824FE}">
      <tableStyleElement type="wholeTable" dxfId="25"/>
      <tableStyleElement type="headerRow" dxfId="24"/>
      <tableStyleElement type="totalRow" dxfId="23"/>
      <tableStyleElement type="firstColumn" dxfId="22"/>
      <tableStyleElement type="lastColumn" dxfId="21"/>
      <tableStyleElement type="firstRowStripe" dxfId="20"/>
    </tableStyle>
    <tableStyle name="TableStyleMedium2 3" pivot="0" count="7" xr9:uid="{4EF8B59C-495C-594D-A323-00DC254AEE5F}">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[FCMG Commercial Performance Analysis project.xlsx]Revenue Dashboard!PivotTable3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90000"/>
              <a:lumOff val="10000"/>
            </a:schemeClr>
          </a:solidFill>
          <a:ln w="19050">
            <a:solidFill>
              <a:schemeClr val="lt1"/>
            </a:solidFill>
          </a:ln>
          <a:effectLst/>
        </c:spPr>
      </c:pivotFmt>
    </c:pivotFmts>
    <c:plotArea>
      <c:layout/>
      <c:barChart>
        <c:barDir val="bar"/>
        <c:grouping val="clustered"/>
        <c:varyColors val="0"/>
        <c:ser>
          <c:idx val="0"/>
          <c:order val="0"/>
          <c:tx>
            <c:strRef>
              <c:f>'Revenue Dashboard'!$B$19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A1F2-F743-9375-DC908EF57BBA}"/>
              </c:ext>
            </c:extLst>
          </c:dPt>
          <c:dPt>
            <c:idx val="1"/>
            <c:invertIfNegative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A1F2-F743-9375-DC908EF57BBA}"/>
              </c:ext>
            </c:extLst>
          </c:dPt>
          <c:dPt>
            <c:idx val="2"/>
            <c:invertIfNegative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A1F2-F743-9375-DC908EF57BBA}"/>
              </c:ext>
            </c:extLst>
          </c:dPt>
          <c:cat>
            <c:strRef>
              <c:f>'Revenue Dashboard'!$A$20:$A$23</c:f>
              <c:strCache>
                <c:ptCount val="3"/>
                <c:pt idx="0">
                  <c:v>Belgium</c:v>
                </c:pt>
                <c:pt idx="1">
                  <c:v>Germany</c:v>
                </c:pt>
                <c:pt idx="2">
                  <c:v>Netherlands</c:v>
                </c:pt>
              </c:strCache>
            </c:strRef>
          </c:cat>
          <c:val>
            <c:numRef>
              <c:f>'Revenue Dashboard'!$B$20:$B$23</c:f>
              <c:numCache>
                <c:formatCode>#,##0</c:formatCode>
                <c:ptCount val="3"/>
                <c:pt idx="0">
                  <c:v>1306305.1760000002</c:v>
                </c:pt>
                <c:pt idx="1">
                  <c:v>1113290.7120000005</c:v>
                </c:pt>
                <c:pt idx="2">
                  <c:v>1231567.1780000001</c:v>
                </c:pt>
              </c:numCache>
            </c:numRef>
          </c:val>
          <c:extLst>
            <c:ext xmlns:c16="http://schemas.microsoft.com/office/drawing/2014/chart" uri="{C3380CC4-5D6E-409C-BE32-E72D297353CC}">
              <c16:uniqueId val="{00000000-D2DC-884D-847D-49B0E726153D}"/>
            </c:ext>
          </c:extLst>
        </c:ser>
        <c:dLbls>
          <c:showLegendKey val="0"/>
          <c:showVal val="0"/>
          <c:showCatName val="0"/>
          <c:showSerName val="0"/>
          <c:showPercent val="0"/>
          <c:showBubbleSize val="0"/>
        </c:dLbls>
        <c:gapWidth val="100"/>
        <c:axId val="1293922320"/>
        <c:axId val="1292936224"/>
      </c:barChart>
      <c:valAx>
        <c:axId val="12929362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93922320"/>
        <c:crosses val="autoZero"/>
        <c:crossBetween val="between"/>
      </c:valAx>
      <c:catAx>
        <c:axId val="1293922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92936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[FCMG Commercial Performance Analysis project.xlsx]Revenue Dashboard!PivotTable4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Channel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pivotFmt>
      <c:pivotFmt>
        <c:idx val="2"/>
        <c:spPr>
          <a:solidFill>
            <a:schemeClr val="tx2">
              <a:lumMod val="75000"/>
              <a:lumOff val="25000"/>
            </a:schemeClr>
          </a:solidFill>
          <a:ln w="19050">
            <a:solidFill>
              <a:schemeClr val="lt1"/>
            </a:solidFill>
          </a:ln>
          <a:effectLst/>
        </c:spPr>
      </c:pivotFmt>
      <c:pivotFmt>
        <c:idx val="3"/>
        <c:spPr>
          <a:solidFill>
            <a:schemeClr val="tx2">
              <a:lumMod val="90000"/>
              <a:lumOff val="10000"/>
            </a:schemeClr>
          </a:solidFill>
          <a:ln w="19050">
            <a:solidFill>
              <a:schemeClr val="lt1"/>
            </a:solidFill>
          </a:ln>
          <a:effectLst/>
        </c:spPr>
      </c:pivotFmt>
    </c:pivotFmts>
    <c:plotArea>
      <c:layout/>
      <c:barChart>
        <c:barDir val="bar"/>
        <c:grouping val="clustered"/>
        <c:varyColors val="0"/>
        <c:ser>
          <c:idx val="0"/>
          <c:order val="0"/>
          <c:tx>
            <c:strRef>
              <c:f>'Revenue Dashboard'!$B$27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B30E-C34A-8CFD-E65B71A47027}"/>
              </c:ext>
            </c:extLst>
          </c:dPt>
          <c:dPt>
            <c:idx val="1"/>
            <c:invertIfNegative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B30E-C34A-8CFD-E65B71A47027}"/>
              </c:ext>
            </c:extLst>
          </c:dPt>
          <c:dPt>
            <c:idx val="2"/>
            <c:invertIfNegative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B30E-C34A-8CFD-E65B71A47027}"/>
              </c:ext>
            </c:extLst>
          </c:dPt>
          <c:cat>
            <c:strRef>
              <c:f>'Revenue Dashboard'!$A$28:$A$31</c:f>
              <c:strCache>
                <c:ptCount val="3"/>
                <c:pt idx="0">
                  <c:v>Drugstore</c:v>
                </c:pt>
                <c:pt idx="1">
                  <c:v>Online</c:v>
                </c:pt>
                <c:pt idx="2">
                  <c:v>Supermarket</c:v>
                </c:pt>
              </c:strCache>
            </c:strRef>
          </c:cat>
          <c:val>
            <c:numRef>
              <c:f>'Revenue Dashboard'!$B$28:$B$31</c:f>
              <c:numCache>
                <c:formatCode>#,##0</c:formatCode>
                <c:ptCount val="3"/>
                <c:pt idx="0">
                  <c:v>1247920.7640000011</c:v>
                </c:pt>
                <c:pt idx="1">
                  <c:v>1239942.1189999999</c:v>
                </c:pt>
                <c:pt idx="2">
                  <c:v>1163300.1829999997</c:v>
                </c:pt>
              </c:numCache>
            </c:numRef>
          </c:val>
          <c:extLst>
            <c:ext xmlns:c16="http://schemas.microsoft.com/office/drawing/2014/chart" uri="{C3380CC4-5D6E-409C-BE32-E72D297353CC}">
              <c16:uniqueId val="{00000000-DA32-4E40-BB2E-10A956AAFBB9}"/>
            </c:ext>
          </c:extLst>
        </c:ser>
        <c:dLbls>
          <c:showLegendKey val="0"/>
          <c:showVal val="0"/>
          <c:showCatName val="0"/>
          <c:showSerName val="0"/>
          <c:showPercent val="0"/>
          <c:showBubbleSize val="0"/>
        </c:dLbls>
        <c:gapWidth val="100"/>
        <c:axId val="1728117504"/>
        <c:axId val="1737881136"/>
      </c:barChart>
      <c:valAx>
        <c:axId val="17378811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8117504"/>
        <c:crosses val="autoZero"/>
        <c:crossBetween val="between"/>
      </c:valAx>
      <c:catAx>
        <c:axId val="1728117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37881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[FCMG Commercial Performance Analysis project.xlsx]Revenue Dashboard!PivotTable5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Dashboard'!$I$10</c:f>
              <c:strCache>
                <c:ptCount val="1"/>
                <c:pt idx="0">
                  <c:v>Total</c:v>
                </c:pt>
              </c:strCache>
            </c:strRef>
          </c:tx>
          <c:spPr>
            <a:ln w="28575" cap="rnd">
              <a:solidFill>
                <a:schemeClr val="accent1"/>
              </a:solidFill>
              <a:round/>
            </a:ln>
            <a:effectLst/>
          </c:spPr>
          <c:marker>
            <c:symbol val="none"/>
          </c:marker>
          <c:cat>
            <c:strRef>
              <c:f>'Revenue Dashboard'!$H$11:$H$23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Dashboard'!$I$11:$I$23</c:f>
              <c:numCache>
                <c:formatCode>#,##0.00</c:formatCode>
                <c:ptCount val="12"/>
                <c:pt idx="0">
                  <c:v>385294.00999999983</c:v>
                </c:pt>
                <c:pt idx="1">
                  <c:v>266353.87900000002</c:v>
                </c:pt>
                <c:pt idx="2">
                  <c:v>348427.03400000004</c:v>
                </c:pt>
                <c:pt idx="3">
                  <c:v>298889.80200000003</c:v>
                </c:pt>
                <c:pt idx="4">
                  <c:v>262120.49500000005</c:v>
                </c:pt>
                <c:pt idx="5">
                  <c:v>250963.28499999992</c:v>
                </c:pt>
                <c:pt idx="6">
                  <c:v>354901.09200000006</c:v>
                </c:pt>
                <c:pt idx="7">
                  <c:v>307597.7240000001</c:v>
                </c:pt>
                <c:pt idx="8">
                  <c:v>218384.94400000005</c:v>
                </c:pt>
                <c:pt idx="9">
                  <c:v>323628.27100000012</c:v>
                </c:pt>
                <c:pt idx="10">
                  <c:v>345768.89000000007</c:v>
                </c:pt>
                <c:pt idx="11">
                  <c:v>288833.64</c:v>
                </c:pt>
              </c:numCache>
            </c:numRef>
          </c:val>
          <c:smooth val="0"/>
          <c:extLst>
            <c:ext xmlns:c16="http://schemas.microsoft.com/office/drawing/2014/chart" uri="{C3380CC4-5D6E-409C-BE32-E72D297353CC}">
              <c16:uniqueId val="{00000000-970C-C24F-82BF-50E5C7416450}"/>
            </c:ext>
          </c:extLst>
        </c:ser>
        <c:dLbls>
          <c:showLegendKey val="0"/>
          <c:showVal val="0"/>
          <c:showCatName val="0"/>
          <c:showSerName val="0"/>
          <c:showPercent val="0"/>
          <c:showBubbleSize val="0"/>
        </c:dLbls>
        <c:smooth val="0"/>
        <c:axId val="1589879968"/>
        <c:axId val="1589881680"/>
      </c:lineChart>
      <c:catAx>
        <c:axId val="158987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589881680"/>
        <c:crosses val="autoZero"/>
        <c:auto val="1"/>
        <c:lblAlgn val="ctr"/>
        <c:lblOffset val="100"/>
        <c:noMultiLvlLbl val="0"/>
      </c:catAx>
      <c:valAx>
        <c:axId val="158988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5898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Revenue vs. Gross Margin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'Product-level Analysis'!$C$6</c:f>
              <c:strCache>
                <c:ptCount val="1"/>
                <c:pt idx="0">
                  <c:v>Gross Margin %</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a:t>Toothpaste 75ml</a:t>
                    </a:r>
                    <a:r>
                      <a:rPr lang="en-US" baseline="0"/>
                      <a:t> </a:t>
                    </a:r>
                    <a:endParaRPr lang="en-US"/>
                  </a:p>
                </c:rich>
              </c:tx>
              <c:showLegendKey val="0"/>
              <c:showVal val="1"/>
              <c:showCatName val="0"/>
              <c:showSerName val="0"/>
              <c:showPercent val="0"/>
              <c:showBubbleSize val="0"/>
              <c:separator>, </c:separator>
              <c:extLst>
                <c:ext xmlns:c15="http://schemas.microsoft.com/office/drawing/2012/chart" uri="{CE6537A1-D6FC-4f65-9D91-7224C49458BB}">
                  <c15:showDataLabelsRange val="1"/>
                </c:ext>
                <c:ext xmlns:c16="http://schemas.microsoft.com/office/drawing/2014/chart" uri="{C3380CC4-5D6E-409C-BE32-E72D297353CC}">
                  <c16:uniqueId val="{00000002-33FA-8F4E-9396-66F41128D674}"/>
                </c:ext>
              </c:extLst>
            </c:dLbl>
            <c:dLbl>
              <c:idx val="1"/>
              <c:tx>
                <c:rich>
                  <a:bodyPr/>
                  <a:lstStyle/>
                  <a:p>
                    <a:fld id="{255B4B09-1FBB-5A4F-BC4F-A558F59A7B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3FA-8F4E-9396-66F41128D674}"/>
                </c:ext>
              </c:extLst>
            </c:dLbl>
            <c:dLbl>
              <c:idx val="2"/>
              <c:tx>
                <c:rich>
                  <a:bodyPr/>
                  <a:lstStyle/>
                  <a:p>
                    <a:fld id="{8D6F3801-D4CB-E243-A675-C1C6F3B304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3FA-8F4E-9396-66F41128D674}"/>
                </c:ext>
              </c:extLst>
            </c:dLbl>
            <c:dLbl>
              <c:idx val="3"/>
              <c:tx>
                <c:rich>
                  <a:bodyPr/>
                  <a:lstStyle/>
                  <a:p>
                    <a:fld id="{44016842-7DC3-1449-BB1B-BD8A52019F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3FA-8F4E-9396-66F41128D674}"/>
                </c:ext>
              </c:extLst>
            </c:dLbl>
            <c:dLbl>
              <c:idx val="4"/>
              <c:tx>
                <c:rich>
                  <a:bodyPr/>
                  <a:lstStyle/>
                  <a:p>
                    <a:fld id="{304C552B-10AC-8F4D-B4D0-004D617B3A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3FA-8F4E-9396-66F41128D674}"/>
                </c:ext>
              </c:extLst>
            </c:dLbl>
            <c:dLbl>
              <c:idx val="5"/>
              <c:tx>
                <c:rich>
                  <a:bodyPr/>
                  <a:lstStyle/>
                  <a:p>
                    <a:fld id="{2C83F268-857D-A442-A7B1-C2D6A79C25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3FA-8F4E-9396-66F41128D674}"/>
                </c:ext>
              </c:extLst>
            </c:dLbl>
            <c:dLbl>
              <c:idx val="6"/>
              <c:tx>
                <c:rich>
                  <a:bodyPr/>
                  <a:lstStyle/>
                  <a:p>
                    <a:fld id="{9DA8A1F2-B5ED-EA4C-9A40-6395C74520C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3FA-8F4E-9396-66F41128D674}"/>
                </c:ext>
              </c:extLst>
            </c:dLbl>
            <c:dLbl>
              <c:idx val="7"/>
              <c:tx>
                <c:rich>
                  <a:bodyPr/>
                  <a:lstStyle/>
                  <a:p>
                    <a:fld id="{DF4BAA52-E243-8544-83B7-3FEC89ABC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3FA-8F4E-9396-66F41128D674}"/>
                </c:ext>
              </c:extLst>
            </c:dLbl>
            <c:dLbl>
              <c:idx val="8"/>
              <c:tx>
                <c:rich>
                  <a:bodyPr/>
                  <a:lstStyle/>
                  <a:p>
                    <a:fld id="{CEEF80C3-368A-FD42-AD76-3A98C004CD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3FA-8F4E-9396-66F41128D674}"/>
                </c:ext>
              </c:extLst>
            </c:dLbl>
            <c:dLbl>
              <c:idx val="9"/>
              <c:tx>
                <c:rich>
                  <a:bodyPr/>
                  <a:lstStyle/>
                  <a:p>
                    <a:fld id="{9F0779A1-0457-3448-AB47-E6C1DEDCE8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3FA-8F4E-9396-66F41128D674}"/>
                </c:ext>
              </c:extLst>
            </c:dLbl>
            <c:dLbl>
              <c:idx val="10"/>
              <c:tx>
                <c:rich>
                  <a:bodyPr/>
                  <a:lstStyle/>
                  <a:p>
                    <a:fld id="{E9D8B905-6619-4B40-AEAD-8BDCC91BB34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3FA-8F4E-9396-66F41128D674}"/>
                </c:ext>
              </c:extLst>
            </c:dLbl>
            <c:dLbl>
              <c:idx val="11"/>
              <c:tx>
                <c:rich>
                  <a:bodyPr/>
                  <a:lstStyle/>
                  <a:p>
                    <a:fld id="{159B98C2-E829-D949-8941-AADA85484E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3FA-8F4E-9396-66F41128D674}"/>
                </c:ext>
              </c:extLst>
            </c:dLbl>
            <c:dLbl>
              <c:idx val="12"/>
              <c:tx>
                <c:rich>
                  <a:bodyPr/>
                  <a:lstStyle/>
                  <a:p>
                    <a:fld id="{B7EDDE26-7937-AB43-8017-B02BF9E01D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3FA-8F4E-9396-66F41128D674}"/>
                </c:ext>
              </c:extLst>
            </c:dLbl>
            <c:dLbl>
              <c:idx val="13"/>
              <c:tx>
                <c:rich>
                  <a:bodyPr/>
                  <a:lstStyle/>
                  <a:p>
                    <a:fld id="{F5C16439-53FB-164D-87CD-FDC9CA749FA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3FA-8F4E-9396-66F41128D674}"/>
                </c:ext>
              </c:extLst>
            </c:dLbl>
            <c:dLbl>
              <c:idx val="14"/>
              <c:tx>
                <c:rich>
                  <a:bodyPr/>
                  <a:lstStyle/>
                  <a:p>
                    <a:fld id="{4F947C76-26D9-C94B-9A26-20345DFB85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3FA-8F4E-9396-66F41128D674}"/>
                </c:ext>
              </c:extLst>
            </c:dLbl>
            <c:dLbl>
              <c:idx val="15"/>
              <c:tx>
                <c:rich>
                  <a:bodyPr/>
                  <a:lstStyle/>
                  <a:p>
                    <a:fld id="{21A21298-1BEF-FA45-81CA-6A6CAFC963A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3FA-8F4E-9396-66F41128D674}"/>
                </c:ext>
              </c:extLst>
            </c:dLbl>
            <c:dLbl>
              <c:idx val="16"/>
              <c:layout>
                <c:manualLayout>
                  <c:x val="-1.4282859320471038E-3"/>
                  <c:y val="-7.2004332733156809E-3"/>
                </c:manualLayout>
              </c:layout>
              <c:tx>
                <c:rich>
                  <a:bodyPr/>
                  <a:lstStyle/>
                  <a:p>
                    <a:fld id="{B3F8D2E6-EC72-3C44-A871-D9FD8DE17B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33FA-8F4E-9396-66F41128D674}"/>
                </c:ext>
              </c:extLst>
            </c:dLbl>
            <c:dLbl>
              <c:idx val="17"/>
              <c:layout>
                <c:manualLayout>
                  <c:x val="-7.1414296602355185E-3"/>
                  <c:y val="-9.0005415916444356E-3"/>
                </c:manualLayout>
              </c:layout>
              <c:tx>
                <c:rich>
                  <a:bodyPr/>
                  <a:lstStyle/>
                  <a:p>
                    <a:fld id="{3FB9342A-3087-E345-BB94-6CB7005E52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33FA-8F4E-9396-66F41128D674}"/>
                </c:ext>
              </c:extLst>
            </c:dLbl>
            <c:dLbl>
              <c:idx val="18"/>
              <c:tx>
                <c:rich>
                  <a:bodyPr/>
                  <a:lstStyle/>
                  <a:p>
                    <a:fld id="{2EAFA020-50EF-1046-A56B-7FD453A6B6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3FA-8F4E-9396-66F41128D674}"/>
                </c:ext>
              </c:extLst>
            </c:dLbl>
            <c:dLbl>
              <c:idx val="19"/>
              <c:layout>
                <c:manualLayout>
                  <c:x val="-2.6184939596873563E-17"/>
                  <c:y val="9.0005415916443038E-3"/>
                </c:manualLayout>
              </c:layout>
              <c:tx>
                <c:rich>
                  <a:bodyPr/>
                  <a:lstStyle/>
                  <a:p>
                    <a:fld id="{8DF10A60-FC88-7943-9D18-E89714ABE3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33FA-8F4E-9396-66F41128D674}"/>
                </c:ext>
              </c:extLst>
            </c:dLbl>
            <c:dLbl>
              <c:idx val="20"/>
              <c:tx>
                <c:rich>
                  <a:bodyPr/>
                  <a:lstStyle/>
                  <a:p>
                    <a:fld id="{13D388BB-FFB3-DF4B-8A5F-60EC0EEE16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3FA-8F4E-9396-66F41128D674}"/>
                </c:ext>
              </c:extLst>
            </c:dLbl>
            <c:dLbl>
              <c:idx val="21"/>
              <c:tx>
                <c:rich>
                  <a:bodyPr/>
                  <a:lstStyle/>
                  <a:p>
                    <a:fld id="{97CA797A-81E6-7845-81B7-95395E24E39B}"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33FA-8F4E-9396-66F41128D674}"/>
                </c:ext>
              </c:extLst>
            </c:dLbl>
            <c:dLbl>
              <c:idx val="22"/>
              <c:tx>
                <c:rich>
                  <a:bodyPr/>
                  <a:lstStyle/>
                  <a:p>
                    <a:fld id="{6B84A6F6-5514-DA4A-AD11-778484EEDE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3FA-8F4E-9396-66F41128D674}"/>
                </c:ext>
              </c:extLst>
            </c:dLbl>
            <c:dLbl>
              <c:idx val="23"/>
              <c:tx>
                <c:rich>
                  <a:bodyPr/>
                  <a:lstStyle/>
                  <a:p>
                    <a:fld id="{A2D02960-AD61-1A4F-8449-80CF0F2B04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3FA-8F4E-9396-66F41128D674}"/>
                </c:ext>
              </c:extLst>
            </c:dLbl>
            <c:dLbl>
              <c:idx val="24"/>
              <c:tx>
                <c:rich>
                  <a:bodyPr/>
                  <a:lstStyle/>
                  <a:p>
                    <a:fld id="{97A6178C-E77F-304E-964F-D02526FE2C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33FA-8F4E-9396-66F41128D674}"/>
                </c:ext>
              </c:extLst>
            </c:dLbl>
            <c:dLbl>
              <c:idx val="25"/>
              <c:tx>
                <c:rich>
                  <a:bodyPr/>
                  <a:lstStyle/>
                  <a:p>
                    <a:fld id="{E658676A-C5E4-6941-BA65-DA679306EC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3FA-8F4E-9396-66F41128D674}"/>
                </c:ext>
              </c:extLst>
            </c:dLbl>
            <c:dLbl>
              <c:idx val="26"/>
              <c:layout>
                <c:manualLayout>
                  <c:x val="-4.2848577961413113E-3"/>
                  <c:y val="1.0800649909973323E-2"/>
                </c:manualLayout>
              </c:layout>
              <c:tx>
                <c:rich>
                  <a:bodyPr/>
                  <a:lstStyle/>
                  <a:p>
                    <a:fld id="{493AB8E2-3EE6-7549-B66E-39FBAD51DE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33FA-8F4E-9396-66F41128D6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'Product-level Analysis'!$B$7:$B$33</c:f>
              <c:numCache>
                <c:formatCode>#,##0</c:formatCode>
                <c:ptCount val="27"/>
                <c:pt idx="0">
                  <c:v>86821.078999999983</c:v>
                </c:pt>
                <c:pt idx="1">
                  <c:v>82327.314999999988</c:v>
                </c:pt>
                <c:pt idx="2">
                  <c:v>85405.347000000038</c:v>
                </c:pt>
                <c:pt idx="3">
                  <c:v>102306.89500000002</c:v>
                </c:pt>
                <c:pt idx="4">
                  <c:v>67480.875000000015</c:v>
                </c:pt>
                <c:pt idx="5">
                  <c:v>118979.09</c:v>
                </c:pt>
                <c:pt idx="6">
                  <c:v>161024.51400000002</c:v>
                </c:pt>
                <c:pt idx="7">
                  <c:v>221678.24699999997</c:v>
                </c:pt>
                <c:pt idx="8">
                  <c:v>121604.13400000001</c:v>
                </c:pt>
                <c:pt idx="9">
                  <c:v>202240.37</c:v>
                </c:pt>
                <c:pt idx="10">
                  <c:v>100553.00499999999</c:v>
                </c:pt>
                <c:pt idx="11">
                  <c:v>188130.63</c:v>
                </c:pt>
                <c:pt idx="12">
                  <c:v>121421.67000000003</c:v>
                </c:pt>
                <c:pt idx="13">
                  <c:v>93212.559000000008</c:v>
                </c:pt>
                <c:pt idx="14">
                  <c:v>203030.766</c:v>
                </c:pt>
                <c:pt idx="15">
                  <c:v>118709.22499999999</c:v>
                </c:pt>
                <c:pt idx="16">
                  <c:v>73801.681000000011</c:v>
                </c:pt>
                <c:pt idx="17">
                  <c:v>228865.58499999999</c:v>
                </c:pt>
                <c:pt idx="18">
                  <c:v>234694.85399999996</c:v>
                </c:pt>
                <c:pt idx="19">
                  <c:v>70802.810000000012</c:v>
                </c:pt>
                <c:pt idx="20">
                  <c:v>103155.45299999999</c:v>
                </c:pt>
                <c:pt idx="21">
                  <c:v>241135.68600000002</c:v>
                </c:pt>
                <c:pt idx="22">
                  <c:v>153111.43099999998</c:v>
                </c:pt>
                <c:pt idx="23">
                  <c:v>148050.61499999999</c:v>
                </c:pt>
                <c:pt idx="24">
                  <c:v>105948.125</c:v>
                </c:pt>
                <c:pt idx="25">
                  <c:v>111916.02900000001</c:v>
                </c:pt>
                <c:pt idx="26">
                  <c:v>104755.07599999999</c:v>
                </c:pt>
              </c:numCache>
            </c:numRef>
          </c:xVal>
          <c:yVal>
            <c:numRef>
              <c:f>'Product-level Analysis'!$C$7:$C$33</c:f>
              <c:numCache>
                <c:formatCode>0.00%</c:formatCode>
                <c:ptCount val="27"/>
                <c:pt idx="0">
                  <c:v>0.62525690333795558</c:v>
                </c:pt>
                <c:pt idx="1">
                  <c:v>0.62244973008047211</c:v>
                </c:pt>
                <c:pt idx="2">
                  <c:v>0.61249732993883854</c:v>
                </c:pt>
                <c:pt idx="3">
                  <c:v>0.58827212965460418</c:v>
                </c:pt>
                <c:pt idx="4">
                  <c:v>0.58412661365164564</c:v>
                </c:pt>
                <c:pt idx="5">
                  <c:v>0.57829985083933655</c:v>
                </c:pt>
                <c:pt idx="6">
                  <c:v>0.57299669291347788</c:v>
                </c:pt>
                <c:pt idx="7">
                  <c:v>0.57056499097992242</c:v>
                </c:pt>
                <c:pt idx="8">
                  <c:v>0.57011658830611811</c:v>
                </c:pt>
                <c:pt idx="9">
                  <c:v>0.56685205827105611</c:v>
                </c:pt>
                <c:pt idx="10">
                  <c:v>0.56348196655087546</c:v>
                </c:pt>
                <c:pt idx="11">
                  <c:v>0.55547270532182891</c:v>
                </c:pt>
                <c:pt idx="12">
                  <c:v>0.55288705879271793</c:v>
                </c:pt>
                <c:pt idx="13">
                  <c:v>0.55035565540047027</c:v>
                </c:pt>
                <c:pt idx="14">
                  <c:v>0.54485518711976899</c:v>
                </c:pt>
                <c:pt idx="15">
                  <c:v>0.54155542671599455</c:v>
                </c:pt>
                <c:pt idx="16">
                  <c:v>0.53757421866854205</c:v>
                </c:pt>
                <c:pt idx="17">
                  <c:v>0.53744028399901189</c:v>
                </c:pt>
                <c:pt idx="18">
                  <c:v>0.53642145046776368</c:v>
                </c:pt>
                <c:pt idx="19">
                  <c:v>0.53639693113875009</c:v>
                </c:pt>
                <c:pt idx="20">
                  <c:v>0.53400427605121381</c:v>
                </c:pt>
                <c:pt idx="21">
                  <c:v>0.53163796751344383</c:v>
                </c:pt>
                <c:pt idx="22">
                  <c:v>0.53076527643452054</c:v>
                </c:pt>
                <c:pt idx="23">
                  <c:v>0.529065110604235</c:v>
                </c:pt>
                <c:pt idx="24">
                  <c:v>0.52877882454267133</c:v>
                </c:pt>
                <c:pt idx="25">
                  <c:v>0.52016167407083391</c:v>
                </c:pt>
                <c:pt idx="26">
                  <c:v>0.5189159139171452</c:v>
                </c:pt>
              </c:numCache>
            </c:numRef>
          </c:yVal>
          <c:smooth val="0"/>
          <c:extLst>
            <c:ext xmlns:c15="http://schemas.microsoft.com/office/drawing/2012/chart" uri="{02D57815-91ED-43cb-92C2-25804820EDAC}">
              <c15:datalabelsRange>
                <c15:f>'Product-level Analysis'!$A$7:$A$33</c15:f>
                <c15:dlblRangeCache>
                  <c:ptCount val="27"/>
                  <c:pt idx="0">
                    <c:v>Toothpaste 75ml</c:v>
                  </c:pt>
                  <c:pt idx="1">
                    <c:v>Kids Toothpaste</c:v>
                  </c:pt>
                  <c:pt idx="2">
                    <c:v>Whitening Toothpaste</c:v>
                  </c:pt>
                  <c:pt idx="3">
                    <c:v>Sensitive Toothpaste</c:v>
                  </c:pt>
                  <c:pt idx="4">
                    <c:v>Toothbrush</c:v>
                  </c:pt>
                  <c:pt idx="5">
                    <c:v>Body Lotion 400ml</c:v>
                  </c:pt>
                  <c:pt idx="6">
                    <c:v>Hair Oil</c:v>
                  </c:pt>
                  <c:pt idx="7">
                    <c:v>Electric Brush Heads</c:v>
                  </c:pt>
                  <c:pt idx="8">
                    <c:v>Shampoo 500ml</c:v>
                  </c:pt>
                  <c:pt idx="9">
                    <c:v>Mouthwash 500ml</c:v>
                  </c:pt>
                  <c:pt idx="10">
                    <c:v>Sunscreen 200ml</c:v>
                  </c:pt>
                  <c:pt idx="11">
                    <c:v>Shampoo 250ml</c:v>
                  </c:pt>
                  <c:pt idx="12">
                    <c:v>Hand Cream</c:v>
                  </c:pt>
                  <c:pt idx="13">
                    <c:v>Facial Cleanser</c:v>
                  </c:pt>
                  <c:pt idx="14">
                    <c:v>Face Cream 50ml</c:v>
                  </c:pt>
                  <c:pt idx="15">
                    <c:v>Conditioner 250ml</c:v>
                  </c:pt>
                  <c:pt idx="16">
                    <c:v>Shower Gel 250ml</c:v>
                  </c:pt>
                  <c:pt idx="17">
                    <c:v>Color Detergent</c:v>
                  </c:pt>
                  <c:pt idx="18">
                    <c:v>Fabric Softener</c:v>
                  </c:pt>
                  <c:pt idx="19">
                    <c:v>Styling Gel</c:v>
                  </c:pt>
                  <c:pt idx="20">
                    <c:v>Body Wash</c:v>
                  </c:pt>
                  <c:pt idx="21">
                    <c:v>Detergent Capsules</c:v>
                  </c:pt>
                  <c:pt idx="22">
                    <c:v>Anti-Dandruff Shampoo</c:v>
                  </c:pt>
                  <c:pt idx="23">
                    <c:v>Laundry Pods</c:v>
                  </c:pt>
                  <c:pt idx="24">
                    <c:v>Stain Remover</c:v>
                  </c:pt>
                  <c:pt idx="25">
                    <c:v>Detergent 1L</c:v>
                  </c:pt>
                  <c:pt idx="26">
                    <c:v>Sensitive Detergent</c:v>
                  </c:pt>
                </c15:dlblRangeCache>
              </c15:datalabelsRange>
            </c:ext>
            <c:ext xmlns:c16="http://schemas.microsoft.com/office/drawing/2014/chart" uri="{C3380CC4-5D6E-409C-BE32-E72D297353CC}">
              <c16:uniqueId val="{00000000-33FA-8F4E-9396-66F41128D674}"/>
            </c:ext>
          </c:extLst>
        </c:ser>
        <c:dLbls>
          <c:showLegendKey val="0"/>
          <c:showVal val="0"/>
          <c:showCatName val="0"/>
          <c:showSerName val="0"/>
          <c:showPercent val="0"/>
          <c:showBubbleSize val="0"/>
        </c:dLbls>
        <c:axId val="1202328432"/>
        <c:axId val="1202617280"/>
      </c:scatterChart>
      <c:valAx>
        <c:axId val="1202328432"/>
        <c:scaling>
          <c:orientation val="minMax"/>
          <c:max val="300000"/>
          <c:min val="5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US" sz="1100">
                    <a:solidFill>
                      <a:schemeClr val="tx1"/>
                    </a:solidFill>
                  </a:rPr>
                  <a:t>Revenue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V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2617280"/>
        <c:crosses val="autoZero"/>
        <c:crossBetween val="midCat"/>
      </c:valAx>
      <c:valAx>
        <c:axId val="1202617280"/>
        <c:scaling>
          <c:orientation val="minMax"/>
          <c:max val="0.64000000000000012"/>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US" sz="1100">
                    <a:solidFill>
                      <a:schemeClr val="tx1"/>
                    </a:solidFill>
                  </a:rPr>
                  <a:t> Gross</a:t>
                </a:r>
                <a:r>
                  <a:rPr lang="en-US" sz="1100" baseline="0">
                    <a:solidFill>
                      <a:schemeClr val="tx1"/>
                    </a:solidFill>
                  </a:rPr>
                  <a:t> Margin</a:t>
                </a:r>
                <a:endParaRPr lang="en-US" sz="1100">
                  <a:solidFill>
                    <a:schemeClr val="tx1"/>
                  </a:solidFill>
                </a:endParaRPr>
              </a:p>
            </c:rich>
          </c:tx>
          <c:layout>
            <c:manualLayout>
              <c:xMode val="edge"/>
              <c:yMode val="edge"/>
              <c:x val="1.0529353942263698E-2"/>
              <c:y val="0.4303199549986183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2328432"/>
        <c:crosses val="autoZero"/>
        <c:crossBetween val="midCat"/>
        <c:majorUnit val="2.0000000000000004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[FCMG Commercial Performance Analysis project.xlsx]Country x Channel!PivotTable9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x Channel'!$B$6:$B$7</c:f>
              <c:strCache>
                <c:ptCount val="1"/>
                <c:pt idx="0">
                  <c:v>Drugstore</c:v>
                </c:pt>
              </c:strCache>
            </c:strRef>
          </c:tx>
          <c:spPr>
            <a:solidFill>
              <a:schemeClr val="accent4">
                <a:shade val="65000"/>
              </a:schemeClr>
            </a:solidFill>
            <a:ln>
              <a:noFill/>
            </a:ln>
            <a:effectLst/>
          </c:spPr>
          <c:invertIfNegative val="0"/>
          <c:cat>
            <c:strRef>
              <c:f>'Country x Channel'!$A$8:$A$11</c:f>
              <c:strCache>
                <c:ptCount val="3"/>
                <c:pt idx="0">
                  <c:v>Belgium</c:v>
                </c:pt>
                <c:pt idx="1">
                  <c:v>Germany</c:v>
                </c:pt>
                <c:pt idx="2">
                  <c:v>Netherlands</c:v>
                </c:pt>
              </c:strCache>
            </c:strRef>
          </c:cat>
          <c:val>
            <c:numRef>
              <c:f>'Country x Channel'!$B$8:$B$11</c:f>
              <c:numCache>
                <c:formatCode>#,##0</c:formatCode>
                <c:ptCount val="3"/>
                <c:pt idx="0">
                  <c:v>493778.91700000042</c:v>
                </c:pt>
                <c:pt idx="1">
                  <c:v>345340.98200000002</c:v>
                </c:pt>
                <c:pt idx="2">
                  <c:v>408800.86499999993</c:v>
                </c:pt>
              </c:numCache>
            </c:numRef>
          </c:val>
          <c:extLst>
            <c:ext xmlns:c16="http://schemas.microsoft.com/office/drawing/2014/chart" uri="{C3380CC4-5D6E-409C-BE32-E72D297353CC}">
              <c16:uniqueId val="{00000000-E8BA-9D4C-938D-7FF17CA295E1}"/>
            </c:ext>
          </c:extLst>
        </c:ser>
        <c:ser>
          <c:idx val="1"/>
          <c:order val="1"/>
          <c:tx>
            <c:strRef>
              <c:f>'Country x Channel'!$C$6:$C$7</c:f>
              <c:strCache>
                <c:ptCount val="1"/>
                <c:pt idx="0">
                  <c:v>Online</c:v>
                </c:pt>
              </c:strCache>
            </c:strRef>
          </c:tx>
          <c:spPr>
            <a:solidFill>
              <a:schemeClr val="accent4"/>
            </a:solidFill>
            <a:ln>
              <a:noFill/>
            </a:ln>
            <a:effectLst/>
          </c:spPr>
          <c:invertIfNegative val="0"/>
          <c:cat>
            <c:strRef>
              <c:f>'Country x Channel'!$A$8:$A$11</c:f>
              <c:strCache>
                <c:ptCount val="3"/>
                <c:pt idx="0">
                  <c:v>Belgium</c:v>
                </c:pt>
                <c:pt idx="1">
                  <c:v>Germany</c:v>
                </c:pt>
                <c:pt idx="2">
                  <c:v>Netherlands</c:v>
                </c:pt>
              </c:strCache>
            </c:strRef>
          </c:cat>
          <c:val>
            <c:numRef>
              <c:f>'Country x Channel'!$C$8:$C$11</c:f>
              <c:numCache>
                <c:formatCode>#,##0</c:formatCode>
                <c:ptCount val="3"/>
                <c:pt idx="0">
                  <c:v>389695.31400000007</c:v>
                </c:pt>
                <c:pt idx="1">
                  <c:v>429052.54099999997</c:v>
                </c:pt>
                <c:pt idx="2">
                  <c:v>421194.26399999985</c:v>
                </c:pt>
              </c:numCache>
            </c:numRef>
          </c:val>
          <c:extLst>
            <c:ext xmlns:c16="http://schemas.microsoft.com/office/drawing/2014/chart" uri="{C3380CC4-5D6E-409C-BE32-E72D297353CC}">
              <c16:uniqueId val="{00000001-E8BA-9D4C-938D-7FF17CA295E1}"/>
            </c:ext>
          </c:extLst>
        </c:ser>
        <c:ser>
          <c:idx val="2"/>
          <c:order val="2"/>
          <c:tx>
            <c:strRef>
              <c:f>'Country x Channel'!$D$6:$D$7</c:f>
              <c:strCache>
                <c:ptCount val="1"/>
                <c:pt idx="0">
                  <c:v>Supermarket</c:v>
                </c:pt>
              </c:strCache>
            </c:strRef>
          </c:tx>
          <c:spPr>
            <a:solidFill>
              <a:schemeClr val="accent4">
                <a:tint val="65000"/>
              </a:schemeClr>
            </a:solidFill>
            <a:ln>
              <a:noFill/>
            </a:ln>
            <a:effectLst/>
          </c:spPr>
          <c:invertIfNegative val="0"/>
          <c:cat>
            <c:strRef>
              <c:f>'Country x Channel'!$A$8:$A$11</c:f>
              <c:strCache>
                <c:ptCount val="3"/>
                <c:pt idx="0">
                  <c:v>Belgium</c:v>
                </c:pt>
                <c:pt idx="1">
                  <c:v>Germany</c:v>
                </c:pt>
                <c:pt idx="2">
                  <c:v>Netherlands</c:v>
                </c:pt>
              </c:strCache>
            </c:strRef>
          </c:cat>
          <c:val>
            <c:numRef>
              <c:f>'Country x Channel'!$D$8:$D$11</c:f>
              <c:numCache>
                <c:formatCode>#,##0</c:formatCode>
                <c:ptCount val="3"/>
                <c:pt idx="0">
                  <c:v>422830.94500000012</c:v>
                </c:pt>
                <c:pt idx="1">
                  <c:v>338897.1889999999</c:v>
                </c:pt>
                <c:pt idx="2">
                  <c:v>401572.04900000006</c:v>
                </c:pt>
              </c:numCache>
            </c:numRef>
          </c:val>
          <c:extLst>
            <c:ext xmlns:c16="http://schemas.microsoft.com/office/drawing/2014/chart" uri="{C3380CC4-5D6E-409C-BE32-E72D297353CC}">
              <c16:uniqueId val="{00000002-E8BA-9D4C-938D-7FF17CA295E1}"/>
            </c:ext>
          </c:extLst>
        </c:ser>
        <c:dLbls>
          <c:showLegendKey val="0"/>
          <c:showVal val="0"/>
          <c:showCatName val="0"/>
          <c:showSerName val="0"/>
          <c:showPercent val="0"/>
          <c:showBubbleSize val="0"/>
        </c:dLbls>
        <c:gapWidth val="150"/>
        <c:overlap val="100"/>
        <c:axId val="1275669424"/>
        <c:axId val="1275440784"/>
      </c:barChart>
      <c:catAx>
        <c:axId val="12756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75440784"/>
        <c:crosses val="autoZero"/>
        <c:auto val="1"/>
        <c:lblAlgn val="ctr"/>
        <c:lblOffset val="100"/>
        <c:noMultiLvlLbl val="0"/>
      </c:catAx>
      <c:valAx>
        <c:axId val="1275440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756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[FCMG Commercial Performance Analysis project.xlsx]Country x Channel!PivotTable10</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Gross</a:t>
            </a:r>
            <a:r>
              <a:rPr lang="en-US" b="1" baseline="0"/>
              <a:t> Margin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x Channel'!$J$6:$J$7</c:f>
              <c:strCache>
                <c:ptCount val="1"/>
                <c:pt idx="0">
                  <c:v>Drugstore</c:v>
                </c:pt>
              </c:strCache>
            </c:strRef>
          </c:tx>
          <c:spPr>
            <a:solidFill>
              <a:schemeClr val="accent4">
                <a:tint val="65000"/>
              </a:schemeClr>
            </a:solidFill>
            <a:ln>
              <a:noFill/>
            </a:ln>
            <a:effectLst/>
          </c:spPr>
          <c:invertIfNegative val="0"/>
          <c:cat>
            <c:strRef>
              <c:f>'Country x Channel'!$I$8:$I$11</c:f>
              <c:strCache>
                <c:ptCount val="3"/>
                <c:pt idx="0">
                  <c:v>Belgium</c:v>
                </c:pt>
                <c:pt idx="1">
                  <c:v>Germany</c:v>
                </c:pt>
                <c:pt idx="2">
                  <c:v>Netherlands</c:v>
                </c:pt>
              </c:strCache>
            </c:strRef>
          </c:cat>
          <c:val>
            <c:numRef>
              <c:f>'Country x Channel'!$J$8:$J$11</c:f>
              <c:numCache>
                <c:formatCode>0.00%</c:formatCode>
                <c:ptCount val="3"/>
                <c:pt idx="0">
                  <c:v>0.54063976368598143</c:v>
                </c:pt>
                <c:pt idx="1">
                  <c:v>0.53961820841755714</c:v>
                </c:pt>
                <c:pt idx="2">
                  <c:v>0.56172866708586844</c:v>
                </c:pt>
              </c:numCache>
            </c:numRef>
          </c:val>
          <c:extLst>
            <c:ext xmlns:c16="http://schemas.microsoft.com/office/drawing/2014/chart" uri="{C3380CC4-5D6E-409C-BE32-E72D297353CC}">
              <c16:uniqueId val="{00000000-961B-664F-B7D3-C1D85C0C4892}"/>
            </c:ext>
          </c:extLst>
        </c:ser>
        <c:ser>
          <c:idx val="1"/>
          <c:order val="1"/>
          <c:tx>
            <c:strRef>
              <c:f>'Country x Channel'!$K$6:$K$7</c:f>
              <c:strCache>
                <c:ptCount val="1"/>
                <c:pt idx="0">
                  <c:v>Online</c:v>
                </c:pt>
              </c:strCache>
            </c:strRef>
          </c:tx>
          <c:spPr>
            <a:solidFill>
              <a:schemeClr val="accent4"/>
            </a:solidFill>
            <a:ln>
              <a:noFill/>
            </a:ln>
            <a:effectLst/>
          </c:spPr>
          <c:invertIfNegative val="0"/>
          <c:cat>
            <c:strRef>
              <c:f>'Country x Channel'!$I$8:$I$11</c:f>
              <c:strCache>
                <c:ptCount val="3"/>
                <c:pt idx="0">
                  <c:v>Belgium</c:v>
                </c:pt>
                <c:pt idx="1">
                  <c:v>Germany</c:v>
                </c:pt>
                <c:pt idx="2">
                  <c:v>Netherlands</c:v>
                </c:pt>
              </c:strCache>
            </c:strRef>
          </c:cat>
          <c:val>
            <c:numRef>
              <c:f>'Country x Channel'!$K$8:$K$11</c:f>
              <c:numCache>
                <c:formatCode>0.00%</c:formatCode>
                <c:ptCount val="3"/>
                <c:pt idx="0">
                  <c:v>0.56088001612459715</c:v>
                </c:pt>
                <c:pt idx="1">
                  <c:v>0.55756723976609679</c:v>
                </c:pt>
                <c:pt idx="2">
                  <c:v>0.56001751248920151</c:v>
                </c:pt>
              </c:numCache>
            </c:numRef>
          </c:val>
          <c:extLst>
            <c:ext xmlns:c16="http://schemas.microsoft.com/office/drawing/2014/chart" uri="{C3380CC4-5D6E-409C-BE32-E72D297353CC}">
              <c16:uniqueId val="{00000001-961B-664F-B7D3-C1D85C0C4892}"/>
            </c:ext>
          </c:extLst>
        </c:ser>
        <c:ser>
          <c:idx val="2"/>
          <c:order val="2"/>
          <c:tx>
            <c:strRef>
              <c:f>'Country x Channel'!$L$6:$L$7</c:f>
              <c:strCache>
                <c:ptCount val="1"/>
                <c:pt idx="0">
                  <c:v>Supermarket</c:v>
                </c:pt>
              </c:strCache>
            </c:strRef>
          </c:tx>
          <c:spPr>
            <a:solidFill>
              <a:schemeClr val="accent4">
                <a:shade val="65000"/>
              </a:schemeClr>
            </a:solidFill>
            <a:ln>
              <a:noFill/>
            </a:ln>
            <a:effectLst/>
          </c:spPr>
          <c:invertIfNegative val="0"/>
          <c:cat>
            <c:strRef>
              <c:f>'Country x Channel'!$I$8:$I$11</c:f>
              <c:strCache>
                <c:ptCount val="3"/>
                <c:pt idx="0">
                  <c:v>Belgium</c:v>
                </c:pt>
                <c:pt idx="1">
                  <c:v>Germany</c:v>
                </c:pt>
                <c:pt idx="2">
                  <c:v>Netherlands</c:v>
                </c:pt>
              </c:strCache>
            </c:strRef>
          </c:cat>
          <c:val>
            <c:numRef>
              <c:f>'Country x Channel'!$L$8:$L$11</c:f>
              <c:numCache>
                <c:formatCode>0.00%</c:formatCode>
                <c:ptCount val="3"/>
                <c:pt idx="0">
                  <c:v>0.55778331219348187</c:v>
                </c:pt>
                <c:pt idx="1">
                  <c:v>0.54805083968990997</c:v>
                </c:pt>
                <c:pt idx="2">
                  <c:v>0.55604654147629684</c:v>
                </c:pt>
              </c:numCache>
            </c:numRef>
          </c:val>
          <c:extLst>
            <c:ext xmlns:c16="http://schemas.microsoft.com/office/drawing/2014/chart" uri="{C3380CC4-5D6E-409C-BE32-E72D297353CC}">
              <c16:uniqueId val="{00000002-961B-664F-B7D3-C1D85C0C4892}"/>
            </c:ext>
          </c:extLst>
        </c:ser>
        <c:dLbls>
          <c:showLegendKey val="0"/>
          <c:showVal val="0"/>
          <c:showCatName val="0"/>
          <c:showSerName val="0"/>
          <c:showPercent val="0"/>
          <c:showBubbleSize val="0"/>
        </c:dLbls>
        <c:gapWidth val="219"/>
        <c:axId val="1202236512"/>
        <c:axId val="1592771408"/>
      </c:barChart>
      <c:catAx>
        <c:axId val="120223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592771408"/>
        <c:crosses val="autoZero"/>
        <c:auto val="1"/>
        <c:lblAlgn val="ctr"/>
        <c:lblOffset val="100"/>
        <c:noMultiLvlLbl val="0"/>
      </c:catAx>
      <c:valAx>
        <c:axId val="1592771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223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[FCMG Commercial Performance Analysis project.xlsx]Promotion Performance!PivotTable14</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Revenue share - Promotion</a:t>
            </a:r>
          </a:p>
        </c:rich>
      </c:tx>
      <c:layout>
        <c:manualLayout>
          <c:xMode val="edge"/>
          <c:yMode val="edge"/>
          <c:x val="0.20422535211267606"/>
          <c:y val="9.42028985507246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pieChart>
        <c:varyColors val="1"/>
        <c:ser>
          <c:idx val="0"/>
          <c:order val="0"/>
          <c:tx>
            <c:strRef>
              <c:f>'Promotion Performance'!$B$6</c:f>
              <c:strCache>
                <c:ptCount val="1"/>
                <c:pt idx="0">
                  <c:v>Sum of Revenue</c:v>
                </c:pt>
              </c:strCache>
            </c:strRef>
          </c:tx>
          <c:dPt>
            <c:idx val="0"/>
            <c:bubble3D val="0"/>
            <c:spPr>
              <a:solidFill>
                <a:schemeClr val="accent1"/>
              </a:solidFill>
              <a:ln>
                <a:noFill/>
              </a:ln>
              <a:effectLst/>
            </c:spPr>
            <c:extLst>
              <c:ext xmlns:c16="http://schemas.microsoft.com/office/drawing/2014/chart" uri="{C3380CC4-5D6E-409C-BE32-E72D297353CC}">
                <c16:uniqueId val="{00000001-5A94-B940-9A0E-4F5D1737D9E5}"/>
              </c:ext>
            </c:extLst>
          </c:dPt>
          <c:dPt>
            <c:idx val="1"/>
            <c:bubble3D val="0"/>
            <c:spPr>
              <a:solidFill>
                <a:schemeClr val="accent2"/>
              </a:solidFill>
              <a:ln>
                <a:noFill/>
              </a:ln>
              <a:effectLst/>
            </c:spPr>
            <c:extLst>
              <c:ext xmlns:c16="http://schemas.microsoft.com/office/drawing/2014/chart" uri="{C3380CC4-5D6E-409C-BE32-E72D297353CC}">
                <c16:uniqueId val="{00000003-5A94-B940-9A0E-4F5D1737D9E5}"/>
              </c:ext>
            </c:extLst>
          </c:dPt>
          <c:cat>
            <c:strRef>
              <c:f>'Promotion Performance'!$A$7:$A$8</c:f>
              <c:strCache>
                <c:ptCount val="2"/>
                <c:pt idx="0">
                  <c:v>No</c:v>
                </c:pt>
                <c:pt idx="1">
                  <c:v>Yes</c:v>
                </c:pt>
              </c:strCache>
            </c:strRef>
          </c:cat>
          <c:val>
            <c:numRef>
              <c:f>'Promotion Performance'!$B$7:$B$8</c:f>
              <c:numCache>
                <c:formatCode>#,##0</c:formatCode>
                <c:ptCount val="2"/>
                <c:pt idx="0">
                  <c:v>2423826.5500000012</c:v>
                </c:pt>
                <c:pt idx="1">
                  <c:v>1227336.5160000003</c:v>
                </c:pt>
              </c:numCache>
            </c:numRef>
          </c:val>
          <c:extLst>
            <c:ext xmlns:c16="http://schemas.microsoft.com/office/drawing/2014/chart" uri="{C3380CC4-5D6E-409C-BE32-E72D297353CC}">
              <c16:uniqueId val="{00000000-84B7-5E46-9F81-C19301BD504E}"/>
            </c:ext>
          </c:extLst>
        </c:ser>
        <c:ser>
          <c:idx val="1"/>
          <c:order val="1"/>
          <c:tx>
            <c:strRef>
              <c:f>'Promotion Performance'!$C$6</c:f>
              <c:strCache>
                <c:ptCount val="1"/>
                <c:pt idx="0">
                  <c:v>Sum of Gross Profit </c:v>
                </c:pt>
              </c:strCache>
            </c:strRef>
          </c:tx>
          <c:dPt>
            <c:idx val="0"/>
            <c:bubble3D val="0"/>
            <c:spPr>
              <a:solidFill>
                <a:schemeClr val="accent1"/>
              </a:solidFill>
              <a:ln>
                <a:noFill/>
              </a:ln>
              <a:effectLst/>
            </c:spPr>
            <c:extLst>
              <c:ext xmlns:c16="http://schemas.microsoft.com/office/drawing/2014/chart" uri="{C3380CC4-5D6E-409C-BE32-E72D297353CC}">
                <c16:uniqueId val="{00000005-5A94-B940-9A0E-4F5D1737D9E5}"/>
              </c:ext>
            </c:extLst>
          </c:dPt>
          <c:dPt>
            <c:idx val="1"/>
            <c:bubble3D val="0"/>
            <c:spPr>
              <a:solidFill>
                <a:schemeClr val="accent2"/>
              </a:solidFill>
              <a:ln>
                <a:noFill/>
              </a:ln>
              <a:effectLst/>
            </c:spPr>
            <c:extLst>
              <c:ext xmlns:c16="http://schemas.microsoft.com/office/drawing/2014/chart" uri="{C3380CC4-5D6E-409C-BE32-E72D297353CC}">
                <c16:uniqueId val="{00000007-5A94-B940-9A0E-4F5D1737D9E5}"/>
              </c:ext>
            </c:extLst>
          </c:dPt>
          <c:cat>
            <c:strRef>
              <c:f>'Promotion Performance'!$A$7:$A$8</c:f>
              <c:strCache>
                <c:ptCount val="2"/>
                <c:pt idx="0">
                  <c:v>No</c:v>
                </c:pt>
                <c:pt idx="1">
                  <c:v>Yes</c:v>
                </c:pt>
              </c:strCache>
            </c:strRef>
          </c:cat>
          <c:val>
            <c:numRef>
              <c:f>'Promotion Performance'!$C$7:$C$8</c:f>
              <c:numCache>
                <c:formatCode>#,##0</c:formatCode>
                <c:ptCount val="2"/>
                <c:pt idx="0">
                  <c:v>1423804.9499999995</c:v>
                </c:pt>
                <c:pt idx="1">
                  <c:v>597686.81600000022</c:v>
                </c:pt>
              </c:numCache>
            </c:numRef>
          </c:val>
          <c:extLst>
            <c:ext xmlns:c16="http://schemas.microsoft.com/office/drawing/2014/chart" uri="{C3380CC4-5D6E-409C-BE32-E72D297353CC}">
              <c16:uniqueId val="{00000007-84B7-5E46-9F81-C19301BD504E}"/>
            </c:ext>
          </c:extLst>
        </c:ser>
        <c:ser>
          <c:idx val="2"/>
          <c:order val="2"/>
          <c:tx>
            <c:strRef>
              <c:f>'Promotion Performance'!$D$6</c:f>
              <c:strCache>
                <c:ptCount val="1"/>
                <c:pt idx="0">
                  <c:v>Gross Margin %</c:v>
                </c:pt>
              </c:strCache>
            </c:strRef>
          </c:tx>
          <c:dPt>
            <c:idx val="0"/>
            <c:bubble3D val="0"/>
            <c:spPr>
              <a:solidFill>
                <a:schemeClr val="accent1"/>
              </a:solidFill>
              <a:ln>
                <a:noFill/>
              </a:ln>
              <a:effectLst/>
            </c:spPr>
            <c:extLst>
              <c:ext xmlns:c16="http://schemas.microsoft.com/office/drawing/2014/chart" uri="{C3380CC4-5D6E-409C-BE32-E72D297353CC}">
                <c16:uniqueId val="{00000009-5A94-B940-9A0E-4F5D1737D9E5}"/>
              </c:ext>
            </c:extLst>
          </c:dPt>
          <c:dPt>
            <c:idx val="1"/>
            <c:bubble3D val="0"/>
            <c:spPr>
              <a:solidFill>
                <a:schemeClr val="accent2"/>
              </a:solidFill>
              <a:ln>
                <a:noFill/>
              </a:ln>
              <a:effectLst/>
            </c:spPr>
            <c:extLst>
              <c:ext xmlns:c16="http://schemas.microsoft.com/office/drawing/2014/chart" uri="{C3380CC4-5D6E-409C-BE32-E72D297353CC}">
                <c16:uniqueId val="{0000000B-5A94-B940-9A0E-4F5D1737D9E5}"/>
              </c:ext>
            </c:extLst>
          </c:dPt>
          <c:cat>
            <c:strRef>
              <c:f>'Promotion Performance'!$A$7:$A$8</c:f>
              <c:strCache>
                <c:ptCount val="2"/>
                <c:pt idx="0">
                  <c:v>No</c:v>
                </c:pt>
                <c:pt idx="1">
                  <c:v>Yes</c:v>
                </c:pt>
              </c:strCache>
            </c:strRef>
          </c:cat>
          <c:val>
            <c:numRef>
              <c:f>'Promotion Performance'!$D$7:$D$8</c:f>
              <c:numCache>
                <c:formatCode>0.00%</c:formatCode>
                <c:ptCount val="2"/>
                <c:pt idx="0">
                  <c:v>0.58742031272823492</c:v>
                </c:pt>
                <c:pt idx="1">
                  <c:v>0.48697876108821003</c:v>
                </c:pt>
              </c:numCache>
            </c:numRef>
          </c:val>
          <c:extLst>
            <c:ext xmlns:c16="http://schemas.microsoft.com/office/drawing/2014/chart" uri="{C3380CC4-5D6E-409C-BE32-E72D297353CC}">
              <c16:uniqueId val="{00000008-84B7-5E46-9F81-C19301BD504E}"/>
            </c:ext>
          </c:extLst>
        </c:ser>
        <c:ser>
          <c:idx val="3"/>
          <c:order val="3"/>
          <c:tx>
            <c:strRef>
              <c:f>'Promotion Performance'!$E$6</c:f>
              <c:strCache>
                <c:ptCount val="1"/>
                <c:pt idx="0">
                  <c:v>Sum of Promotion Cost</c:v>
                </c:pt>
              </c:strCache>
            </c:strRef>
          </c:tx>
          <c:dPt>
            <c:idx val="0"/>
            <c:bubble3D val="0"/>
            <c:spPr>
              <a:solidFill>
                <a:schemeClr val="accent1"/>
              </a:solidFill>
              <a:ln>
                <a:noFill/>
              </a:ln>
              <a:effectLst/>
            </c:spPr>
            <c:extLst>
              <c:ext xmlns:c16="http://schemas.microsoft.com/office/drawing/2014/chart" uri="{C3380CC4-5D6E-409C-BE32-E72D297353CC}">
                <c16:uniqueId val="{0000000D-5A94-B940-9A0E-4F5D1737D9E5}"/>
              </c:ext>
            </c:extLst>
          </c:dPt>
          <c:dPt>
            <c:idx val="1"/>
            <c:bubble3D val="0"/>
            <c:spPr>
              <a:solidFill>
                <a:schemeClr val="accent2"/>
              </a:solidFill>
              <a:ln>
                <a:noFill/>
              </a:ln>
              <a:effectLst/>
            </c:spPr>
            <c:extLst>
              <c:ext xmlns:c16="http://schemas.microsoft.com/office/drawing/2014/chart" uri="{C3380CC4-5D6E-409C-BE32-E72D297353CC}">
                <c16:uniqueId val="{0000000F-5A94-B940-9A0E-4F5D1737D9E5}"/>
              </c:ext>
            </c:extLst>
          </c:dPt>
          <c:cat>
            <c:strRef>
              <c:f>'Promotion Performance'!$A$7:$A$8</c:f>
              <c:strCache>
                <c:ptCount val="2"/>
                <c:pt idx="0">
                  <c:v>No</c:v>
                </c:pt>
                <c:pt idx="1">
                  <c:v>Yes</c:v>
                </c:pt>
              </c:strCache>
            </c:strRef>
          </c:cat>
          <c:val>
            <c:numRef>
              <c:f>'Promotion Performance'!$E$7:$E$8</c:f>
              <c:numCache>
                <c:formatCode>#,##0</c:formatCode>
                <c:ptCount val="2"/>
                <c:pt idx="0">
                  <c:v>0</c:v>
                </c:pt>
                <c:pt idx="1">
                  <c:v>309520.78399999987</c:v>
                </c:pt>
              </c:numCache>
            </c:numRef>
          </c:val>
          <c:extLst>
            <c:ext xmlns:c16="http://schemas.microsoft.com/office/drawing/2014/chart" uri="{C3380CC4-5D6E-409C-BE32-E72D297353CC}">
              <c16:uniqueId val="{00000009-84B7-5E46-9F81-C19301BD504E}"/>
            </c:ext>
          </c:extLst>
        </c:ser>
        <c:ser>
          <c:idx val="4"/>
          <c:order val="4"/>
          <c:tx>
            <c:strRef>
              <c:f>'Promotion Performance'!$F$6</c:f>
              <c:strCache>
                <c:ptCount val="1"/>
                <c:pt idx="0">
                  <c:v>Sum of Units</c:v>
                </c:pt>
              </c:strCache>
            </c:strRef>
          </c:tx>
          <c:dPt>
            <c:idx val="0"/>
            <c:bubble3D val="0"/>
            <c:spPr>
              <a:solidFill>
                <a:schemeClr val="accent1"/>
              </a:solidFill>
              <a:ln>
                <a:noFill/>
              </a:ln>
              <a:effectLst/>
            </c:spPr>
            <c:extLst>
              <c:ext xmlns:c16="http://schemas.microsoft.com/office/drawing/2014/chart" uri="{C3380CC4-5D6E-409C-BE32-E72D297353CC}">
                <c16:uniqueId val="{00000011-5A94-B940-9A0E-4F5D1737D9E5}"/>
              </c:ext>
            </c:extLst>
          </c:dPt>
          <c:dPt>
            <c:idx val="1"/>
            <c:bubble3D val="0"/>
            <c:spPr>
              <a:solidFill>
                <a:schemeClr val="accent2"/>
              </a:solidFill>
              <a:ln>
                <a:noFill/>
              </a:ln>
              <a:effectLst/>
            </c:spPr>
            <c:extLst>
              <c:ext xmlns:c16="http://schemas.microsoft.com/office/drawing/2014/chart" uri="{C3380CC4-5D6E-409C-BE32-E72D297353CC}">
                <c16:uniqueId val="{00000013-5A94-B940-9A0E-4F5D1737D9E5}"/>
              </c:ext>
            </c:extLst>
          </c:dPt>
          <c:cat>
            <c:strRef>
              <c:f>'Promotion Performance'!$A$7:$A$8</c:f>
              <c:strCache>
                <c:ptCount val="2"/>
                <c:pt idx="0">
                  <c:v>No</c:v>
                </c:pt>
                <c:pt idx="1">
                  <c:v>Yes</c:v>
                </c:pt>
              </c:strCache>
            </c:strRef>
          </c:cat>
          <c:val>
            <c:numRef>
              <c:f>'Promotion Performance'!$F$7:$F$8</c:f>
              <c:numCache>
                <c:formatCode>General</c:formatCode>
                <c:ptCount val="2"/>
                <c:pt idx="0">
                  <c:v>354465</c:v>
                </c:pt>
                <c:pt idx="1">
                  <c:v>235040</c:v>
                </c:pt>
              </c:numCache>
            </c:numRef>
          </c:val>
          <c:extLst>
            <c:ext xmlns:c16="http://schemas.microsoft.com/office/drawing/2014/chart" uri="{C3380CC4-5D6E-409C-BE32-E72D297353CC}">
              <c16:uniqueId val="{0000000A-84B7-5E46-9F81-C19301BD50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[FCMG Commercial Performance Analysis project.xlsx]Promotion Performance!PivotTable16</c:name>
    <c:fmtId val="0"/>
  </c:pivotSource>
  <c:chart>
    <c:title>
      <c:tx>
        <c:rich>
          <a:bodyPr rot="0" spcFirstLastPara="1" vertOverflow="ellipsis" vert="horz" wrap="square" anchor="ctr" anchorCtr="1"/>
          <a:lstStyle/>
          <a:p>
            <a:pPr>
              <a:defRPr sz="1600" b="1" i="0" u="none" strike="noStrike" kern="1200" cap="none" spc="120" normalizeH="0" baseline="0">
                <a:solidFill>
                  <a:schemeClr val="tx1">
                    <a:lumMod val="65000"/>
                    <a:lumOff val="35000"/>
                  </a:schemeClr>
                </a:solidFill>
                <a:latin typeface="+mn-lt"/>
                <a:ea typeface="+mn-ea"/>
                <a:cs typeface="+mn-cs"/>
              </a:defRPr>
            </a:pPr>
            <a:r>
              <a:rPr lang="en-US" cap="none" baseline="0"/>
              <a:t>Promotion x Category</a:t>
            </a:r>
          </a:p>
        </c:rich>
      </c:tx>
      <c:overlay val="0"/>
      <c:spPr>
        <a:noFill/>
        <a:ln>
          <a:noFill/>
        </a:ln>
        <a:effectLst/>
      </c:spPr>
      <c:txPr>
        <a:bodyPr rot="0" spcFirstLastPara="1" vertOverflow="ellipsis" vert="horz" wrap="square" anchor="ctr" anchorCtr="1"/>
        <a:lstStyle/>
        <a:p>
          <a:pPr>
            <a:defRPr sz="1600" b="1" i="0" u="none" strike="noStrike" kern="1200" cap="none" spc="120" normalizeH="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'Promotion Performance'!$B$30:$B$31</c:f>
              <c:strCache>
                <c:ptCount val="1"/>
                <c:pt idx="0">
                  <c:v>Bundle</c:v>
                </c:pt>
              </c:strCache>
            </c:strRef>
          </c:tx>
          <c:spPr>
            <a:solidFill>
              <a:schemeClr val="accent1"/>
            </a:solidFill>
            <a:ln>
              <a:noFill/>
            </a:ln>
            <a:effectLst/>
          </c:spPr>
          <c:invertIfNegative val="0"/>
          <c:cat>
            <c:strRef>
              <c:f>'Promotion Performance'!$A$32:$A$35</c:f>
              <c:strCache>
                <c:ptCount val="4"/>
                <c:pt idx="0">
                  <c:v>Hair Care</c:v>
                </c:pt>
                <c:pt idx="1">
                  <c:v>Laundry</c:v>
                </c:pt>
                <c:pt idx="2">
                  <c:v>Oral Care</c:v>
                </c:pt>
                <c:pt idx="3">
                  <c:v>Skin Care</c:v>
                </c:pt>
              </c:strCache>
            </c:strRef>
          </c:cat>
          <c:val>
            <c:numRef>
              <c:f>'Promotion Performance'!$B$32:$B$35</c:f>
              <c:numCache>
                <c:formatCode>0.00%</c:formatCode>
                <c:ptCount val="4"/>
                <c:pt idx="0">
                  <c:v>0.49238321924889611</c:v>
                </c:pt>
                <c:pt idx="1">
                  <c:v>0.45830601128351883</c:v>
                </c:pt>
                <c:pt idx="2">
                  <c:v>0.53716899943559926</c:v>
                </c:pt>
                <c:pt idx="3">
                  <c:v>0.45894681912102431</c:v>
                </c:pt>
              </c:numCache>
            </c:numRef>
          </c:val>
          <c:extLst>
            <c:ext xmlns:c16="http://schemas.microsoft.com/office/drawing/2014/chart" uri="{C3380CC4-5D6E-409C-BE32-E72D297353CC}">
              <c16:uniqueId val="{00000000-6190-9840-9A89-C88F1F4988F3}"/>
            </c:ext>
          </c:extLst>
        </c:ser>
        <c:ser>
          <c:idx val="1"/>
          <c:order val="1"/>
          <c:tx>
            <c:strRef>
              <c:f>'Promotion Performance'!$C$30:$C$31</c:f>
              <c:strCache>
                <c:ptCount val="1"/>
                <c:pt idx="0">
                  <c:v>No Promotion</c:v>
                </c:pt>
              </c:strCache>
            </c:strRef>
          </c:tx>
          <c:spPr>
            <a:solidFill>
              <a:schemeClr val="accent2"/>
            </a:solidFill>
            <a:ln>
              <a:noFill/>
            </a:ln>
            <a:effectLst/>
          </c:spPr>
          <c:invertIfNegative val="0"/>
          <c:cat>
            <c:strRef>
              <c:f>'Promotion Performance'!$A$32:$A$35</c:f>
              <c:strCache>
                <c:ptCount val="4"/>
                <c:pt idx="0">
                  <c:v>Hair Care</c:v>
                </c:pt>
                <c:pt idx="1">
                  <c:v>Laundry</c:v>
                </c:pt>
                <c:pt idx="2">
                  <c:v>Oral Care</c:v>
                </c:pt>
                <c:pt idx="3">
                  <c:v>Skin Care</c:v>
                </c:pt>
              </c:strCache>
            </c:strRef>
          </c:cat>
          <c:val>
            <c:numRef>
              <c:f>'Promotion Performance'!$C$32:$C$35</c:f>
              <c:numCache>
                <c:formatCode>0.00%</c:formatCode>
                <c:ptCount val="4"/>
                <c:pt idx="0">
                  <c:v>0.58555333159275402</c:v>
                </c:pt>
                <c:pt idx="1">
                  <c:v>0.56854695859509496</c:v>
                </c:pt>
                <c:pt idx="2">
                  <c:v>0.61995504673141721</c:v>
                </c:pt>
                <c:pt idx="3">
                  <c:v>0.58531969972532261</c:v>
                </c:pt>
              </c:numCache>
            </c:numRef>
          </c:val>
          <c:extLst>
            <c:ext xmlns:c16="http://schemas.microsoft.com/office/drawing/2014/chart" uri="{C3380CC4-5D6E-409C-BE32-E72D297353CC}">
              <c16:uniqueId val="{00000011-6190-9840-9A89-C88F1F4988F3}"/>
            </c:ext>
          </c:extLst>
        </c:ser>
        <c:ser>
          <c:idx val="2"/>
          <c:order val="2"/>
          <c:tx>
            <c:strRef>
              <c:f>'Promotion Performance'!$D$30:$D$31</c:f>
              <c:strCache>
                <c:ptCount val="1"/>
                <c:pt idx="0">
                  <c:v>Price Discount</c:v>
                </c:pt>
              </c:strCache>
            </c:strRef>
          </c:tx>
          <c:spPr>
            <a:solidFill>
              <a:schemeClr val="accent3"/>
            </a:solidFill>
            <a:ln>
              <a:noFill/>
            </a:ln>
            <a:effectLst/>
          </c:spPr>
          <c:invertIfNegative val="0"/>
          <c:cat>
            <c:strRef>
              <c:f>'Promotion Performance'!$A$32:$A$35</c:f>
              <c:strCache>
                <c:ptCount val="4"/>
                <c:pt idx="0">
                  <c:v>Hair Care</c:v>
                </c:pt>
                <c:pt idx="1">
                  <c:v>Laundry</c:v>
                </c:pt>
                <c:pt idx="2">
                  <c:v>Oral Care</c:v>
                </c:pt>
                <c:pt idx="3">
                  <c:v>Skin Care</c:v>
                </c:pt>
              </c:strCache>
            </c:strRef>
          </c:cat>
          <c:val>
            <c:numRef>
              <c:f>'Promotion Performance'!$D$32:$D$35</c:f>
              <c:numCache>
                <c:formatCode>0.00%</c:formatCode>
                <c:ptCount val="4"/>
                <c:pt idx="0">
                  <c:v>0.4859162720703108</c:v>
                </c:pt>
                <c:pt idx="1">
                  <c:v>0.45906332677675304</c:v>
                </c:pt>
                <c:pt idx="2">
                  <c:v>0.53222836773583904</c:v>
                </c:pt>
                <c:pt idx="3">
                  <c:v>0.49770447362534892</c:v>
                </c:pt>
              </c:numCache>
            </c:numRef>
          </c:val>
          <c:extLst>
            <c:ext xmlns:c16="http://schemas.microsoft.com/office/drawing/2014/chart" uri="{C3380CC4-5D6E-409C-BE32-E72D297353CC}">
              <c16:uniqueId val="{00000012-6190-9840-9A89-C88F1F4988F3}"/>
            </c:ext>
          </c:extLst>
        </c:ser>
        <c:ser>
          <c:idx val="3"/>
          <c:order val="3"/>
          <c:tx>
            <c:strRef>
              <c:f>'Promotion Performance'!$E$30:$E$31</c:f>
              <c:strCache>
                <c:ptCount val="1"/>
                <c:pt idx="0">
                  <c:v>Seasonal</c:v>
                </c:pt>
              </c:strCache>
            </c:strRef>
          </c:tx>
          <c:spPr>
            <a:solidFill>
              <a:schemeClr val="accent4"/>
            </a:solidFill>
            <a:ln>
              <a:noFill/>
            </a:ln>
            <a:effectLst/>
          </c:spPr>
          <c:invertIfNegative val="0"/>
          <c:cat>
            <c:strRef>
              <c:f>'Promotion Performance'!$A$32:$A$35</c:f>
              <c:strCache>
                <c:ptCount val="4"/>
                <c:pt idx="0">
                  <c:v>Hair Care</c:v>
                </c:pt>
                <c:pt idx="1">
                  <c:v>Laundry</c:v>
                </c:pt>
                <c:pt idx="2">
                  <c:v>Oral Care</c:v>
                </c:pt>
                <c:pt idx="3">
                  <c:v>Skin Care</c:v>
                </c:pt>
              </c:strCache>
            </c:strRef>
          </c:cat>
          <c:val>
            <c:numRef>
              <c:f>'Promotion Performance'!$E$32:$E$35</c:f>
              <c:numCache>
                <c:formatCode>0.00%</c:formatCode>
                <c:ptCount val="4"/>
                <c:pt idx="0">
                  <c:v>0.4913697324972251</c:v>
                </c:pt>
                <c:pt idx="1">
                  <c:v>0.43488762399176201</c:v>
                </c:pt>
                <c:pt idx="2">
                  <c:v>0.5362719545180481</c:v>
                </c:pt>
                <c:pt idx="3">
                  <c:v>0.46642403659737058</c:v>
                </c:pt>
              </c:numCache>
            </c:numRef>
          </c:val>
          <c:extLst>
            <c:ext xmlns:c16="http://schemas.microsoft.com/office/drawing/2014/chart" uri="{C3380CC4-5D6E-409C-BE32-E72D297353CC}">
              <c16:uniqueId val="{00000013-6190-9840-9A89-C88F1F4988F3}"/>
            </c:ext>
          </c:extLst>
        </c:ser>
        <c:dLbls>
          <c:showLegendKey val="0"/>
          <c:showVal val="0"/>
          <c:showCatName val="0"/>
          <c:showSerName val="0"/>
          <c:showPercent val="0"/>
          <c:showBubbleSize val="0"/>
        </c:dLbls>
        <c:gapWidth val="55"/>
        <c:overlap val="100"/>
        <c:axId val="1275679536"/>
        <c:axId val="134097503"/>
      </c:barChart>
      <c:catAx>
        <c:axId val="127567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VN"/>
          </a:p>
        </c:txPr>
        <c:crossAx val="134097503"/>
        <c:crosses val="autoZero"/>
        <c:auto val="1"/>
        <c:lblAlgn val="ctr"/>
        <c:lblOffset val="100"/>
        <c:noMultiLvlLbl val="0"/>
      </c:catAx>
      <c:valAx>
        <c:axId val="134097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7567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14814</xdr:colOff>
      <xdr:row>25</xdr:row>
      <xdr:rowOff>11568</xdr:rowOff>
    </xdr:from>
    <xdr:to>
      <xdr:col>10</xdr:col>
      <xdr:colOff>540087</xdr:colOff>
      <xdr:row>36</xdr:row>
      <xdr:rowOff>85557</xdr:rowOff>
    </xdr:to>
    <xdr:graphicFrame macro="">
      <xdr:nvGraphicFramePr>
        <xdr:cNvPr id="3" name="Chart 2">
          <a:extLst>
            <a:ext uri="{FF2B5EF4-FFF2-40B4-BE49-F238E27FC236}">
              <a16:creationId xmlns:a16="http://schemas.microsoft.com/office/drawing/2014/main" id="{66334A83-5EAA-0077-4928-F5690D17C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574245</xdr:colOff>
      <xdr:row>25</xdr:row>
      <xdr:rowOff>27732</xdr:rowOff>
    </xdr:from>
    <xdr:to>
      <xdr:col>16</xdr:col>
      <xdr:colOff>584310</xdr:colOff>
      <xdr:row>36</xdr:row>
      <xdr:rowOff>97582</xdr:rowOff>
    </xdr:to>
    <xdr:graphicFrame macro="">
      <xdr:nvGraphicFramePr>
        <xdr:cNvPr id="4" name="Chart 3">
          <a:extLst>
            <a:ext uri="{FF2B5EF4-FFF2-40B4-BE49-F238E27FC236}">
              <a16:creationId xmlns:a16="http://schemas.microsoft.com/office/drawing/2014/main" id="{C292E193-7735-CC10-F068-73EE59053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1231900</xdr:colOff>
      <xdr:row>16</xdr:row>
      <xdr:rowOff>59906</xdr:rowOff>
    </xdr:from>
    <xdr:to>
      <xdr:col>6</xdr:col>
      <xdr:colOff>124254</xdr:colOff>
      <xdr:row>22</xdr:row>
      <xdr:rowOff>161505</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3ECED27B-1FBD-25B5-57E8-5B7B5AEB000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52560" y="2300378"/>
              <a:ext cx="3335547" cy="13236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542059</xdr:colOff>
      <xdr:row>9</xdr:row>
      <xdr:rowOff>21360</xdr:rowOff>
    </xdr:from>
    <xdr:to>
      <xdr:col>15</xdr:col>
      <xdr:colOff>580159</xdr:colOff>
      <xdr:row>22</xdr:row>
      <xdr:rowOff>122959</xdr:rowOff>
    </xdr:to>
    <xdr:graphicFrame macro="">
      <xdr:nvGraphicFramePr>
        <xdr:cNvPr id="7" name="Chart 6">
          <a:extLst>
            <a:ext uri="{FF2B5EF4-FFF2-40B4-BE49-F238E27FC236}">
              <a16:creationId xmlns:a16="http://schemas.microsoft.com/office/drawing/2014/main" id="{7B72D269-CE2A-E83A-CF43-8CA204E53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1288451</xdr:colOff>
      <xdr:row>24</xdr:row>
      <xdr:rowOff>67094</xdr:rowOff>
    </xdr:from>
    <xdr:to>
      <xdr:col>4</xdr:col>
      <xdr:colOff>577523</xdr:colOff>
      <xdr:row>30</xdr:row>
      <xdr:rowOff>71887</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B2C03B4A-67DC-9E3F-0E22-CEE1BC4A0F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409111" y="3937000"/>
              <a:ext cx="1828800" cy="1226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1303786</xdr:colOff>
      <xdr:row>31</xdr:row>
      <xdr:rowOff>58468</xdr:rowOff>
    </xdr:from>
    <xdr:to>
      <xdr:col>4</xdr:col>
      <xdr:colOff>592858</xdr:colOff>
      <xdr:row>37</xdr:row>
      <xdr:rowOff>71886</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3B055C11-9036-FCBA-5887-3F96DE7AF30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424446" y="5354128"/>
              <a:ext cx="1828800" cy="1235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731231</xdr:colOff>
      <xdr:row>24</xdr:row>
      <xdr:rowOff>76255</xdr:rowOff>
    </xdr:from>
    <xdr:to>
      <xdr:col>6</xdr:col>
      <xdr:colOff>657384</xdr:colOff>
      <xdr:row>31</xdr:row>
      <xdr:rowOff>146225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F5A3EFC-39B0-4D2D-A9FA-127C91A832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08163" y="5069664"/>
              <a:ext cx="1831153" cy="148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767619</xdr:colOff>
      <xdr:row>4</xdr:row>
      <xdr:rowOff>198184</xdr:rowOff>
    </xdr:from>
    <xdr:to>
      <xdr:col>14</xdr:col>
      <xdr:colOff>107422</xdr:colOff>
      <xdr:row>39</xdr:row>
      <xdr:rowOff>172783</xdr:rowOff>
    </xdr:to>
    <xdr:graphicFrame macro="">
      <xdr:nvGraphicFramePr>
        <xdr:cNvPr id="9" name="Chart 8">
          <a:extLst>
            <a:ext uri="{FF2B5EF4-FFF2-40B4-BE49-F238E27FC236}">
              <a16:creationId xmlns:a16="http://schemas.microsoft.com/office/drawing/2014/main" id="{61E96A61-5BD2-0670-3E15-235DA23CF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120650</xdr:rowOff>
    </xdr:from>
    <xdr:to>
      <xdr:col>5</xdr:col>
      <xdr:colOff>368300</xdr:colOff>
      <xdr:row>27</xdr:row>
      <xdr:rowOff>19050</xdr:rowOff>
    </xdr:to>
    <xdr:graphicFrame macro="">
      <xdr:nvGraphicFramePr>
        <xdr:cNvPr id="3" name="Chart 2">
          <a:extLst>
            <a:ext uri="{FF2B5EF4-FFF2-40B4-BE49-F238E27FC236}">
              <a16:creationId xmlns:a16="http://schemas.microsoft.com/office/drawing/2014/main" id="{0E94AF84-B892-0B3C-452B-362D6EB34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552523</xdr:colOff>
      <xdr:row>13</xdr:row>
      <xdr:rowOff>153057</xdr:rowOff>
    </xdr:from>
    <xdr:to>
      <xdr:col>14</xdr:col>
      <xdr:colOff>0</xdr:colOff>
      <xdr:row>27</xdr:row>
      <xdr:rowOff>51457</xdr:rowOff>
    </xdr:to>
    <xdr:graphicFrame macro="">
      <xdr:nvGraphicFramePr>
        <xdr:cNvPr id="4" name="Chart 3">
          <a:extLst>
            <a:ext uri="{FF2B5EF4-FFF2-40B4-BE49-F238E27FC236}">
              <a16:creationId xmlns:a16="http://schemas.microsoft.com/office/drawing/2014/main" id="{AAA01D1F-1332-01AE-D830-80E2514AD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414480</xdr:colOff>
      <xdr:row>5</xdr:row>
      <xdr:rowOff>38100</xdr:rowOff>
    </xdr:from>
    <xdr:to>
      <xdr:col>10</xdr:col>
      <xdr:colOff>254000</xdr:colOff>
      <xdr:row>13</xdr:row>
      <xdr:rowOff>25400</xdr:rowOff>
    </xdr:to>
    <xdr:graphicFrame macro="">
      <xdr:nvGraphicFramePr>
        <xdr:cNvPr id="2" name="Chart 1">
          <a:extLst>
            <a:ext uri="{FF2B5EF4-FFF2-40B4-BE49-F238E27FC236}">
              <a16:creationId xmlns:a16="http://schemas.microsoft.com/office/drawing/2014/main" id="{C1566849-0F53-645E-25EF-F69AB69BA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236683</xdr:colOff>
      <xdr:row>28</xdr:row>
      <xdr:rowOff>77930</xdr:rowOff>
    </xdr:from>
    <xdr:to>
      <xdr:col>12</xdr:col>
      <xdr:colOff>513773</xdr:colOff>
      <xdr:row>43</xdr:row>
      <xdr:rowOff>83704</xdr:rowOff>
    </xdr:to>
    <xdr:graphicFrame macro="">
      <xdr:nvGraphicFramePr>
        <xdr:cNvPr id="3" name="Chart 2">
          <a:extLst>
            <a:ext uri="{FF2B5EF4-FFF2-40B4-BE49-F238E27FC236}">
              <a16:creationId xmlns:a16="http://schemas.microsoft.com/office/drawing/2014/main" id="{E55ACF84-4AF0-D638-6F7C-9B9E4CF8D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FMCG_Commercial_Analytics.xlsx" TargetMode="External"/><Relationship Id="rId2" Type="http://schemas.openxmlformats.org/officeDocument/2006/relationships/externalLinkPath" Target="/Users/lekhanhlinh/Downloads/FMCG_Commercial_Analytics.xlsx" TargetMode="External"/><Relationship Id="rId1" Type="http://schemas.openxmlformats.org/officeDocument/2006/relationships/externalLinkPath" Target="/Users/lekhanhlinh/Downloads/FMCG_Commercial_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Product_Master"/>
      <sheetName val="s"/>
      <sheetName val="Sheet2"/>
      <sheetName val="Raw Data"/>
      <sheetName val="Data Prep"/>
      <sheetName val="Sales Analysis"/>
      <sheetName val="Pricing Analysis"/>
      <sheetName val="Promotion Analysis"/>
      <sheetName val="Assortment Analysis"/>
      <sheetName val="Recommendations"/>
      <sheetName val="Dashboar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ê Khánh Linh" refreshedDate="46298.624103819442" createdVersion="8" refreshedVersion="8" minRefreshableVersion="3" recordCount="1000" xr:uid="{C3BCC7C7-B9CE-B348-ACD2-1C62B8D5E191}">
  <cacheSource type="worksheet">
    <worksheetSource name="Table6"/>
  </cacheSource>
  <cacheFields count="23">
    <cacheField name="Transaction ID" numFmtId="0">
      <sharedItems/>
    </cacheField>
    <cacheField name="Date" numFmtId="14">
      <sharedItems containsSemiMixedTypes="0" containsNonDate="0" containsDate="1" containsString="0" minDate="2026-01-01T00:42:03" maxDate="2026-12-30T10:56:40" count="1000">
        <d v="2026-01-06T02:51:00"/>
        <d v="2026-06-15T12:18:19"/>
        <d v="2026-12-06T12:19:41"/>
        <d v="2026-11-14T21:13:49"/>
        <d v="2026-11-02T21:10:47"/>
        <d v="2026-08-20T04:56:17"/>
        <d v="2026-11-20T20:55:45"/>
        <d v="2026-05-30T08:46:23"/>
        <d v="2026-09-25T15:07:05"/>
        <d v="2026-06-14T11:32:33"/>
        <d v="2026-01-19T19:50:48"/>
        <d v="2026-01-05T16:03:57"/>
        <d v="2026-11-30T15:15:51"/>
        <d v="2026-10-14T14:05:56"/>
        <d v="2026-01-30T14:10:55"/>
        <d v="2026-08-25T15:42:16"/>
        <d v="2026-10-10T14:41:44"/>
        <d v="2026-01-20T18:55:15"/>
        <d v="2026-07-28T06:12:36"/>
        <d v="2026-10-10T10:40:51"/>
        <d v="2026-07-06T02:33:08"/>
        <d v="2026-12-13T14:11:06"/>
        <d v="2026-10-27T05:35:13"/>
        <d v="2026-08-08T19:19:20"/>
        <d v="2026-10-23T07:15:01"/>
        <d v="2026-12-13T09:00:48"/>
        <d v="2026-05-06T23:38:21"/>
        <d v="2026-07-05T15:48:20"/>
        <d v="2026-04-15T01:00:08"/>
        <d v="2026-02-19T15:35:01"/>
        <d v="2026-12-20T03:33:27"/>
        <d v="2026-07-29T17:27:30"/>
        <d v="2026-09-24T09:02:35"/>
        <d v="2026-03-13T13:23:05"/>
        <d v="2026-03-12T01:37:44"/>
        <d v="2026-09-21T14:23:44"/>
        <d v="2026-08-07T12:43:34"/>
        <d v="2026-06-03T06:48:23"/>
        <d v="2026-08-01T04:03:15"/>
        <d v="2026-06-16T10:21:30"/>
        <d v="2026-05-24T23:04:33"/>
        <d v="2026-11-13T00:45:10"/>
        <d v="2026-01-04T23:37:10"/>
        <d v="2026-07-11T00:00:46"/>
        <d v="2026-07-25T21:30:28"/>
        <d v="2026-09-12T16:16:21"/>
        <d v="2026-02-07T07:21:43"/>
        <d v="2026-07-19T20:10:54"/>
        <d v="2026-02-14T05:35:38"/>
        <d v="2026-08-07T01:12:02"/>
        <d v="2026-01-11T02:57:30"/>
        <d v="2026-06-10T14:39:35"/>
        <d v="2026-05-04T07:16:14"/>
        <d v="2026-06-23T21:07:21"/>
        <d v="2026-04-29T14:15:56"/>
        <d v="2026-05-14T09:45:03"/>
        <d v="2026-07-21T14:37:22"/>
        <d v="2026-10-31T14:15:51"/>
        <d v="2026-05-12T07:54:20"/>
        <d v="2026-11-20T15:21:39"/>
        <d v="2026-04-18T04:23:17"/>
        <d v="2026-04-25T21:29:04"/>
        <d v="2026-07-01T02:13:27"/>
        <d v="2026-07-07T18:19:57"/>
        <d v="2026-10-24T21:51:20"/>
        <d v="2026-07-03T08:26:17"/>
        <d v="2026-08-29T02:46:53"/>
        <d v="2026-07-31T15:08:02"/>
        <d v="2026-05-08T13:20:43"/>
        <d v="2026-01-29T06:40:29"/>
        <d v="2026-05-19T01:03:49"/>
        <d v="2026-11-08T06:03:40"/>
        <d v="2026-03-23T09:47:53"/>
        <d v="2026-10-16T22:21:27"/>
        <d v="2026-10-03T23:51:11"/>
        <d v="2026-06-07T17:15:21"/>
        <d v="2026-08-12T18:34:26"/>
        <d v="2026-08-09T23:47:01"/>
        <d v="2026-03-02T20:28:16"/>
        <d v="2026-01-20T07:35:11"/>
        <d v="2026-11-23T03:11:15"/>
        <d v="2026-01-15T10:41:19"/>
        <d v="2026-05-16T18:42:52"/>
        <d v="2026-08-22T18:41:30"/>
        <d v="2026-10-18T13:07:39"/>
        <d v="2026-05-06T19:25:57"/>
        <d v="2026-07-27T19:32:24"/>
        <d v="2026-09-02T11:08:42"/>
        <d v="2026-11-23T04:16:47"/>
        <d v="2026-08-02T08:12:40"/>
        <d v="2026-11-06T02:44:21"/>
        <d v="2026-10-24T07:00:50"/>
        <d v="2026-11-10T14:23:23"/>
        <d v="2026-12-11T23:59:09"/>
        <d v="2026-04-21T04:58:22"/>
        <d v="2026-12-27T13:11:52"/>
        <d v="2026-02-21T02:10:58"/>
        <d v="2026-01-16T11:39:41"/>
        <d v="2026-06-27T10:00:08"/>
        <d v="2026-10-22T18:10:57"/>
        <d v="2026-05-04T08:38:57"/>
        <d v="2026-01-14T22:21:47"/>
        <d v="2026-05-08T06:31:11"/>
        <d v="2026-01-02T08:54:10"/>
        <d v="2026-06-01T15:19:39"/>
        <d v="2026-08-16T22:34:30"/>
        <d v="2026-03-21T14:01:09"/>
        <d v="2026-01-08T17:28:53"/>
        <d v="2026-10-01T01:29:56"/>
        <d v="2026-12-12T10:48:59"/>
        <d v="2026-07-06T12:25:28"/>
        <d v="2026-04-17T08:09:38"/>
        <d v="2026-03-01T07:07:27"/>
        <d v="2026-03-07T05:22:48"/>
        <d v="2026-01-11T22:52:16"/>
        <d v="2026-01-18T14:51:57"/>
        <d v="2026-05-01T04:08:01"/>
        <d v="2026-04-25T11:26:19"/>
        <d v="2026-09-02T09:50:30"/>
        <d v="2026-07-15T22:10:50"/>
        <d v="2026-01-21T04:07:18"/>
        <d v="2026-01-23T12:35:48"/>
        <d v="2026-07-25T10:00:16"/>
        <d v="2026-10-04T06:36:49"/>
        <d v="2026-02-07T02:09:14"/>
        <d v="2026-11-28T18:34:22"/>
        <d v="2026-01-08T04:45:48"/>
        <d v="2026-02-19T10:31:24"/>
        <d v="2026-07-18T00:17:06"/>
        <d v="2026-11-23T11:53:44"/>
        <d v="2026-05-28T17:54:14"/>
        <d v="2026-10-23T16:34:53"/>
        <d v="2026-03-12T15:04:44"/>
        <d v="2026-04-22T12:48:22"/>
        <d v="2026-07-30T23:42:38"/>
        <d v="2026-01-28T01:04:26"/>
        <d v="2026-03-28T15:02:37"/>
        <d v="2026-08-03T05:02:04"/>
        <d v="2026-03-21T11:10:25"/>
        <d v="2026-10-20T16:35:19"/>
        <d v="2026-04-01T02:50:59"/>
        <d v="2026-06-18T14:29:50"/>
        <d v="2026-06-16T02:51:01"/>
        <d v="2026-12-23T21:39:12"/>
        <d v="2026-01-22T13:39:01"/>
        <d v="2026-03-17T18:32:33"/>
        <d v="2026-07-21T03:17:13"/>
        <d v="2026-01-29T07:27:07"/>
        <d v="2026-06-05T08:54:35"/>
        <d v="2026-06-30T15:51:56"/>
        <d v="2026-11-07T06:34:57"/>
        <d v="2026-08-02T17:07:07"/>
        <d v="2026-10-09T07:06:38"/>
        <d v="2026-01-09T09:00:24"/>
        <d v="2026-01-23T06:25:36"/>
        <d v="2026-07-28T06:13:58"/>
        <d v="2026-04-17T20:49:30"/>
        <d v="2026-02-14T07:52:14"/>
        <d v="2026-08-02T22:44:04"/>
        <d v="2026-03-16T08:48:59"/>
        <d v="2026-04-25T04:34:42"/>
        <d v="2026-03-25T13:29:06"/>
        <d v="2026-03-25T01:58:51"/>
        <d v="2026-02-25T11:47:04"/>
        <d v="2026-06-12T23:29:05"/>
        <d v="2026-09-19T02:34:29"/>
        <d v="2026-10-17T09:19:44"/>
        <d v="2026-07-19T02:10:07"/>
        <d v="2026-05-25T00:35:06"/>
        <d v="2026-09-08T08:09:07"/>
        <d v="2026-12-03T09:52:36"/>
        <d v="2026-10-29T16:31:32"/>
        <d v="2026-10-05T13:58:08"/>
        <d v="2026-07-24T02:37:01"/>
        <d v="2026-04-29T08:40:59"/>
        <d v="2026-07-08T09:37:42"/>
        <d v="2026-02-26T17:01:12"/>
        <d v="2026-04-03T06:09:30"/>
        <d v="2026-07-06T08:06:20"/>
        <d v="2026-10-28T16:24:31"/>
        <d v="2026-03-29T21:01:22"/>
        <d v="2026-07-03T22:34:36"/>
        <d v="2026-08-10T16:03:34"/>
        <d v="2026-07-12T00:58:17"/>
        <d v="2026-11-17T23:40:26"/>
        <d v="2026-10-30T11:45:18"/>
        <d v="2026-01-31T04:57:26"/>
        <d v="2026-04-24T14:57:25"/>
        <d v="2026-05-15T13:02:32"/>
        <d v="2026-08-12T09:30:05"/>
        <d v="2026-08-28T10:30:55"/>
        <d v="2026-12-02T09:53:31"/>
        <d v="2026-04-12T04:46:31"/>
        <d v="2026-05-31T11:11:35"/>
        <d v="2026-12-13T04:26:17"/>
        <d v="2026-04-07T20:29:47"/>
        <d v="2026-09-13T13:35:16"/>
        <d v="2026-02-28T11:25:46"/>
        <d v="2026-11-02T05:00:56"/>
        <d v="2026-02-07T21:27:11"/>
        <d v="2026-08-06T17:50:57"/>
        <d v="2026-10-29T20:37:46"/>
        <d v="2026-03-01T22:23:34"/>
        <d v="2026-10-01T15:54:22"/>
        <d v="2026-08-22T06:58:44"/>
        <d v="2026-03-26T13:43:51"/>
        <d v="2026-01-19T22:26:03"/>
        <d v="2026-09-06T08:27:51"/>
        <d v="2026-01-21T13:46:26"/>
        <d v="2026-01-28T15:19:56"/>
        <d v="2026-09-29T19:12:40"/>
        <d v="2026-09-14T18:51:44"/>
        <d v="2026-12-23T20:39:30"/>
        <d v="2026-04-09T14:04:53"/>
        <d v="2026-06-17T04:43:59"/>
        <d v="2026-04-21T06:52:23"/>
        <d v="2026-03-14T22:21:59"/>
        <d v="2026-02-20T11:58:55"/>
        <d v="2026-07-31T18:46:12"/>
        <d v="2026-10-19T16:37:34"/>
        <d v="2026-04-18T16:27:53"/>
        <d v="2026-02-06T04:00:01"/>
        <d v="2026-04-15T19:07:30"/>
        <d v="2026-12-01T22:57:01"/>
        <d v="2026-04-10T03:09:14"/>
        <d v="2026-06-29T12:12:07"/>
        <d v="2026-02-25T17:45:37"/>
        <d v="2026-05-11T08:14:18"/>
        <d v="2026-03-06T13:17:42"/>
        <d v="2026-02-05T01:25:02"/>
        <d v="2026-07-12T10:56:39"/>
        <d v="2026-05-26T08:02:33"/>
        <d v="2026-01-27T03:37:54"/>
        <d v="2026-05-29T22:01:44"/>
        <d v="2026-07-18T22:51:01"/>
        <d v="2026-12-12T13:54:27"/>
        <d v="2026-09-24T05:22:57"/>
        <d v="2026-12-20T05:05:51"/>
        <d v="2026-02-18T13:18:18"/>
        <d v="2026-12-04T08:53:15"/>
        <d v="2026-07-31T21:51:07"/>
        <d v="2026-02-28T15:38:11"/>
        <d v="2026-11-24T13:18:02"/>
        <d v="2026-03-23T14:53:54"/>
        <d v="2026-03-19T04:19:22"/>
        <d v="2026-07-17T02:43:07"/>
        <d v="2026-07-06T18:00:21"/>
        <d v="2026-09-25T09:47:53"/>
        <d v="2026-09-29T09:03:11"/>
        <d v="2026-11-25T13:04:21"/>
        <d v="2026-06-19T12:50:56"/>
        <d v="2026-04-07T14:41:42"/>
        <d v="2026-11-02T22:39:35"/>
        <d v="2026-06-03T09:01:25"/>
        <d v="2026-01-24T05:24:58"/>
        <d v="2026-11-04T18:00:47"/>
        <d v="2026-10-27T22:35:39"/>
        <d v="2026-12-02T22:36:28"/>
        <d v="2026-11-07T18:27:26"/>
        <d v="2026-07-05T22:38:09"/>
        <d v="2026-08-09T21:06:15"/>
        <d v="2026-01-01T00:42:03"/>
        <d v="2026-09-23T16:56:38"/>
        <d v="2026-01-06T23:38:15"/>
        <d v="2026-07-19T03:51:55"/>
        <d v="2026-06-18T19:24:13"/>
        <d v="2026-08-10T05:49:06"/>
        <d v="2026-05-29T13:10:57"/>
        <d v="2026-12-09T13:07:12"/>
        <d v="2026-12-28T20:55:54"/>
        <d v="2026-04-10T19:20:39"/>
        <d v="2026-09-05T04:52:06"/>
        <d v="2026-11-15T06:50:24"/>
        <d v="2026-09-11T01:09:15"/>
        <d v="2026-10-10T03:05:28"/>
        <d v="2026-10-31T21:15:10"/>
        <d v="2026-04-02T13:18:54"/>
        <d v="2026-07-04T19:00:29"/>
        <d v="2026-11-30T07:23:00"/>
        <d v="2026-03-29T01:08:38"/>
        <d v="2026-09-11T10:23:05"/>
        <d v="2026-11-08T02:15:35"/>
        <d v="2026-04-26T21:08:40"/>
        <d v="2026-11-04T11:26:24"/>
        <d v="2026-09-16T18:17:34"/>
        <d v="2026-08-04T21:07:24"/>
        <d v="2026-12-16T22:54:57"/>
        <d v="2026-12-24T04:41:03"/>
        <d v="2026-03-04T13:11:02"/>
        <d v="2026-12-01T01:48:06"/>
        <d v="2026-02-22T17:44:59"/>
        <d v="2026-03-10T16:17:21"/>
        <d v="2026-07-31T21:17:46"/>
        <d v="2026-05-27T10:19:22"/>
        <d v="2026-07-27T10:27:38"/>
        <d v="2026-04-06T21:42:07"/>
        <d v="2026-10-25T07:35:19"/>
        <d v="2026-07-13T03:42:17"/>
        <d v="2026-03-13T09:30:42"/>
        <d v="2026-03-14T05:01:25"/>
        <d v="2026-01-26T00:36:47"/>
        <d v="2026-05-10T09:11:56"/>
        <d v="2026-08-13T17:26:54"/>
        <d v="2026-04-27T17:33:31"/>
        <d v="2026-08-16T02:19:00"/>
        <d v="2026-03-23T02:16:19"/>
        <d v="2026-01-04T03:34:04"/>
        <d v="2026-02-19T03:54:41"/>
        <d v="2026-06-16T07:33:26"/>
        <d v="2026-11-21T14:15:29"/>
        <d v="2026-03-09T06:37:21"/>
        <d v="2026-02-28T17:01:06"/>
        <d v="2026-02-06T18:33:08"/>
        <d v="2026-10-30T10:06:49"/>
        <d v="2026-05-20T22:26:19"/>
        <d v="2026-10-10T22:59:32"/>
        <d v="2026-09-19T02:11:33"/>
        <d v="2026-11-21T11:12:50"/>
        <d v="2026-06-04T15:06:01"/>
        <d v="2026-05-10T17:35:25"/>
        <d v="2026-05-31T14:47:10"/>
        <d v="2026-02-09T16:26:04"/>
        <d v="2026-04-19T04:28:39"/>
        <d v="2026-10-05T19:04:26"/>
        <d v="2026-05-27T07:47:14"/>
        <d v="2026-07-01T16:00:27"/>
        <d v="2026-04-03T23:39:39"/>
        <d v="2026-11-29T11:30:20"/>
        <d v="2026-03-31T06:13:50"/>
        <d v="2026-07-25T14:59:32"/>
        <d v="2026-01-31T22:41:22"/>
        <d v="2026-11-13T13:42:28"/>
        <d v="2026-07-12T04:20:21"/>
        <d v="2026-12-12T06:43:14"/>
        <d v="2026-02-21T05:50:31"/>
        <d v="2026-07-31T20:00:45"/>
        <d v="2026-12-07T10:23:59"/>
        <d v="2026-08-07T12:47:56"/>
        <d v="2026-05-27T08:17:01"/>
        <d v="2026-07-26T23:18:16"/>
        <d v="2026-06-21T04:37:54"/>
        <d v="2026-06-04T06:13:22"/>
        <d v="2026-12-06T17:04:39"/>
        <d v="2026-05-23T11:38:23"/>
        <d v="2026-06-04T03:20:03"/>
        <d v="2026-09-30T00:24:38"/>
        <d v="2026-09-20T22:20:31"/>
        <d v="2026-01-01T21:08:20"/>
        <d v="2026-05-29T05:02:09"/>
        <d v="2026-09-27T23:29:07"/>
        <d v="2026-08-18T07:25:40"/>
        <d v="2026-01-08T23:46:49"/>
        <d v="2026-09-12T23:12:42"/>
        <d v="2026-12-07T19:43:03"/>
        <d v="2026-10-17T22:12:43"/>
        <d v="2026-10-29T08:13:24"/>
        <d v="2026-05-15T02:48:39"/>
        <d v="2026-08-26T17:24:52"/>
        <d v="2026-02-07T22:19:24"/>
        <d v="2026-06-14T14:22:31"/>
        <d v="2026-01-26T02:40:55"/>
        <d v="2026-01-18T08:34:56"/>
        <d v="2026-01-13T04:11:17"/>
        <d v="2026-04-11T02:44:28"/>
        <d v="2026-02-20T02:02:19"/>
        <d v="2026-04-24T16:45:25"/>
        <d v="2026-10-29T14:22:40"/>
        <d v="2026-01-15T03:36:48"/>
        <d v="2026-04-17T20:34:59"/>
        <d v="2026-07-31T14:44:28"/>
        <d v="2026-09-23T01:44:22"/>
        <d v="2026-08-28T01:38:05"/>
        <d v="2026-07-29T16:29:50"/>
        <d v="2026-12-13T02:46:06"/>
        <d v="2026-01-04T23:02:06"/>
        <d v="2026-10-14T21:00:40"/>
        <d v="2026-05-27T07:47:59"/>
        <d v="2026-07-30T15:58:04"/>
        <d v="2026-06-26T07:32:19"/>
        <d v="2026-10-01T18:28:06"/>
        <d v="2026-11-12T11:30:14"/>
        <d v="2026-06-26T12:55:27"/>
        <d v="2026-06-13T23:02:00"/>
        <d v="2026-01-14T13:33:38"/>
        <d v="2026-02-15T11:30:35"/>
        <d v="2026-11-16T15:19:49"/>
        <d v="2026-04-29T00:37:18"/>
        <d v="2026-04-10T11:58:48"/>
        <d v="2026-03-30T20:04:57"/>
        <d v="2026-05-10T04:53:49"/>
        <d v="2026-02-21T15:09:14"/>
        <d v="2026-04-11T21:08:22"/>
        <d v="2026-02-20T10:05:51"/>
        <d v="2026-03-30T22:17:54"/>
        <d v="2026-03-31T19:32:48"/>
        <d v="2026-08-17T06:40:33"/>
        <d v="2026-11-06T23:09:58"/>
        <d v="2026-08-03T20:18:09"/>
        <d v="2026-07-11T10:05:22"/>
        <d v="2026-02-12T09:47:48"/>
        <d v="2026-03-13T22:10:31"/>
        <d v="2026-01-20T20:20:19"/>
        <d v="2026-09-29T05:21:43"/>
        <d v="2026-08-15T18:26:11"/>
        <d v="2026-02-08T21:33:14"/>
        <d v="2026-10-20T02:28:17"/>
        <d v="2026-10-22T16:20:50"/>
        <d v="2026-11-18T14:17:01"/>
        <d v="2026-11-12T21:30:49"/>
        <d v="2026-04-10T02:38:44"/>
        <d v="2026-09-14T19:59:13"/>
        <d v="2026-10-26T14:55:25"/>
        <d v="2026-01-14T14:16:04"/>
        <d v="2026-11-30T15:33:50"/>
        <d v="2026-02-06T00:21:29"/>
        <d v="2026-09-15T14:48:33"/>
        <d v="2026-10-25T21:04:47"/>
        <d v="2026-12-15T07:07:41"/>
        <d v="2026-06-23T18:01:03"/>
        <d v="2026-10-09T05:49:09"/>
        <d v="2026-01-12T04:09:58"/>
        <d v="2026-01-12T14:23:36"/>
        <d v="2026-06-11T05:44:13"/>
        <d v="2026-02-22T01:22:32"/>
        <d v="2026-12-13T18:57:38"/>
        <d v="2026-01-03T20:53:02"/>
        <d v="2026-12-26T13:32:16"/>
        <d v="2026-07-24T07:44:43"/>
        <d v="2026-07-02T19:51:08"/>
        <d v="2026-03-11T19:42:02"/>
        <d v="2026-08-03T17:40:47"/>
        <d v="2026-11-26T07:24:32"/>
        <d v="2026-04-02T21:51:24"/>
        <d v="2026-02-24T17:18:23"/>
        <d v="2026-05-13T23:11:31"/>
        <d v="2026-12-09T10:54:31"/>
        <d v="2026-07-27T23:08:48"/>
        <d v="2026-02-19T08:54:52"/>
        <d v="2026-03-21T09:25:22"/>
        <d v="2026-01-02T00:12:06"/>
        <d v="2026-04-29T20:12:47"/>
        <d v="2026-10-25T23:16:22"/>
        <d v="2026-11-24T17:49:08"/>
        <d v="2026-03-27T18:23:43"/>
        <d v="2026-07-02T03:23:40"/>
        <d v="2026-04-14T21:16:09"/>
        <d v="2026-01-11T19:21:29"/>
        <d v="2026-09-09T08:11:04"/>
        <d v="2026-11-30T14:56:07"/>
        <d v="2026-01-12T18:42:00"/>
        <d v="2026-01-28T19:36:37"/>
        <d v="2026-11-28T19:32:46"/>
        <d v="2026-08-21T05:48:39"/>
        <d v="2026-11-11T11:29:10"/>
        <d v="2026-11-26T07:44:08"/>
        <d v="2026-11-06T14:59:50"/>
        <d v="2026-01-08T16:05:25"/>
        <d v="2026-01-10T13:51:05"/>
        <d v="2026-05-21T09:37:54"/>
        <d v="2026-07-11T01:18:32"/>
        <d v="2026-02-13T16:36:33"/>
        <d v="2026-08-12T00:42:49"/>
        <d v="2026-03-07T18:57:40"/>
        <d v="2026-02-01T23:44:53"/>
        <d v="2026-06-23T07:57:44"/>
        <d v="2026-10-02T00:59:38"/>
        <d v="2026-09-13T04:55:45"/>
        <d v="2026-04-10T10:25:58"/>
        <d v="2026-05-16T19:15:12"/>
        <d v="2026-02-10T20:20:11"/>
        <d v="2026-11-21T06:58:22"/>
        <d v="2026-12-05T03:48:01"/>
        <d v="2026-11-23T16:42:39"/>
        <d v="2026-03-08T13:14:41"/>
        <d v="2026-12-16T01:01:09"/>
        <d v="2026-10-17T00:03:24"/>
        <d v="2026-04-22T02:00:25"/>
        <d v="2026-02-06T14:37:07"/>
        <d v="2026-10-22T10:59:32"/>
        <d v="2026-04-04T23:17:56"/>
        <d v="2026-05-18T17:21:06"/>
        <d v="2026-05-12T23:10:07"/>
        <d v="2026-10-23T08:31:54"/>
        <d v="2026-03-07T21:39:01"/>
        <d v="2026-10-08T20:36:03"/>
        <d v="2026-02-24T13:43:38"/>
        <d v="2026-04-27T12:34:39"/>
        <d v="2026-05-29T16:06:50"/>
        <d v="2026-05-07T02:04:59"/>
        <d v="2026-01-20T15:30:30"/>
        <d v="2026-10-10T20:25:16"/>
        <d v="2026-04-11T18:04:37"/>
        <d v="2026-10-16T05:37:49"/>
        <d v="2026-05-29T02:24:14"/>
        <d v="2026-06-18T17:52:30"/>
        <d v="2026-09-01T18:03:26"/>
        <d v="2026-11-20T06:09:08"/>
        <d v="2026-09-25T03:38:48"/>
        <d v="2026-10-09T19:24:24"/>
        <d v="2026-08-18T08:13:10"/>
        <d v="2026-06-20T17:56:31"/>
        <d v="2026-09-11T13:37:50"/>
        <d v="2026-10-29T10:41:26"/>
        <d v="2026-02-23T07:49:14"/>
        <d v="2026-02-19T15:30:47"/>
        <d v="2026-04-10T01:54:47"/>
        <d v="2026-11-05T20:36:55"/>
        <d v="2026-06-24T15:40:57"/>
        <d v="2026-05-11T06:47:14"/>
        <d v="2026-08-30T11:09:44"/>
        <d v="2026-07-25T01:04:57"/>
        <d v="2026-06-13T05:29:47"/>
        <d v="2026-07-10T14:59:45"/>
        <d v="2026-01-18T03:12:25"/>
        <d v="2026-05-01T16:09:34"/>
        <d v="2026-10-25T23:00:47"/>
        <d v="2026-10-12T10:25:02"/>
        <d v="2026-03-08T06:37:01"/>
        <d v="2026-05-13T19:47:44"/>
        <d v="2026-01-15T16:52:34"/>
        <d v="2026-09-14T09:28:55"/>
        <d v="2026-05-09T22:48:13"/>
        <d v="2026-03-22T14:24:10"/>
        <d v="2026-09-02T17:21:33"/>
        <d v="2026-10-01T06:45:43"/>
        <d v="2026-10-11T06:12:29"/>
        <d v="2026-08-09T12:22:13"/>
        <d v="2026-08-10T12:45:04"/>
        <d v="2026-12-23T22:23:11"/>
        <d v="2026-11-20T00:54:33"/>
        <d v="2026-06-17T15:35:08"/>
        <d v="2026-11-14T16:04:20"/>
        <d v="2026-06-06T23:19:50"/>
        <d v="2026-07-11T04:42:43"/>
        <d v="2026-03-01T09:41:53"/>
        <d v="2026-08-20T03:54:58"/>
        <d v="2026-11-29T15:34:47"/>
        <d v="2026-12-07T03:11:52"/>
        <d v="2026-08-04T16:28:55"/>
        <d v="2026-09-22T20:05:45"/>
        <d v="2026-07-01T03:46:14"/>
        <d v="2026-11-10T15:03:55"/>
        <d v="2026-11-21T02:15:33"/>
        <d v="2026-12-19T06:55:41"/>
        <d v="2026-07-02T20:17:19"/>
        <d v="2026-08-09T17:52:21"/>
        <d v="2026-05-19T12:55:07"/>
        <d v="2026-03-10T03:45:37"/>
        <d v="2026-01-22T07:03:51"/>
        <d v="2026-12-04T20:02:52"/>
        <d v="2026-02-07T10:01:07"/>
        <d v="2026-01-22T19:16:30"/>
        <d v="2026-12-18T17:08:19"/>
        <d v="2026-03-08T23:03:05"/>
        <d v="2026-07-04T23:57:21"/>
        <d v="2026-06-05T00:49:26"/>
        <d v="2026-07-10T10:30:03"/>
        <d v="2026-04-24T15:36:46"/>
        <d v="2026-05-10T18:18:35"/>
        <d v="2026-05-21T04:15:46"/>
        <d v="2026-06-20T02:13:13"/>
        <d v="2026-03-31T09:06:43"/>
        <d v="2026-03-08T18:49:34"/>
        <d v="2026-09-30T04:42:58"/>
        <d v="2026-06-09T17:21:13"/>
        <d v="2026-06-07T01:13:51"/>
        <d v="2026-03-28T05:11:32"/>
        <d v="2026-10-14T19:39:38"/>
        <d v="2026-07-22T14:01:00"/>
        <d v="2026-03-12T19:35:47"/>
        <d v="2026-09-18T14:20:28"/>
        <d v="2026-11-14T10:39:37"/>
        <d v="2026-07-11T14:21:06"/>
        <d v="2026-04-10T10:26:21"/>
        <d v="2026-08-30T06:50:38"/>
        <d v="2026-09-20T17:56:04"/>
        <d v="2026-11-26T11:56:51"/>
        <d v="2026-05-27T07:27:44"/>
        <d v="2026-04-04T23:59:54"/>
        <d v="2026-06-22T18:53:36"/>
        <d v="2026-02-06T08:41:07"/>
        <d v="2026-05-11T15:02:58"/>
        <d v="2026-05-28T21:06:21"/>
        <d v="2026-01-20T16:26:07"/>
        <d v="2026-12-24T00:48:57"/>
        <d v="2026-02-04T07:26:50"/>
        <d v="2026-02-07T14:32:05"/>
        <d v="2026-07-12T05:45:14"/>
        <d v="2026-02-26T12:06:12"/>
        <d v="2026-02-14T14:01:54"/>
        <d v="2026-10-26T10:48:00"/>
        <d v="2026-07-24T01:15:11"/>
        <d v="2026-02-09T07:30:20"/>
        <d v="2026-02-16T05:51:54"/>
        <d v="2026-08-09T14:38:18"/>
        <d v="2026-04-14T08:03:00"/>
        <d v="2026-11-18T19:26:40"/>
        <d v="2026-11-27T05:13:51"/>
        <d v="2026-02-25T07:07:25"/>
        <d v="2026-10-28T16:03:29"/>
        <d v="2026-09-21T03:14:09"/>
        <d v="2026-05-25T04:36:29"/>
        <d v="2026-10-18T23:01:31"/>
        <d v="2026-12-08T09:10:11"/>
        <d v="2026-08-12T18:12:23"/>
        <d v="2026-05-06T10:06:10"/>
        <d v="2026-03-07T14:36:08"/>
        <d v="2026-02-03T13:08:19"/>
        <d v="2026-10-06T07:36:56"/>
        <d v="2026-10-21T06:49:34"/>
        <d v="2026-12-26T08:51:08"/>
        <d v="2026-10-09T17:52:14"/>
        <d v="2026-03-02T10:34:08"/>
        <d v="2026-08-19T12:48:29"/>
        <d v="2026-09-02T22:32:18"/>
        <d v="2026-05-16T00:52:12"/>
        <d v="2026-04-13T08:38:11"/>
        <d v="2026-01-24T12:40:23"/>
        <d v="2026-02-11T10:47:14"/>
        <d v="2026-10-07T09:45:15"/>
        <d v="2026-03-29T02:58:35"/>
        <d v="2026-04-02T18:31:03"/>
        <d v="2026-12-20T08:39:31"/>
        <d v="2026-07-05T16:58:59"/>
        <d v="2026-03-22T18:42:21"/>
        <d v="2026-03-08T14:12:10"/>
        <d v="2026-05-17T11:40:19"/>
        <d v="2026-12-17T17:15:43"/>
        <d v="2026-01-18T00:35:31"/>
        <d v="2026-01-16T04:03:10"/>
        <d v="2026-02-07T13:51:15"/>
        <d v="2026-08-06T16:53:10"/>
        <d v="2026-08-10T23:40:50"/>
        <d v="2026-07-10T14:06:59"/>
        <d v="2026-01-20T14:27:06"/>
        <d v="2026-10-27T17:59:57"/>
        <d v="2026-11-10T05:56:25"/>
        <d v="2026-11-15T22:11:34"/>
        <d v="2026-11-06T16:45:29"/>
        <d v="2026-04-14T14:20:19"/>
        <d v="2026-05-01T20:34:33"/>
        <d v="2026-03-07T16:48:44"/>
        <d v="2026-02-08T20:41:14"/>
        <d v="2026-09-26T22:37:20"/>
        <d v="2026-12-23T10:48:26"/>
        <d v="2026-04-07T04:33:01"/>
        <d v="2026-09-16T00:37:39"/>
        <d v="2026-11-26T15:26:37"/>
        <d v="2026-07-01T18:57:10"/>
        <d v="2026-01-11T16:53:54"/>
        <d v="2026-07-02T09:19:48"/>
        <d v="2026-01-19T10:54:17"/>
        <d v="2026-01-31T20:43:26"/>
        <d v="2026-06-28T02:55:21"/>
        <d v="2026-01-06T21:19:37"/>
        <d v="2026-04-22T17:48:30"/>
        <d v="2026-06-01T17:49:06"/>
        <d v="2026-07-09T23:22:48"/>
        <d v="2026-06-22T16:02:12"/>
        <d v="2026-11-21T00:19:29"/>
        <d v="2026-09-08T13:11:48"/>
        <d v="2026-03-07T18:21:58"/>
        <d v="2026-03-29T07:48:42"/>
        <d v="2026-07-24T21:09:24"/>
        <d v="2026-04-08T18:03:04"/>
        <d v="2026-12-01T10:11:04"/>
        <d v="2026-11-04T04:33:26"/>
        <d v="2026-04-14T02:41:14"/>
        <d v="2026-11-19T15:47:09"/>
        <d v="2026-06-02T21:28:57"/>
        <d v="2026-04-25T15:55:12"/>
        <d v="2026-04-08T21:24:45"/>
        <d v="2026-12-11T21:21:30"/>
        <d v="2026-04-15T09:55:51"/>
        <d v="2026-07-07T22:27:18"/>
        <d v="2026-01-04T08:08:25"/>
        <d v="2026-02-19T16:13:44"/>
        <d v="2026-07-29T20:44:10"/>
        <d v="2026-12-17T20:48:53"/>
        <d v="2026-07-29T01:32:16"/>
        <d v="2026-06-04T09:23:24"/>
        <d v="2026-02-10T17:56:21"/>
        <d v="2026-11-07T14:15:42"/>
        <d v="2026-10-31T12:09:30"/>
        <d v="2026-03-24T18:53:06"/>
        <d v="2026-03-14T22:24:57"/>
        <d v="2026-08-17T04:24:05"/>
        <d v="2026-03-05T04:15:38"/>
        <d v="2026-02-09T21:38:54"/>
        <d v="2026-06-19T03:04:52"/>
        <d v="2026-10-19T15:23:34"/>
        <d v="2026-02-28T21:16:34"/>
        <d v="2026-10-02T19:03:47"/>
        <d v="2026-10-22T04:40:10"/>
        <d v="2026-06-08T00:33:05"/>
        <d v="2026-08-24T18:59:34"/>
        <d v="2026-06-25T15:09:58"/>
        <d v="2026-03-19T13:52:16"/>
        <d v="2026-04-10T06:35:58"/>
        <d v="2026-01-31T03:00:38"/>
        <d v="2026-01-23T19:33:14"/>
        <d v="2026-03-22T23:04:57"/>
        <d v="2026-11-19T07:56:55"/>
        <d v="2026-12-06T23:52:11"/>
        <d v="2026-10-25T17:43:58"/>
        <d v="2026-04-14T08:20:43"/>
        <d v="2026-02-05T02:54:26"/>
        <d v="2026-06-24T15:29:00"/>
        <d v="2026-04-16T22:57:08"/>
        <d v="2026-11-06T12:41:45"/>
        <d v="2026-05-26T03:34:30"/>
        <d v="2026-03-22T16:04:20"/>
        <d v="2026-09-15T06:20:05"/>
        <d v="2026-03-17T08:45:42"/>
        <d v="2026-07-15T13:00:58"/>
        <d v="2026-01-26T12:57:19"/>
        <d v="2026-02-22T06:49:06"/>
        <d v="2026-07-26T22:42:38"/>
        <d v="2026-11-18T06:18:46"/>
        <d v="2026-04-15T00:11:34"/>
        <d v="2026-12-18T07:50:51"/>
        <d v="2026-01-06T19:24:02"/>
        <d v="2026-04-09T17:46:54"/>
        <d v="2026-08-27T02:06:48"/>
        <d v="2026-08-08T23:23:32"/>
        <d v="2026-04-04T15:36:26"/>
        <d v="2026-04-22T08:31:08"/>
        <d v="2026-12-30T10:56:40"/>
        <d v="2026-07-09T18:15:43"/>
        <d v="2026-03-08T02:37:55"/>
        <d v="2026-04-25T21:06:36"/>
        <d v="2026-09-06T18:35:09"/>
        <d v="2026-12-06T02:03:11"/>
        <d v="2026-12-04T04:56:42"/>
        <d v="2026-01-18T08:11:11"/>
        <d v="2026-03-21T18:46:09"/>
        <d v="2026-07-23T04:04:47"/>
        <d v="2026-03-29T19:51:41"/>
        <d v="2026-06-26T09:14:27"/>
        <d v="2026-08-06T18:17:01"/>
        <d v="2026-06-28T11:16:24"/>
        <d v="2026-10-25T21:28:49"/>
        <d v="2026-03-28T09:55:23"/>
        <d v="2026-02-25T19:58:02"/>
        <d v="2026-08-20T09:07:07"/>
        <d v="2026-12-27T04:53:31"/>
        <d v="2026-12-17T07:20:42"/>
        <d v="2026-09-19T19:35:50"/>
        <d v="2026-10-24T09:29:54"/>
        <d v="2026-04-04T01:26:38"/>
        <d v="2026-08-30T06:56:42"/>
        <d v="2026-05-28T00:48:30"/>
        <d v="2026-12-02T19:07:22"/>
        <d v="2026-07-20T21:50:45"/>
        <d v="2026-09-17T12:32:52"/>
        <d v="2026-09-12T05:11:26"/>
        <d v="2026-12-22T11:13:36"/>
        <d v="2026-03-23T08:18:20"/>
        <d v="2026-12-18T02:12:36"/>
        <d v="2026-02-24T13:43:14"/>
        <d v="2026-10-12T02:43:25"/>
        <d v="2026-12-26T03:55:39"/>
        <d v="2026-05-19T08:05:30"/>
        <d v="2026-05-24T13:34:28"/>
        <d v="2026-02-18T03:51:58"/>
        <d v="2026-04-02T23:27:22"/>
        <d v="2026-05-20T07:31:03"/>
        <d v="2026-07-25T14:21:51"/>
        <d v="2026-05-16T03:20:46"/>
        <d v="2026-01-20T06:09:02"/>
        <d v="2026-03-02T20:08:49"/>
        <d v="2026-11-05T16:58:15"/>
        <d v="2026-06-25T01:21:16"/>
        <d v="2026-03-05T04:04:57"/>
        <d v="2026-07-17T02:50:29"/>
        <d v="2026-08-16T23:56:03"/>
        <d v="2026-05-17T09:37:14"/>
        <d v="2026-11-14T14:17:34"/>
        <d v="2026-02-13T22:29:05"/>
        <d v="2026-01-29T19:28:14"/>
        <d v="2026-11-27T03:58:18"/>
        <d v="2026-11-03T23:38:11"/>
        <d v="2026-12-06T13:43:00"/>
        <d v="2026-03-05T13:31:16"/>
        <d v="2026-05-26T19:37:02"/>
        <d v="2026-08-31T17:15:15"/>
        <d v="2026-07-02T14:57:49"/>
        <d v="2026-09-19T16:55:45"/>
        <d v="2026-09-14T04:38:39"/>
        <d v="2026-01-03T07:11:15"/>
        <d v="2026-05-02T14:19:58"/>
        <d v="2026-06-15T05:08:36"/>
        <d v="2026-04-27T10:07:45"/>
        <d v="2026-06-16T03:53:39"/>
        <d v="2026-10-18T19:02:12"/>
        <d v="2026-03-17T09:28:48"/>
        <d v="2026-08-30T17:24:47"/>
        <d v="2026-08-05T20:12:09"/>
        <d v="2026-04-20T23:00:46"/>
        <d v="2026-04-18T01:45:22"/>
        <d v="2026-01-10T01:47:07"/>
        <d v="2026-08-30T04:59:03"/>
        <d v="2026-09-11T09:02:05"/>
        <d v="2026-11-30T00:41:52"/>
        <d v="2026-01-27T02:24:08"/>
        <d v="2026-12-29T16:26:00"/>
        <d v="2026-04-04T10:30:24"/>
        <d v="2026-06-13T10:55:01"/>
        <d v="2026-05-31T06:04:38"/>
        <d v="2026-06-13T12:38:28"/>
        <d v="2026-09-27T11:00:42"/>
        <d v="2026-09-04T23:26:47"/>
        <d v="2026-12-19T04:50:51"/>
        <d v="2026-02-06T03:22:21"/>
        <d v="2026-02-02T15:36:29"/>
        <d v="2026-02-04T10:18:32"/>
        <d v="2026-07-14T10:02:49"/>
        <d v="2026-03-04T10:37:40"/>
        <d v="2026-08-16T09:21:52"/>
        <d v="2026-01-27T10:02:08"/>
        <d v="2026-11-04T01:04:52"/>
        <d v="2026-01-06T18:27:12"/>
        <d v="2026-06-11T00:18:58"/>
        <d v="2026-04-03T05:26:23"/>
        <d v="2026-03-07T07:58:28"/>
        <d v="2026-12-19T22:12:12"/>
        <d v="2026-03-22T06:16:01"/>
        <d v="2026-11-01T23:05:32"/>
        <d v="2026-04-04T01:44:44"/>
        <d v="2026-06-04T15:13:25"/>
        <d v="2026-02-03T23:48:32"/>
        <d v="2026-08-28T22:33:02"/>
        <d v="2026-02-17T07:04:21"/>
        <d v="2026-12-11T00:58:59"/>
        <d v="2026-07-28T00:45:02"/>
        <d v="2026-08-16T01:56:37"/>
        <d v="2026-10-10T21:15:31"/>
        <d v="2026-04-01T06:28:20"/>
        <d v="2026-08-27T19:41:28"/>
        <d v="2026-10-09T11:14:05"/>
        <d v="2026-06-15T09:27:09"/>
        <d v="2026-10-10T19:52:56"/>
        <d v="2026-01-04T13:00:06"/>
        <d v="2026-08-05T21:42:09"/>
        <d v="2026-02-17T06:27:41"/>
        <d v="2026-11-01T17:31:34"/>
        <d v="2026-10-19T04:21:10"/>
        <d v="2026-12-25T05:12:05"/>
        <d v="2026-08-01T00:21:30"/>
        <d v="2026-11-02T00:57:54"/>
        <d v="2026-06-27T06:35:19"/>
        <d v="2026-04-21T19:17:11"/>
        <d v="2026-03-09T20:58:50"/>
        <d v="2026-11-10T23:15:48"/>
        <d v="2026-08-28T02:34:57"/>
        <d v="2026-10-17T17:30:48"/>
        <d v="2026-06-01T09:21:02"/>
        <d v="2026-09-26T04:37:31"/>
        <d v="2026-02-11T18:30:46"/>
        <d v="2026-06-27T23:21:08"/>
        <d v="2026-09-06T22:52:32"/>
        <d v="2026-06-06T09:40:40"/>
        <d v="2026-09-15T17:01:30"/>
        <d v="2026-04-22T23:43:57"/>
        <d v="2026-10-31T16:58:09"/>
        <d v="2026-07-26T00:46:07"/>
        <d v="2026-03-27T01:06:12"/>
        <d v="2026-12-26T04:35:12"/>
        <d v="2026-09-29T05:10:40"/>
        <d v="2026-01-02T08:36:49"/>
        <d v="2026-03-22T07:56:13"/>
        <d v="2026-10-20T06:30:15"/>
        <d v="2026-05-10T05:49:39"/>
        <d v="2026-11-05T16:07:03"/>
        <d v="2026-03-08T17:17:44"/>
        <d v="2026-08-17T11:38:38"/>
        <d v="2026-11-01T21:13:53"/>
        <d v="2026-03-07T06:12:46"/>
        <d v="2026-02-17T07:54:20"/>
        <d v="2026-12-17T07:23:46"/>
        <d v="2026-09-30T21:36:35"/>
        <d v="2026-08-16T00:33:45"/>
        <d v="2026-01-15T11:15:47"/>
        <d v="2026-06-14T22:07:07"/>
        <d v="2026-03-28T02:57:00"/>
        <d v="2026-02-08T07:35:52"/>
        <d v="2026-07-15T15:35:58"/>
        <d v="2026-03-27T19:04:11"/>
        <d v="2026-11-16T14:41:54"/>
        <d v="2026-12-27T02:41:15"/>
        <d v="2026-09-20T00:01:01"/>
        <d v="2026-07-08T07:51:08"/>
        <d v="2026-11-09T16:08:29"/>
        <d v="2026-12-10T02:29:01"/>
        <d v="2026-04-16T06:35:42"/>
        <d v="2026-09-13T05:46:15"/>
        <d v="2026-06-30T14:24:05"/>
        <d v="2026-05-21T09:36:33"/>
        <d v="2026-07-20T18:55:28"/>
        <d v="2026-11-08T02:06:33"/>
        <d v="2026-02-17T17:13:04"/>
        <d v="2026-11-28T09:27:35"/>
        <d v="2026-10-11T20:41:12"/>
        <d v="2026-07-02T04:51:18"/>
        <d v="2026-10-10T21:07:59"/>
        <d v="2026-08-23T07:10:45"/>
        <d v="2026-11-09T09:45:41"/>
        <d v="2026-04-25T19:56:55"/>
        <d v="2026-11-06T03:52:25"/>
        <d v="2026-05-28T17:02:42"/>
        <d v="2026-06-26T10:22:07"/>
        <d v="2026-12-24T21:17:51"/>
        <d v="2026-12-19T12:08:52"/>
        <d v="2026-11-19T09:43:53"/>
        <d v="2026-12-17T07:29:00"/>
        <d v="2026-06-16T10:14:15"/>
        <d v="2026-01-23T12:13:02"/>
        <d v="2026-02-03T23:43:46"/>
        <d v="2026-09-03T21:19:52"/>
        <d v="2026-07-10T21:04:56"/>
        <d v="2026-02-27T00:07:33"/>
        <d v="2026-03-28T03:57:48"/>
        <d v="2026-02-14T12:43:20"/>
        <d v="2026-11-30T05:29:42"/>
        <d v="2026-01-05T10:13:31"/>
        <d v="2026-04-24T10:14:55"/>
        <d v="2026-08-07T11:39:47"/>
        <d v="2026-05-14T09:26:39"/>
        <d v="2026-12-06T03:49:06"/>
        <d v="2026-02-01T10:31:42"/>
        <d v="2026-09-14T06:33:31"/>
        <d v="2026-12-09T14:16:14"/>
        <d v="2026-01-20T03:29:12"/>
        <d v="2026-08-05T13:53:22"/>
        <d v="2026-07-05T10:15:02"/>
        <d v="2026-08-30T16:03:24"/>
        <d v="2026-05-07T23:16:58"/>
        <d v="2026-09-19T12:18:43"/>
        <d v="2026-11-27T10:07:53"/>
        <d v="2026-04-18T14:24:26"/>
        <d v="2026-03-02T07:33:03"/>
        <d v="2026-02-14T09:28:36"/>
        <d v="2026-12-10T08:18:50"/>
        <d v="2026-10-05T04:39:46"/>
        <d v="2026-07-12T17:55:00"/>
        <d v="2026-01-20T18:10:21"/>
        <d v="2026-11-07T09:40:16"/>
        <d v="2026-07-09T02:34:44"/>
        <d v="2026-11-27T12:22:57"/>
        <d v="2026-03-29T02:19:55"/>
        <d v="2026-04-24T13:08:22"/>
        <d v="2026-08-19T14:50:33"/>
        <d v="2026-10-29T17:54:50"/>
        <d v="2026-12-19T07:26:55"/>
        <d v="2026-01-10T08:53:58"/>
        <d v="2026-03-10T01:56:09"/>
        <d v="2026-04-02T01:17:01"/>
        <d v="2026-01-25T23:47:19"/>
        <d v="2026-01-30T20:37:53"/>
        <d v="2026-10-16T12:19:33"/>
        <d v="2026-04-05T05:56:27"/>
        <d v="2026-08-27T04:26:11"/>
        <d v="2026-06-10T05:30:04"/>
        <d v="2026-11-17T07:01:33"/>
        <d v="2026-08-03T21:39:33"/>
        <d v="2026-01-27T02:03:18"/>
        <d v="2026-09-25T15:58:32"/>
        <d v="2026-07-15T08:04:18"/>
        <d v="2026-08-17T11:06:20"/>
        <d v="2026-03-24T15:03:03"/>
        <d v="2026-01-27T18:51:15"/>
        <d v="2026-10-17T03:05:36"/>
        <d v="2026-08-17T23:06:32"/>
        <d v="2026-05-21T22:42:50"/>
        <d v="2026-07-02T16:09:48"/>
        <d v="2026-06-30T15:12:56"/>
        <d v="2026-03-12T07:42:50"/>
        <d v="2026-10-12T21:05:25"/>
        <d v="2026-03-24T04:57:44"/>
        <d v="2026-08-01T00:31:10"/>
        <d v="2026-11-02T15:44:40"/>
        <d v="2026-01-03T06:03:52"/>
        <d v="2026-12-04T12:01:18"/>
        <d v="2026-10-31T05:04:53"/>
        <d v="2026-03-25T19:54:19"/>
        <d v="2026-07-15T02:15:09"/>
        <d v="2026-02-13T18:48:08"/>
        <d v="2026-03-01T06:36:20"/>
        <d v="2026-03-31T12:42:54"/>
        <d v="2026-08-20T03:27:23"/>
        <d v="2026-04-17T00:33:55"/>
        <d v="2026-12-26T04:33:59"/>
        <d v="2026-01-03T03:50:14"/>
        <d v="2026-12-21T15:26:02"/>
        <d v="2026-10-17T18:34:46"/>
        <d v="2026-12-23T06:25:48"/>
        <d v="2026-04-13T04:53:15"/>
        <d v="2026-08-11T08:14:14"/>
        <d v="2026-09-18T19:04:24"/>
        <d v="2026-08-17T06:40:27"/>
      </sharedItems>
      <fieldGroup par="21"/>
    </cacheField>
    <cacheField name="Country" numFmtId="0">
      <sharedItems count="3">
        <s v="Netherlands"/>
        <s v="Belgium"/>
        <s v="Germany"/>
      </sharedItems>
    </cacheField>
    <cacheField name="Channel" numFmtId="0">
      <sharedItems count="3">
        <s v="Supermarket"/>
        <s v="Drugstore"/>
        <s v="Online"/>
      </sharedItems>
    </cacheField>
    <cacheField name="Category" numFmtId="0">
      <sharedItems count="4">
        <s v="Laundry"/>
        <s v="Oral Care"/>
        <s v="Skin Care"/>
        <s v="Hair Care"/>
      </sharedItems>
    </cacheField>
    <cacheField name="Brand" numFmtId="0">
      <sharedItems/>
    </cacheField>
    <cacheField name="SKU" numFmtId="0">
      <sharedItems/>
    </cacheField>
    <cacheField name="Product" numFmtId="0">
      <sharedItems count="27">
        <s v="Detergent Capsules"/>
        <s v="Detergent 1L"/>
        <s v="Sensitive Detergent"/>
        <s v="Mouthwash 500ml"/>
        <s v="Facial Cleanser"/>
        <s v="Body Wash"/>
        <s v="Body Lotion 400ml"/>
        <s v="Shampoo 250ml"/>
        <s v="Face Cream 50ml"/>
        <s v="Fabric Softener"/>
        <s v="Toothbrush"/>
        <s v="Whitening Toothpaste"/>
        <s v="Stain Remover"/>
        <s v="Anti-Dandruff Shampoo"/>
        <s v="Sensitive Toothpaste"/>
        <s v="Hand Cream"/>
        <s v="Sunscreen 200ml"/>
        <s v="Conditioner 250ml"/>
        <s v="Kids Toothpaste"/>
        <s v="Toothpaste 75ml"/>
        <s v="Styling Gel"/>
        <s v="Color Detergent"/>
        <s v="Shampoo 500ml"/>
        <s v="Hair Oil"/>
        <s v="Electric Brush Heads"/>
        <s v="Laundry Pods"/>
        <s v="Shower Gel 250ml"/>
      </sharedItems>
    </cacheField>
    <cacheField name="Units" numFmtId="0">
      <sharedItems containsSemiMixedTypes="0" containsString="0" containsNumber="1" containsInteger="1" minValue="201" maxValue="1199"/>
    </cacheField>
    <cacheField name="List Price" numFmtId="0">
      <sharedItems containsSemiMixedTypes="0" containsString="0" containsNumber="1" minValue="3.29" maxValue="12.99"/>
    </cacheField>
    <cacheField name="Promotion" numFmtId="0">
      <sharedItems count="2">
        <s v="No"/>
        <s v="Yes"/>
      </sharedItems>
    </cacheField>
    <cacheField name="Discount" numFmtId="9">
      <sharedItems containsSemiMixedTypes="0" containsString="0" containsNumber="1" minValue="0" maxValue="0.3"/>
    </cacheField>
    <cacheField name="Net Price" numFmtId="4">
      <sharedItems containsSemiMixedTypes="0" containsString="0" containsNumber="1" minValue="2.3029999999999999" maxValue="12.99"/>
    </cacheField>
    <cacheField name="Revenue" numFmtId="3">
      <sharedItems containsSemiMixedTypes="0" containsString="0" containsNumber="1" minValue="785.25" maxValue="13970.745000000001"/>
    </cacheField>
    <cacheField name="Unit Cost" numFmtId="4">
      <sharedItems containsSemiMixedTypes="0" containsString="0" containsNumber="1" minValue="1.1000000000000001" maxValue="5.2"/>
    </cacheField>
    <cacheField name="COGS" numFmtId="3">
      <sharedItems containsSemiMixedTypes="0" containsString="0" containsNumber="1" minValue="270" maxValue="6214"/>
    </cacheField>
    <cacheField name="Gross Profit " numFmtId="3">
      <sharedItems containsSemiMixedTypes="0" containsString="0" containsNumber="1" minValue="507.14400000000006" maxValue="7756.7450000000008"/>
    </cacheField>
    <cacheField name="Gross Margin (%)" numFmtId="10">
      <sharedItems containsSemiMixedTypes="0" containsString="0" containsNumber="1" minValue="0.36059229345448424" maxValue="0.6656534954407296"/>
    </cacheField>
    <cacheField name="Promotion Type" numFmtId="0">
      <sharedItems count="4">
        <s v="No Promotion"/>
        <s v="Seasonal"/>
        <s v="Bundle"/>
        <s v="Price Discount"/>
      </sharedItems>
    </cacheField>
    <cacheField name="Promotion Cost" numFmtId="0">
      <sharedItems containsSemiMixedTypes="0" containsString="0" containsNumber="1" minValue="0" maxValue="4053.819"/>
    </cacheField>
    <cacheField name="Days (Date)" numFmtId="0" databaseField="0">
      <fieldGroup base="1">
        <rangePr groupBy="days" startDate="2026-01-01T00:42:03" endDate="2026-12-30T10:56:40"/>
        <groupItems count="368">
          <s v="&lt;1/1/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0/12/26"/>
        </groupItems>
      </fieldGroup>
    </cacheField>
    <cacheField name="Months (Date)" numFmtId="0" databaseField="0">
      <fieldGroup base="1">
        <rangePr groupBy="months" startDate="2026-01-01T00:42:03" endDate="2026-12-30T10:56:40"/>
        <groupItems count="14">
          <s v="&lt;1/1/26"/>
          <s v="Jan"/>
          <s v="Feb"/>
          <s v="Mar"/>
          <s v="Apr"/>
          <s v="May"/>
          <s v="Jun"/>
          <s v="Jul"/>
          <s v="Aug"/>
          <s v="Sep"/>
          <s v="Oct"/>
          <s v="Nov"/>
          <s v="Dec"/>
          <s v="&gt;30/12/26"/>
        </groupItems>
      </fieldGroup>
    </cacheField>
    <cacheField name="Gross Margin" numFmtId="0" formula="'Gross Profit '/Revenue" databaseField="0"/>
  </cacheFields>
  <extLst>
    <ext xmlns:x14="http://schemas.microsoft.com/office/spreadsheetml/2009/9/main" uri="{725AE2AE-9491-48be-B2B4-4EB974FC3084}">
      <x14:pivotCacheDefinition pivotCacheId="1296664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0001"/>
    <x v="0"/>
    <x v="0"/>
    <x v="0"/>
    <x v="0"/>
    <s v="Brand C"/>
    <s v="LA002"/>
    <x v="0"/>
    <n v="776"/>
    <n v="11.99"/>
    <x v="0"/>
    <n v="0"/>
    <n v="11.99"/>
    <n v="9304.24"/>
    <n v="5.2"/>
    <n v="4035.2000000000003"/>
    <n v="5269.0399999999991"/>
    <n v="0.56630525437864876"/>
    <x v="0"/>
    <n v="0"/>
  </r>
  <r>
    <s v="TX0002"/>
    <x v="1"/>
    <x v="0"/>
    <x v="0"/>
    <x v="0"/>
    <s v="Brand B"/>
    <s v="LA001"/>
    <x v="1"/>
    <n v="443"/>
    <n v="8.49"/>
    <x v="1"/>
    <n v="0.2"/>
    <n v="6.7920000000000007"/>
    <n v="3008.8560000000002"/>
    <n v="3.8"/>
    <n v="1683.3999999999999"/>
    <n v="1325.4560000000004"/>
    <n v="0.44051825677267381"/>
    <x v="1"/>
    <n v="752.21400000000006"/>
  </r>
  <r>
    <s v="TX0003"/>
    <x v="2"/>
    <x v="0"/>
    <x v="0"/>
    <x v="0"/>
    <s v="Brand C"/>
    <s v="LA006"/>
    <x v="2"/>
    <n v="237"/>
    <n v="8.99"/>
    <x v="0"/>
    <n v="0"/>
    <n v="8.99"/>
    <n v="2130.63"/>
    <n v="4"/>
    <n v="948"/>
    <n v="1182.6300000000001"/>
    <n v="0.55506117908787544"/>
    <x v="0"/>
    <n v="0"/>
  </r>
  <r>
    <s v="TX0004"/>
    <x v="3"/>
    <x v="1"/>
    <x v="0"/>
    <x v="1"/>
    <s v="Brand B"/>
    <s v="OR004"/>
    <x v="3"/>
    <n v="1121"/>
    <n v="5.99"/>
    <x v="1"/>
    <n v="0.2"/>
    <n v="4.7920000000000007"/>
    <n v="5371.8320000000003"/>
    <n v="2.4"/>
    <n v="2690.4"/>
    <n v="2681.4320000000002"/>
    <n v="0.4991652754590985"/>
    <x v="2"/>
    <n v="1342.9580000000001"/>
  </r>
  <r>
    <s v="TX0005"/>
    <x v="4"/>
    <x v="0"/>
    <x v="1"/>
    <x v="2"/>
    <s v="Brand A"/>
    <s v="SC004"/>
    <x v="4"/>
    <n v="391"/>
    <n v="8.49"/>
    <x v="0"/>
    <n v="0"/>
    <n v="8.49"/>
    <n v="3319.59"/>
    <n v="3.5"/>
    <n v="1368.5"/>
    <n v="1951.0900000000001"/>
    <n v="0.58775029446407545"/>
    <x v="0"/>
    <n v="0"/>
  </r>
  <r>
    <s v="TX0006"/>
    <x v="5"/>
    <x v="2"/>
    <x v="1"/>
    <x v="1"/>
    <s v="Brand B"/>
    <s v="OR004"/>
    <x v="3"/>
    <n v="695"/>
    <n v="5.99"/>
    <x v="1"/>
    <n v="0.1"/>
    <n v="5.391"/>
    <n v="3746.7449999999999"/>
    <n v="2.4"/>
    <n v="1668"/>
    <n v="2078.7449999999999"/>
    <n v="0.5548135781858653"/>
    <x v="3"/>
    <n v="416.30500000000006"/>
  </r>
  <r>
    <s v="TX0007"/>
    <x v="6"/>
    <x v="1"/>
    <x v="0"/>
    <x v="2"/>
    <s v="Brand C"/>
    <s v="SC007"/>
    <x v="5"/>
    <n v="341"/>
    <n v="5.49"/>
    <x v="0"/>
    <n v="0"/>
    <n v="5.49"/>
    <n v="1872.0900000000001"/>
    <n v="2.2999999999999998"/>
    <n v="784.3"/>
    <n v="1087.7900000000002"/>
    <n v="0.58105646630236796"/>
    <x v="0"/>
    <n v="0"/>
  </r>
  <r>
    <s v="TX0008"/>
    <x v="7"/>
    <x v="0"/>
    <x v="1"/>
    <x v="2"/>
    <s v="Brand A"/>
    <s v="SC001"/>
    <x v="6"/>
    <n v="787"/>
    <n v="7.99"/>
    <x v="0"/>
    <n v="0"/>
    <n v="7.99"/>
    <n v="6288.13"/>
    <n v="3.1"/>
    <n v="2439.7000000000003"/>
    <n v="3848.43"/>
    <n v="0.61201501877346676"/>
    <x v="0"/>
    <n v="0"/>
  </r>
  <r>
    <s v="TX0009"/>
    <x v="8"/>
    <x v="0"/>
    <x v="1"/>
    <x v="3"/>
    <s v="Brand A"/>
    <s v="HC001"/>
    <x v="7"/>
    <n v="444"/>
    <n v="5.99"/>
    <x v="0"/>
    <n v="0"/>
    <n v="5.99"/>
    <n v="2659.56"/>
    <n v="2.4"/>
    <n v="1065.5999999999999"/>
    <n v="1593.96"/>
    <n v="0.59933222036727885"/>
    <x v="0"/>
    <n v="0"/>
  </r>
  <r>
    <s v="TX0010"/>
    <x v="9"/>
    <x v="0"/>
    <x v="2"/>
    <x v="2"/>
    <s v="Brand C"/>
    <s v="SC002"/>
    <x v="8"/>
    <n v="706"/>
    <n v="9.99"/>
    <x v="0"/>
    <n v="0"/>
    <n v="9.99"/>
    <n v="7052.9400000000005"/>
    <n v="4.2"/>
    <n v="2965.2000000000003"/>
    <n v="4087.7400000000002"/>
    <n v="0.57957957957957962"/>
    <x v="0"/>
    <n v="0"/>
  </r>
  <r>
    <s v="TX0011"/>
    <x v="10"/>
    <x v="0"/>
    <x v="0"/>
    <x v="3"/>
    <s v="Brand B"/>
    <s v="HC004"/>
    <x v="7"/>
    <n v="683"/>
    <n v="4.99"/>
    <x v="0"/>
    <n v="0"/>
    <n v="4.99"/>
    <n v="3408.17"/>
    <n v="2.1"/>
    <n v="1434.3"/>
    <n v="1973.8700000000001"/>
    <n v="0.57915831663326656"/>
    <x v="0"/>
    <n v="0"/>
  </r>
  <r>
    <s v="TX0012"/>
    <x v="11"/>
    <x v="1"/>
    <x v="0"/>
    <x v="0"/>
    <s v="Brand A"/>
    <s v="LA003"/>
    <x v="9"/>
    <n v="529"/>
    <n v="6.99"/>
    <x v="1"/>
    <n v="0.3"/>
    <n v="4.8929999999999998"/>
    <n v="2588.3969999999999"/>
    <n v="2.9"/>
    <n v="1534.1"/>
    <n v="1054.297"/>
    <n v="0.40731657469854898"/>
    <x v="3"/>
    <n v="1109.3129999999999"/>
  </r>
  <r>
    <s v="TX0013"/>
    <x v="12"/>
    <x v="2"/>
    <x v="1"/>
    <x v="1"/>
    <s v="Brand A"/>
    <s v="OR005"/>
    <x v="10"/>
    <n v="403"/>
    <n v="3.99"/>
    <x v="1"/>
    <n v="0.1"/>
    <n v="3.5910000000000002"/>
    <n v="1447.173"/>
    <n v="1.5"/>
    <n v="604.5"/>
    <n v="842.673"/>
    <n v="0.58228905597326652"/>
    <x v="2"/>
    <n v="160.797"/>
  </r>
  <r>
    <s v="TX0014"/>
    <x v="13"/>
    <x v="1"/>
    <x v="0"/>
    <x v="0"/>
    <s v="Brand C"/>
    <s v="LA002"/>
    <x v="0"/>
    <n v="227"/>
    <n v="11.99"/>
    <x v="0"/>
    <n v="0"/>
    <n v="11.99"/>
    <n v="2721.73"/>
    <n v="5.2"/>
    <n v="1180.4000000000001"/>
    <n v="1541.33"/>
    <n v="0.56630525437864887"/>
    <x v="0"/>
    <n v="0"/>
  </r>
  <r>
    <s v="TX0015"/>
    <x v="14"/>
    <x v="0"/>
    <x v="0"/>
    <x v="2"/>
    <s v="Brand C"/>
    <s v="SC002"/>
    <x v="8"/>
    <n v="746"/>
    <n v="9.99"/>
    <x v="0"/>
    <n v="0"/>
    <n v="9.99"/>
    <n v="7452.54"/>
    <n v="4.2"/>
    <n v="3133.2000000000003"/>
    <n v="4319.34"/>
    <n v="0.57957957957957962"/>
    <x v="0"/>
    <n v="0"/>
  </r>
  <r>
    <s v="TX0016"/>
    <x v="15"/>
    <x v="2"/>
    <x v="1"/>
    <x v="1"/>
    <s v="Brand A"/>
    <s v="OR002"/>
    <x v="11"/>
    <n v="240"/>
    <n v="4.99"/>
    <x v="0"/>
    <n v="0"/>
    <n v="4.99"/>
    <n v="1197.6000000000001"/>
    <n v="1.8"/>
    <n v="432"/>
    <n v="765.60000000000014"/>
    <n v="0.63927855711422854"/>
    <x v="0"/>
    <n v="0"/>
  </r>
  <r>
    <s v="TX0017"/>
    <x v="16"/>
    <x v="0"/>
    <x v="2"/>
    <x v="0"/>
    <s v="Brand B"/>
    <s v="LA004"/>
    <x v="12"/>
    <n v="593"/>
    <n v="5.99"/>
    <x v="0"/>
    <n v="0"/>
    <n v="5.99"/>
    <n v="3552.07"/>
    <n v="2.5"/>
    <n v="1482.5"/>
    <n v="2069.5700000000002"/>
    <n v="0.58263772954924875"/>
    <x v="0"/>
    <n v="0"/>
  </r>
  <r>
    <s v="TX0018"/>
    <x v="17"/>
    <x v="0"/>
    <x v="1"/>
    <x v="3"/>
    <s v="Brand C"/>
    <s v="HC006"/>
    <x v="13"/>
    <n v="1169"/>
    <n v="6.49"/>
    <x v="1"/>
    <n v="0.2"/>
    <n v="5.1920000000000002"/>
    <n v="6069.4480000000003"/>
    <n v="2.8"/>
    <n v="3273.2"/>
    <n v="2796.2480000000005"/>
    <n v="0.46070878274268112"/>
    <x v="2"/>
    <n v="1517.3620000000001"/>
  </r>
  <r>
    <s v="TX0019"/>
    <x v="18"/>
    <x v="1"/>
    <x v="1"/>
    <x v="0"/>
    <s v="Brand C"/>
    <s v="LA008"/>
    <x v="9"/>
    <n v="700"/>
    <n v="5.49"/>
    <x v="0"/>
    <n v="0"/>
    <n v="5.49"/>
    <n v="3843"/>
    <n v="2.4"/>
    <n v="1680"/>
    <n v="2163"/>
    <n v="0.56284153005464477"/>
    <x v="0"/>
    <n v="0"/>
  </r>
  <r>
    <s v="TX0020"/>
    <x v="19"/>
    <x v="1"/>
    <x v="0"/>
    <x v="1"/>
    <s v="Brand C"/>
    <s v="OR003"/>
    <x v="14"/>
    <n v="647"/>
    <n v="4.49"/>
    <x v="1"/>
    <n v="0.1"/>
    <n v="4.0410000000000004"/>
    <n v="2614.527"/>
    <n v="1.7"/>
    <n v="1099.8999999999999"/>
    <n v="1514.6270000000002"/>
    <n v="0.57931205147240783"/>
    <x v="3"/>
    <n v="290.50300000000004"/>
  </r>
  <r>
    <s v="TX0021"/>
    <x v="20"/>
    <x v="1"/>
    <x v="0"/>
    <x v="0"/>
    <s v="Brand B"/>
    <s v="LA004"/>
    <x v="12"/>
    <n v="695"/>
    <n v="5.99"/>
    <x v="0"/>
    <n v="0"/>
    <n v="5.99"/>
    <n v="4163.05"/>
    <n v="2.5"/>
    <n v="1737.5"/>
    <n v="2425.5500000000002"/>
    <n v="0.58263772954924875"/>
    <x v="0"/>
    <n v="0"/>
  </r>
  <r>
    <s v="TX0022"/>
    <x v="21"/>
    <x v="0"/>
    <x v="2"/>
    <x v="2"/>
    <s v="Brand B"/>
    <s v="SC006"/>
    <x v="15"/>
    <n v="1155"/>
    <n v="4.99"/>
    <x v="1"/>
    <n v="0.3"/>
    <n v="3.4929999999999999"/>
    <n v="4034.415"/>
    <n v="2.1"/>
    <n v="2425.5"/>
    <n v="1608.915"/>
    <n v="0.39879759519038077"/>
    <x v="2"/>
    <n v="1729.0350000000001"/>
  </r>
  <r>
    <s v="TX0023"/>
    <x v="22"/>
    <x v="1"/>
    <x v="1"/>
    <x v="2"/>
    <s v="Brand C"/>
    <s v="SC007"/>
    <x v="5"/>
    <n v="296"/>
    <n v="5.49"/>
    <x v="0"/>
    <n v="0"/>
    <n v="5.49"/>
    <n v="1625.04"/>
    <n v="2.2999999999999998"/>
    <n v="680.8"/>
    <n v="944.24"/>
    <n v="0.58105646630236796"/>
    <x v="0"/>
    <n v="0"/>
  </r>
  <r>
    <s v="TX0024"/>
    <x v="23"/>
    <x v="2"/>
    <x v="1"/>
    <x v="2"/>
    <s v="Brand C"/>
    <s v="SC007"/>
    <x v="5"/>
    <n v="704"/>
    <n v="5.49"/>
    <x v="0"/>
    <n v="0"/>
    <n v="5.49"/>
    <n v="3864.96"/>
    <n v="2.2999999999999998"/>
    <n v="1619.1999999999998"/>
    <n v="2245.7600000000002"/>
    <n v="0.58105646630236796"/>
    <x v="0"/>
    <n v="0"/>
  </r>
  <r>
    <s v="TX0025"/>
    <x v="24"/>
    <x v="0"/>
    <x v="2"/>
    <x v="2"/>
    <s v="Brand A"/>
    <s v="SC005"/>
    <x v="16"/>
    <n v="621"/>
    <n v="10.99"/>
    <x v="0"/>
    <n v="0"/>
    <n v="10.99"/>
    <n v="6824.79"/>
    <n v="4.5999999999999996"/>
    <n v="2856.6"/>
    <n v="3968.19"/>
    <n v="0.58143767060964513"/>
    <x v="0"/>
    <n v="0"/>
  </r>
  <r>
    <s v="TX0026"/>
    <x v="25"/>
    <x v="1"/>
    <x v="0"/>
    <x v="1"/>
    <s v="Brand B"/>
    <s v="OR004"/>
    <x v="3"/>
    <n v="952"/>
    <n v="5.99"/>
    <x v="1"/>
    <n v="0.2"/>
    <n v="4.7920000000000007"/>
    <n v="4561.9840000000004"/>
    <n v="2.4"/>
    <n v="2284.7999999999997"/>
    <n v="2277.1840000000007"/>
    <n v="0.49916527545909861"/>
    <x v="3"/>
    <n v="1140.4960000000001"/>
  </r>
  <r>
    <s v="TX0027"/>
    <x v="26"/>
    <x v="2"/>
    <x v="2"/>
    <x v="2"/>
    <s v="Brand C"/>
    <s v="SC002"/>
    <x v="8"/>
    <n v="572"/>
    <n v="9.99"/>
    <x v="1"/>
    <n v="0.1"/>
    <n v="8.9909999999999997"/>
    <n v="5142.8519999999999"/>
    <n v="4.2"/>
    <n v="2402.4"/>
    <n v="2740.4519999999998"/>
    <n v="0.53286619953286618"/>
    <x v="1"/>
    <n v="571.42800000000011"/>
  </r>
  <r>
    <s v="TX0028"/>
    <x v="27"/>
    <x v="2"/>
    <x v="0"/>
    <x v="2"/>
    <s v="Brand C"/>
    <s v="SC002"/>
    <x v="8"/>
    <n v="659"/>
    <n v="9.99"/>
    <x v="1"/>
    <n v="0.3"/>
    <n v="6.9929999999999994"/>
    <n v="4608.3869999999997"/>
    <n v="4.2"/>
    <n v="2767.8"/>
    <n v="1840.5869999999995"/>
    <n v="0.39939939939939934"/>
    <x v="1"/>
    <n v="1975.0229999999999"/>
  </r>
  <r>
    <s v="TX0029"/>
    <x v="28"/>
    <x v="1"/>
    <x v="1"/>
    <x v="1"/>
    <s v="Brand C"/>
    <s v="OR003"/>
    <x v="14"/>
    <n v="467"/>
    <n v="4.49"/>
    <x v="0"/>
    <n v="0"/>
    <n v="4.49"/>
    <n v="2096.83"/>
    <n v="1.7"/>
    <n v="793.9"/>
    <n v="1302.9299999999998"/>
    <n v="0.62138084632516699"/>
    <x v="0"/>
    <n v="0"/>
  </r>
  <r>
    <s v="TX0030"/>
    <x v="29"/>
    <x v="1"/>
    <x v="1"/>
    <x v="2"/>
    <s v="Brand C"/>
    <s v="SC002"/>
    <x v="8"/>
    <n v="393"/>
    <n v="9.99"/>
    <x v="0"/>
    <n v="0"/>
    <n v="9.99"/>
    <n v="3926.07"/>
    <n v="4.2"/>
    <n v="1650.6000000000001"/>
    <n v="2275.4700000000003"/>
    <n v="0.57957957957957962"/>
    <x v="0"/>
    <n v="0"/>
  </r>
  <r>
    <s v="TX0031"/>
    <x v="30"/>
    <x v="0"/>
    <x v="2"/>
    <x v="3"/>
    <s v="Brand A"/>
    <s v="HC003"/>
    <x v="17"/>
    <n v="588"/>
    <n v="5.49"/>
    <x v="0"/>
    <n v="0"/>
    <n v="5.49"/>
    <n v="3228.1200000000003"/>
    <n v="2.2000000000000002"/>
    <n v="1293.6000000000001"/>
    <n v="1934.5200000000002"/>
    <n v="0.59927140255009104"/>
    <x v="0"/>
    <n v="0"/>
  </r>
  <r>
    <s v="TX0032"/>
    <x v="31"/>
    <x v="0"/>
    <x v="2"/>
    <x v="1"/>
    <s v="Brand A"/>
    <s v="OR002"/>
    <x v="11"/>
    <n v="234"/>
    <n v="4.99"/>
    <x v="0"/>
    <n v="0"/>
    <n v="4.99"/>
    <n v="1167.6600000000001"/>
    <n v="1.8"/>
    <n v="421.2"/>
    <n v="746.46"/>
    <n v="0.63927855711422843"/>
    <x v="0"/>
    <n v="0"/>
  </r>
  <r>
    <s v="TX0033"/>
    <x v="32"/>
    <x v="0"/>
    <x v="2"/>
    <x v="1"/>
    <s v="Brand C"/>
    <s v="OR007"/>
    <x v="18"/>
    <n v="1156"/>
    <n v="3.29"/>
    <x v="1"/>
    <n v="0.1"/>
    <n v="2.9610000000000003"/>
    <n v="3422.9160000000002"/>
    <n v="1.1000000000000001"/>
    <n v="1271.6000000000001"/>
    <n v="2151.3159999999998"/>
    <n v="0.62850388382303268"/>
    <x v="1"/>
    <n v="380.32400000000001"/>
  </r>
  <r>
    <s v="TX0034"/>
    <x v="33"/>
    <x v="0"/>
    <x v="1"/>
    <x v="1"/>
    <s v="Brand B"/>
    <s v="OR001"/>
    <x v="19"/>
    <n v="732"/>
    <n v="3.49"/>
    <x v="1"/>
    <n v="0.2"/>
    <n v="2.7920000000000003"/>
    <n v="2043.7440000000001"/>
    <n v="1.2"/>
    <n v="878.4"/>
    <n v="1165.3440000000001"/>
    <n v="0.57020057306590255"/>
    <x v="2"/>
    <n v="510.93600000000004"/>
  </r>
  <r>
    <s v="TX0035"/>
    <x v="34"/>
    <x v="2"/>
    <x v="2"/>
    <x v="1"/>
    <s v="Brand B"/>
    <s v="OR001"/>
    <x v="19"/>
    <n v="996"/>
    <n v="3.49"/>
    <x v="1"/>
    <n v="0.1"/>
    <n v="3.1410000000000005"/>
    <n v="3128.4360000000006"/>
    <n v="1.2"/>
    <n v="1195.2"/>
    <n v="1933.2360000000006"/>
    <n v="0.61795606494746902"/>
    <x v="1"/>
    <n v="347.60400000000004"/>
  </r>
  <r>
    <s v="TX0036"/>
    <x v="35"/>
    <x v="2"/>
    <x v="2"/>
    <x v="3"/>
    <s v="Brand B"/>
    <s v="HC008"/>
    <x v="20"/>
    <n v="825"/>
    <n v="4.49"/>
    <x v="1"/>
    <n v="0.2"/>
    <n v="3.5920000000000005"/>
    <n v="2963.4000000000005"/>
    <n v="1.9"/>
    <n v="1567.5"/>
    <n v="1395.9000000000005"/>
    <n v="0.47104677060133637"/>
    <x v="2"/>
    <n v="740.85000000000014"/>
  </r>
  <r>
    <s v="TX0037"/>
    <x v="36"/>
    <x v="1"/>
    <x v="0"/>
    <x v="1"/>
    <s v="Brand B"/>
    <s v="OR001"/>
    <x v="19"/>
    <n v="1030"/>
    <n v="3.49"/>
    <x v="1"/>
    <n v="0.3"/>
    <n v="2.4430000000000001"/>
    <n v="2516.29"/>
    <n v="1.2"/>
    <n v="1236"/>
    <n v="1280.29"/>
    <n v="0.50880065493246007"/>
    <x v="3"/>
    <n v="1078.4099999999999"/>
  </r>
  <r>
    <s v="TX0038"/>
    <x v="37"/>
    <x v="2"/>
    <x v="0"/>
    <x v="3"/>
    <s v="Brand A"/>
    <s v="HC003"/>
    <x v="17"/>
    <n v="421"/>
    <n v="5.49"/>
    <x v="0"/>
    <n v="0"/>
    <n v="5.49"/>
    <n v="2311.29"/>
    <n v="2.2000000000000002"/>
    <n v="926.2"/>
    <n v="1385.09"/>
    <n v="0.59927140255009104"/>
    <x v="0"/>
    <n v="0"/>
  </r>
  <r>
    <s v="TX0039"/>
    <x v="38"/>
    <x v="0"/>
    <x v="2"/>
    <x v="3"/>
    <s v="Brand A"/>
    <s v="HC001"/>
    <x v="7"/>
    <n v="503"/>
    <n v="5.99"/>
    <x v="1"/>
    <n v="0.1"/>
    <n v="5.391"/>
    <n v="2711.6730000000002"/>
    <n v="2.4"/>
    <n v="1207.2"/>
    <n v="1504.4730000000002"/>
    <n v="0.5548135781858653"/>
    <x v="3"/>
    <n v="301.29700000000003"/>
  </r>
  <r>
    <s v="TX0040"/>
    <x v="39"/>
    <x v="1"/>
    <x v="0"/>
    <x v="3"/>
    <s v="Brand C"/>
    <s v="HC006"/>
    <x v="13"/>
    <n v="333"/>
    <n v="6.49"/>
    <x v="0"/>
    <n v="0"/>
    <n v="6.49"/>
    <n v="2161.17"/>
    <n v="2.8"/>
    <n v="932.4"/>
    <n v="1228.77"/>
    <n v="0.56856702619414479"/>
    <x v="0"/>
    <n v="0"/>
  </r>
  <r>
    <s v="TX0041"/>
    <x v="40"/>
    <x v="2"/>
    <x v="2"/>
    <x v="1"/>
    <s v="Brand B"/>
    <s v="OR001"/>
    <x v="19"/>
    <n v="379"/>
    <n v="3.49"/>
    <x v="0"/>
    <n v="0"/>
    <n v="3.49"/>
    <n v="1322.71"/>
    <n v="1.2"/>
    <n v="454.8"/>
    <n v="867.91000000000008"/>
    <n v="0.65616045845272208"/>
    <x v="0"/>
    <n v="0"/>
  </r>
  <r>
    <s v="TX0042"/>
    <x v="41"/>
    <x v="1"/>
    <x v="2"/>
    <x v="0"/>
    <s v="Brand A"/>
    <s v="LA005"/>
    <x v="21"/>
    <n v="610"/>
    <n v="9.49"/>
    <x v="1"/>
    <n v="0.1"/>
    <n v="8.5410000000000004"/>
    <n v="5210.01"/>
    <n v="4"/>
    <n v="2440"/>
    <n v="2770.01"/>
    <n v="0.53167076454747686"/>
    <x v="2"/>
    <n v="578.89"/>
  </r>
  <r>
    <s v="TX0043"/>
    <x v="42"/>
    <x v="0"/>
    <x v="0"/>
    <x v="1"/>
    <s v="Brand A"/>
    <s v="OR002"/>
    <x v="11"/>
    <n v="273"/>
    <n v="4.99"/>
    <x v="0"/>
    <n v="0"/>
    <n v="4.99"/>
    <n v="1362.27"/>
    <n v="1.8"/>
    <n v="491.40000000000003"/>
    <n v="870.86999999999989"/>
    <n v="0.63927855711422843"/>
    <x v="0"/>
    <n v="0"/>
  </r>
  <r>
    <s v="TX0044"/>
    <x v="43"/>
    <x v="2"/>
    <x v="2"/>
    <x v="1"/>
    <s v="Brand B"/>
    <s v="OR001"/>
    <x v="19"/>
    <n v="493"/>
    <n v="3.49"/>
    <x v="0"/>
    <n v="0"/>
    <n v="3.49"/>
    <n v="1720.5700000000002"/>
    <n v="1.2"/>
    <n v="591.6"/>
    <n v="1128.9700000000003"/>
    <n v="0.6561604584527222"/>
    <x v="0"/>
    <n v="0"/>
  </r>
  <r>
    <s v="TX0045"/>
    <x v="44"/>
    <x v="2"/>
    <x v="1"/>
    <x v="0"/>
    <s v="Brand A"/>
    <s v="LA003"/>
    <x v="9"/>
    <n v="873"/>
    <n v="6.99"/>
    <x v="1"/>
    <n v="0.3"/>
    <n v="4.8929999999999998"/>
    <n v="4271.5889999999999"/>
    <n v="2.9"/>
    <n v="2531.6999999999998"/>
    <n v="1739.8890000000001"/>
    <n v="0.40731657469854898"/>
    <x v="3"/>
    <n v="1830.681"/>
  </r>
  <r>
    <s v="TX0046"/>
    <x v="45"/>
    <x v="1"/>
    <x v="0"/>
    <x v="3"/>
    <s v="Brand A"/>
    <s v="HC002"/>
    <x v="22"/>
    <n v="451"/>
    <n v="8.99"/>
    <x v="0"/>
    <n v="0"/>
    <n v="8.99"/>
    <n v="4054.4900000000002"/>
    <n v="3.6"/>
    <n v="1623.6000000000001"/>
    <n v="2430.8900000000003"/>
    <n v="0.59955506117908797"/>
    <x v="0"/>
    <n v="0"/>
  </r>
  <r>
    <s v="TX0047"/>
    <x v="46"/>
    <x v="2"/>
    <x v="1"/>
    <x v="3"/>
    <s v="Brand C"/>
    <s v="HC006"/>
    <x v="13"/>
    <n v="258"/>
    <n v="6.49"/>
    <x v="0"/>
    <n v="0"/>
    <n v="6.49"/>
    <n v="1674.42"/>
    <n v="2.8"/>
    <n v="722.4"/>
    <n v="952.0200000000001"/>
    <n v="0.5685670261941449"/>
    <x v="0"/>
    <n v="0"/>
  </r>
  <r>
    <s v="TX0048"/>
    <x v="47"/>
    <x v="0"/>
    <x v="1"/>
    <x v="0"/>
    <s v="Brand A"/>
    <s v="LA005"/>
    <x v="21"/>
    <n v="354"/>
    <n v="9.49"/>
    <x v="0"/>
    <n v="0"/>
    <n v="9.49"/>
    <n v="3359.46"/>
    <n v="4"/>
    <n v="1416"/>
    <n v="1943.46"/>
    <n v="0.57850368809272923"/>
    <x v="0"/>
    <n v="0"/>
  </r>
  <r>
    <s v="TX0049"/>
    <x v="48"/>
    <x v="2"/>
    <x v="2"/>
    <x v="3"/>
    <s v="Brand C"/>
    <s v="HC007"/>
    <x v="23"/>
    <n v="1113"/>
    <n v="7.49"/>
    <x v="1"/>
    <n v="0.2"/>
    <n v="5.9920000000000009"/>
    <n v="6669.0960000000014"/>
    <n v="3.1"/>
    <n v="3450.3"/>
    <n v="3218.7960000000012"/>
    <n v="0.48264352469959954"/>
    <x v="2"/>
    <n v="1667.2740000000003"/>
  </r>
  <r>
    <s v="TX0050"/>
    <x v="49"/>
    <x v="0"/>
    <x v="0"/>
    <x v="0"/>
    <s v="Brand A"/>
    <s v="LA003"/>
    <x v="9"/>
    <n v="357"/>
    <n v="6.99"/>
    <x v="0"/>
    <n v="0"/>
    <n v="6.99"/>
    <n v="2495.4300000000003"/>
    <n v="2.9"/>
    <n v="1035.3"/>
    <n v="1460.1300000000003"/>
    <n v="0.58512160228898435"/>
    <x v="0"/>
    <n v="0"/>
  </r>
  <r>
    <s v="TX0051"/>
    <x v="50"/>
    <x v="1"/>
    <x v="0"/>
    <x v="3"/>
    <s v="Brand A"/>
    <s v="HC002"/>
    <x v="22"/>
    <n v="399"/>
    <n v="8.99"/>
    <x v="0"/>
    <n v="0"/>
    <n v="8.99"/>
    <n v="3587.01"/>
    <n v="3.6"/>
    <n v="1436.4"/>
    <n v="2150.61"/>
    <n v="0.59955506117908786"/>
    <x v="0"/>
    <n v="0"/>
  </r>
  <r>
    <s v="TX0052"/>
    <x v="51"/>
    <x v="0"/>
    <x v="2"/>
    <x v="2"/>
    <s v="Brand A"/>
    <s v="SC001"/>
    <x v="6"/>
    <n v="717"/>
    <n v="7.99"/>
    <x v="0"/>
    <n v="0"/>
    <n v="7.99"/>
    <n v="5728.83"/>
    <n v="3.1"/>
    <n v="2222.7000000000003"/>
    <n v="3506.1299999999997"/>
    <n v="0.61201501877346676"/>
    <x v="0"/>
    <n v="0"/>
  </r>
  <r>
    <s v="TX0053"/>
    <x v="52"/>
    <x v="0"/>
    <x v="0"/>
    <x v="1"/>
    <s v="Brand A"/>
    <s v="OR006"/>
    <x v="24"/>
    <n v="733"/>
    <n v="12.99"/>
    <x v="0"/>
    <n v="0"/>
    <n v="12.99"/>
    <n v="9521.67"/>
    <n v="5.2"/>
    <n v="3811.6"/>
    <n v="5710.07"/>
    <n v="0.59969207082371057"/>
    <x v="0"/>
    <n v="0"/>
  </r>
  <r>
    <s v="TX0054"/>
    <x v="53"/>
    <x v="1"/>
    <x v="1"/>
    <x v="0"/>
    <s v="Brand C"/>
    <s v="LA002"/>
    <x v="0"/>
    <n v="960"/>
    <n v="11.99"/>
    <x v="1"/>
    <n v="0.2"/>
    <n v="9.5920000000000005"/>
    <n v="9208.32"/>
    <n v="5.2"/>
    <n v="4992"/>
    <n v="4216.32"/>
    <n v="0.45788156797331109"/>
    <x v="3"/>
    <n v="2302.08"/>
  </r>
  <r>
    <s v="TX0055"/>
    <x v="54"/>
    <x v="1"/>
    <x v="1"/>
    <x v="3"/>
    <s v="Brand A"/>
    <s v="HC003"/>
    <x v="17"/>
    <n v="875"/>
    <n v="5.49"/>
    <x v="1"/>
    <n v="0.2"/>
    <n v="4.3920000000000003"/>
    <n v="3843.0000000000005"/>
    <n v="2.2000000000000002"/>
    <n v="1925.0000000000002"/>
    <n v="1918.0000000000002"/>
    <n v="0.49908925318761382"/>
    <x v="3"/>
    <n v="960.75000000000011"/>
  </r>
  <r>
    <s v="TX0056"/>
    <x v="55"/>
    <x v="1"/>
    <x v="0"/>
    <x v="1"/>
    <s v="Brand C"/>
    <s v="OR007"/>
    <x v="18"/>
    <n v="416"/>
    <n v="3.29"/>
    <x v="0"/>
    <n v="0"/>
    <n v="3.29"/>
    <n v="1368.64"/>
    <n v="1.1000000000000001"/>
    <n v="457.6"/>
    <n v="911.04000000000008"/>
    <n v="0.66565349544072949"/>
    <x v="0"/>
    <n v="0"/>
  </r>
  <r>
    <s v="TX0057"/>
    <x v="56"/>
    <x v="1"/>
    <x v="2"/>
    <x v="3"/>
    <s v="Brand A"/>
    <s v="HC001"/>
    <x v="7"/>
    <n v="372"/>
    <n v="5.99"/>
    <x v="0"/>
    <n v="0"/>
    <n v="5.99"/>
    <n v="2228.2800000000002"/>
    <n v="2.4"/>
    <n v="892.8"/>
    <n v="1335.4800000000002"/>
    <n v="0.59933222036727885"/>
    <x v="0"/>
    <n v="0"/>
  </r>
  <r>
    <s v="TX0058"/>
    <x v="57"/>
    <x v="0"/>
    <x v="2"/>
    <x v="3"/>
    <s v="Brand B"/>
    <s v="HC004"/>
    <x v="7"/>
    <n v="478"/>
    <n v="4.99"/>
    <x v="1"/>
    <n v="0.2"/>
    <n v="3.9920000000000004"/>
    <n v="1908.1760000000002"/>
    <n v="2.1"/>
    <n v="1003.8000000000001"/>
    <n v="904.37600000000009"/>
    <n v="0.4739478957915832"/>
    <x v="2"/>
    <n v="477.04400000000004"/>
  </r>
  <r>
    <s v="TX0059"/>
    <x v="58"/>
    <x v="1"/>
    <x v="0"/>
    <x v="3"/>
    <s v="Brand A"/>
    <s v="HC002"/>
    <x v="22"/>
    <n v="212"/>
    <n v="8.99"/>
    <x v="0"/>
    <n v="0"/>
    <n v="8.99"/>
    <n v="1905.88"/>
    <n v="3.6"/>
    <n v="763.2"/>
    <n v="1142.68"/>
    <n v="0.59955506117908786"/>
    <x v="0"/>
    <n v="0"/>
  </r>
  <r>
    <s v="TX0060"/>
    <x v="59"/>
    <x v="1"/>
    <x v="0"/>
    <x v="3"/>
    <s v="Brand B"/>
    <s v="HC008"/>
    <x v="20"/>
    <n v="232"/>
    <n v="4.49"/>
    <x v="0"/>
    <n v="0"/>
    <n v="4.49"/>
    <n v="1041.68"/>
    <n v="1.9"/>
    <n v="440.79999999999995"/>
    <n v="600.88000000000011"/>
    <n v="0.57683741648106912"/>
    <x v="0"/>
    <n v="0"/>
  </r>
  <r>
    <s v="TX0061"/>
    <x v="60"/>
    <x v="0"/>
    <x v="0"/>
    <x v="2"/>
    <s v="Brand A"/>
    <s v="SC004"/>
    <x v="4"/>
    <n v="725"/>
    <n v="8.49"/>
    <x v="0"/>
    <n v="0"/>
    <n v="8.49"/>
    <n v="6155.25"/>
    <n v="3.5"/>
    <n v="2537.5"/>
    <n v="3617.75"/>
    <n v="0.58775029446407534"/>
    <x v="0"/>
    <n v="0"/>
  </r>
  <r>
    <s v="TX0062"/>
    <x v="61"/>
    <x v="0"/>
    <x v="1"/>
    <x v="1"/>
    <s v="Brand A"/>
    <s v="OR005"/>
    <x v="10"/>
    <n v="556"/>
    <n v="3.99"/>
    <x v="0"/>
    <n v="0"/>
    <n v="3.99"/>
    <n v="2218.44"/>
    <n v="1.5"/>
    <n v="834"/>
    <n v="1384.44"/>
    <n v="0.62406015037593987"/>
    <x v="0"/>
    <n v="0"/>
  </r>
  <r>
    <s v="TX0063"/>
    <x v="62"/>
    <x v="0"/>
    <x v="1"/>
    <x v="1"/>
    <s v="Brand B"/>
    <s v="OR004"/>
    <x v="3"/>
    <n v="461"/>
    <n v="5.99"/>
    <x v="0"/>
    <n v="0"/>
    <n v="5.99"/>
    <n v="2761.39"/>
    <n v="2.4"/>
    <n v="1106.3999999999999"/>
    <n v="1654.99"/>
    <n v="0.59933222036727885"/>
    <x v="0"/>
    <n v="0"/>
  </r>
  <r>
    <s v="TX0064"/>
    <x v="63"/>
    <x v="1"/>
    <x v="2"/>
    <x v="1"/>
    <s v="Brand C"/>
    <s v="OR003"/>
    <x v="14"/>
    <n v="748"/>
    <n v="4.49"/>
    <x v="0"/>
    <n v="0"/>
    <n v="4.49"/>
    <n v="3358.52"/>
    <n v="1.7"/>
    <n v="1271.5999999999999"/>
    <n v="2086.92"/>
    <n v="0.6213808463251671"/>
    <x v="0"/>
    <n v="0"/>
  </r>
  <r>
    <s v="TX0065"/>
    <x v="64"/>
    <x v="2"/>
    <x v="0"/>
    <x v="0"/>
    <s v="Brand C"/>
    <s v="LA006"/>
    <x v="2"/>
    <n v="344"/>
    <n v="8.99"/>
    <x v="0"/>
    <n v="0"/>
    <n v="8.99"/>
    <n v="3092.56"/>
    <n v="4"/>
    <n v="1376"/>
    <n v="1716.56"/>
    <n v="0.55506117908787544"/>
    <x v="0"/>
    <n v="0"/>
  </r>
  <r>
    <s v="TX0066"/>
    <x v="65"/>
    <x v="1"/>
    <x v="2"/>
    <x v="1"/>
    <s v="Brand C"/>
    <s v="OR007"/>
    <x v="18"/>
    <n v="455"/>
    <n v="3.29"/>
    <x v="0"/>
    <n v="0"/>
    <n v="3.29"/>
    <n v="1496.95"/>
    <n v="1.1000000000000001"/>
    <n v="500.50000000000006"/>
    <n v="996.45"/>
    <n v="0.66565349544072949"/>
    <x v="0"/>
    <n v="0"/>
  </r>
  <r>
    <s v="TX0067"/>
    <x v="66"/>
    <x v="1"/>
    <x v="1"/>
    <x v="0"/>
    <s v="Brand A"/>
    <s v="LA003"/>
    <x v="9"/>
    <n v="1000"/>
    <n v="6.99"/>
    <x v="1"/>
    <n v="0.2"/>
    <n v="5.5920000000000005"/>
    <n v="5592.0000000000009"/>
    <n v="2.9"/>
    <n v="2900"/>
    <n v="2692.0000000000009"/>
    <n v="0.48140200286123042"/>
    <x v="3"/>
    <n v="1398.0000000000002"/>
  </r>
  <r>
    <s v="TX0068"/>
    <x v="67"/>
    <x v="0"/>
    <x v="2"/>
    <x v="0"/>
    <s v="Brand B"/>
    <s v="LA007"/>
    <x v="25"/>
    <n v="929"/>
    <n v="10.49"/>
    <x v="1"/>
    <n v="0.3"/>
    <n v="7.343"/>
    <n v="6821.6469999999999"/>
    <n v="4.5999999999999996"/>
    <n v="4273.3999999999996"/>
    <n v="2548.2470000000003"/>
    <n v="0.37355304371510284"/>
    <x v="3"/>
    <n v="2923.5629999999996"/>
  </r>
  <r>
    <s v="TX0069"/>
    <x v="68"/>
    <x v="2"/>
    <x v="0"/>
    <x v="3"/>
    <s v="Brand B"/>
    <s v="HC004"/>
    <x v="7"/>
    <n v="219"/>
    <n v="4.99"/>
    <x v="0"/>
    <n v="0"/>
    <n v="4.99"/>
    <n v="1092.81"/>
    <n v="2.1"/>
    <n v="459.90000000000003"/>
    <n v="632.90999999999985"/>
    <n v="0.57915831663326645"/>
    <x v="0"/>
    <n v="0"/>
  </r>
  <r>
    <s v="TX0070"/>
    <x v="69"/>
    <x v="2"/>
    <x v="1"/>
    <x v="1"/>
    <s v="Brand B"/>
    <s v="OR001"/>
    <x v="19"/>
    <n v="411"/>
    <n v="3.49"/>
    <x v="1"/>
    <n v="0.2"/>
    <n v="2.7920000000000003"/>
    <n v="1147.5120000000002"/>
    <n v="1.2"/>
    <n v="493.2"/>
    <n v="654.31200000000013"/>
    <n v="0.57020057306590255"/>
    <x v="2"/>
    <n v="286.87800000000004"/>
  </r>
  <r>
    <s v="TX0071"/>
    <x v="70"/>
    <x v="0"/>
    <x v="1"/>
    <x v="3"/>
    <s v="Brand A"/>
    <s v="HC002"/>
    <x v="22"/>
    <n v="382"/>
    <n v="8.99"/>
    <x v="0"/>
    <n v="0"/>
    <n v="8.99"/>
    <n v="3434.1800000000003"/>
    <n v="3.6"/>
    <n v="1375.2"/>
    <n v="2058.9800000000005"/>
    <n v="0.59955506117908797"/>
    <x v="0"/>
    <n v="0"/>
  </r>
  <r>
    <s v="TX0072"/>
    <x v="71"/>
    <x v="1"/>
    <x v="2"/>
    <x v="3"/>
    <s v="Brand A"/>
    <s v="HC001"/>
    <x v="7"/>
    <n v="528"/>
    <n v="5.99"/>
    <x v="0"/>
    <n v="0"/>
    <n v="5.99"/>
    <n v="3162.7200000000003"/>
    <n v="2.4"/>
    <n v="1267.2"/>
    <n v="1895.5200000000002"/>
    <n v="0.59933222036727885"/>
    <x v="0"/>
    <n v="0"/>
  </r>
  <r>
    <s v="TX0073"/>
    <x v="72"/>
    <x v="2"/>
    <x v="2"/>
    <x v="3"/>
    <s v="Brand C"/>
    <s v="HC006"/>
    <x v="13"/>
    <n v="353"/>
    <n v="6.49"/>
    <x v="0"/>
    <n v="0"/>
    <n v="6.49"/>
    <n v="2290.9700000000003"/>
    <n v="2.8"/>
    <n v="988.4"/>
    <n v="1302.5700000000002"/>
    <n v="0.5685670261941449"/>
    <x v="0"/>
    <n v="0"/>
  </r>
  <r>
    <s v="TX0074"/>
    <x v="73"/>
    <x v="0"/>
    <x v="2"/>
    <x v="0"/>
    <s v="Brand A"/>
    <s v="LA005"/>
    <x v="21"/>
    <n v="774"/>
    <n v="9.49"/>
    <x v="0"/>
    <n v="0"/>
    <n v="9.49"/>
    <n v="7345.26"/>
    <n v="4"/>
    <n v="3096"/>
    <n v="4249.26"/>
    <n v="0.57850368809272923"/>
    <x v="0"/>
    <n v="0"/>
  </r>
  <r>
    <s v="TX0075"/>
    <x v="74"/>
    <x v="1"/>
    <x v="1"/>
    <x v="2"/>
    <s v="Brand B"/>
    <s v="SC006"/>
    <x v="15"/>
    <n v="780"/>
    <n v="4.99"/>
    <x v="0"/>
    <n v="0"/>
    <n v="4.99"/>
    <n v="3892.2000000000003"/>
    <n v="2.1"/>
    <n v="1638"/>
    <n v="2254.2000000000003"/>
    <n v="0.57915831663326656"/>
    <x v="0"/>
    <n v="0"/>
  </r>
  <r>
    <s v="TX0076"/>
    <x v="75"/>
    <x v="1"/>
    <x v="1"/>
    <x v="1"/>
    <s v="Brand A"/>
    <s v="OR002"/>
    <x v="11"/>
    <n v="596"/>
    <n v="4.99"/>
    <x v="1"/>
    <n v="0.1"/>
    <n v="4.4910000000000005"/>
    <n v="2676.6360000000004"/>
    <n v="1.8"/>
    <n v="1072.8"/>
    <n v="1603.8360000000005"/>
    <n v="0.59919839679358722"/>
    <x v="2"/>
    <n v="297.40400000000005"/>
  </r>
  <r>
    <s v="TX0077"/>
    <x v="76"/>
    <x v="1"/>
    <x v="0"/>
    <x v="0"/>
    <s v="Brand B"/>
    <s v="LA001"/>
    <x v="1"/>
    <n v="415"/>
    <n v="8.49"/>
    <x v="0"/>
    <n v="0"/>
    <n v="8.49"/>
    <n v="3523.35"/>
    <n v="3.8"/>
    <n v="1577"/>
    <n v="1946.35"/>
    <n v="0.55241460541813903"/>
    <x v="0"/>
    <n v="0"/>
  </r>
  <r>
    <s v="TX0078"/>
    <x v="77"/>
    <x v="0"/>
    <x v="2"/>
    <x v="2"/>
    <s v="Brand A"/>
    <s v="SC004"/>
    <x v="4"/>
    <n v="301"/>
    <n v="8.49"/>
    <x v="0"/>
    <n v="0"/>
    <n v="8.49"/>
    <n v="2555.4900000000002"/>
    <n v="3.5"/>
    <n v="1053.5"/>
    <n v="1501.9900000000002"/>
    <n v="0.58775029446407545"/>
    <x v="0"/>
    <n v="0"/>
  </r>
  <r>
    <s v="TX0079"/>
    <x v="78"/>
    <x v="0"/>
    <x v="2"/>
    <x v="2"/>
    <s v="Brand B"/>
    <s v="SC006"/>
    <x v="15"/>
    <n v="749"/>
    <n v="4.99"/>
    <x v="0"/>
    <n v="0"/>
    <n v="4.99"/>
    <n v="3737.51"/>
    <n v="2.1"/>
    <n v="1572.9"/>
    <n v="2164.61"/>
    <n v="0.57915831663326656"/>
    <x v="0"/>
    <n v="0"/>
  </r>
  <r>
    <s v="TX0080"/>
    <x v="79"/>
    <x v="2"/>
    <x v="2"/>
    <x v="0"/>
    <s v="Brand B"/>
    <s v="LA004"/>
    <x v="12"/>
    <n v="305"/>
    <n v="5.99"/>
    <x v="0"/>
    <n v="0"/>
    <n v="5.99"/>
    <n v="1826.95"/>
    <n v="2.5"/>
    <n v="762.5"/>
    <n v="1064.45"/>
    <n v="0.58263772954924875"/>
    <x v="0"/>
    <n v="0"/>
  </r>
  <r>
    <s v="TX0081"/>
    <x v="80"/>
    <x v="1"/>
    <x v="1"/>
    <x v="0"/>
    <s v="Brand A"/>
    <s v="LA005"/>
    <x v="21"/>
    <n v="328"/>
    <n v="9.49"/>
    <x v="0"/>
    <n v="0"/>
    <n v="9.49"/>
    <n v="3112.7200000000003"/>
    <n v="4"/>
    <n v="1312"/>
    <n v="1800.7200000000003"/>
    <n v="0.57850368809272923"/>
    <x v="0"/>
    <n v="0"/>
  </r>
  <r>
    <s v="TX0082"/>
    <x v="81"/>
    <x v="0"/>
    <x v="0"/>
    <x v="2"/>
    <s v="Brand A"/>
    <s v="SC001"/>
    <x v="6"/>
    <n v="510"/>
    <n v="7.99"/>
    <x v="0"/>
    <n v="0"/>
    <n v="7.99"/>
    <n v="4074.9"/>
    <n v="3.1"/>
    <n v="1581"/>
    <n v="2493.9"/>
    <n v="0.61201501877346687"/>
    <x v="0"/>
    <n v="0"/>
  </r>
  <r>
    <s v="TX0083"/>
    <x v="82"/>
    <x v="1"/>
    <x v="1"/>
    <x v="2"/>
    <s v="Brand B"/>
    <s v="SC003"/>
    <x v="26"/>
    <n v="934"/>
    <n v="4.49"/>
    <x v="1"/>
    <n v="0.2"/>
    <n v="3.5920000000000005"/>
    <n v="3354.9280000000003"/>
    <n v="1.9"/>
    <n v="1774.6"/>
    <n v="1580.3280000000004"/>
    <n v="0.47104677060133637"/>
    <x v="2"/>
    <n v="838.73200000000008"/>
  </r>
  <r>
    <s v="TX0084"/>
    <x v="83"/>
    <x v="2"/>
    <x v="2"/>
    <x v="3"/>
    <s v="Brand C"/>
    <s v="HC006"/>
    <x v="13"/>
    <n v="967"/>
    <n v="6.49"/>
    <x v="1"/>
    <n v="0.3"/>
    <n v="4.5430000000000001"/>
    <n v="4393.0810000000001"/>
    <n v="2.8"/>
    <n v="2707.6"/>
    <n v="1685.4810000000002"/>
    <n v="0.38366718027734981"/>
    <x v="3"/>
    <n v="1882.749"/>
  </r>
  <r>
    <s v="TX0085"/>
    <x v="84"/>
    <x v="0"/>
    <x v="0"/>
    <x v="1"/>
    <s v="Brand B"/>
    <s v="OR001"/>
    <x v="19"/>
    <n v="738"/>
    <n v="3.49"/>
    <x v="0"/>
    <n v="0"/>
    <n v="3.49"/>
    <n v="2575.6200000000003"/>
    <n v="1.2"/>
    <n v="885.6"/>
    <n v="1690.0200000000004"/>
    <n v="0.6561604584527222"/>
    <x v="0"/>
    <n v="0"/>
  </r>
  <r>
    <s v="TX0086"/>
    <x v="85"/>
    <x v="1"/>
    <x v="1"/>
    <x v="1"/>
    <s v="Brand C"/>
    <s v="OR003"/>
    <x v="14"/>
    <n v="686"/>
    <n v="4.49"/>
    <x v="0"/>
    <n v="0"/>
    <n v="4.49"/>
    <n v="3080.1400000000003"/>
    <n v="1.7"/>
    <n v="1166.2"/>
    <n v="1913.9400000000003"/>
    <n v="0.6213808463251671"/>
    <x v="0"/>
    <n v="0"/>
  </r>
  <r>
    <s v="TX0087"/>
    <x v="86"/>
    <x v="0"/>
    <x v="2"/>
    <x v="1"/>
    <s v="Brand B"/>
    <s v="OR004"/>
    <x v="3"/>
    <n v="614"/>
    <n v="5.99"/>
    <x v="1"/>
    <n v="0.3"/>
    <n v="4.1929999999999996"/>
    <n v="2574.502"/>
    <n v="2.4"/>
    <n v="1473.6"/>
    <n v="1100.902"/>
    <n v="0.42761745766754117"/>
    <x v="2"/>
    <n v="1103.3579999999999"/>
  </r>
  <r>
    <s v="TX0088"/>
    <x v="87"/>
    <x v="1"/>
    <x v="1"/>
    <x v="1"/>
    <s v="Brand A"/>
    <s v="OR006"/>
    <x v="24"/>
    <n v="452"/>
    <n v="12.99"/>
    <x v="1"/>
    <n v="0.1"/>
    <n v="11.691000000000001"/>
    <n v="5284.3320000000003"/>
    <n v="5.2"/>
    <n v="2350.4"/>
    <n v="2933.9320000000002"/>
    <n v="0.55521341202634511"/>
    <x v="3"/>
    <n v="587.14800000000002"/>
  </r>
  <r>
    <s v="TX0089"/>
    <x v="88"/>
    <x v="2"/>
    <x v="2"/>
    <x v="1"/>
    <s v="Brand A"/>
    <s v="OR005"/>
    <x v="10"/>
    <n v="265"/>
    <n v="3.99"/>
    <x v="0"/>
    <n v="0"/>
    <n v="3.99"/>
    <n v="1057.3500000000001"/>
    <n v="1.5"/>
    <n v="397.5"/>
    <n v="659.85000000000014"/>
    <n v="0.62406015037593987"/>
    <x v="0"/>
    <n v="0"/>
  </r>
  <r>
    <s v="TX0090"/>
    <x v="89"/>
    <x v="0"/>
    <x v="2"/>
    <x v="2"/>
    <s v="Brand C"/>
    <s v="SC002"/>
    <x v="8"/>
    <n v="707"/>
    <n v="9.99"/>
    <x v="0"/>
    <n v="0"/>
    <n v="9.99"/>
    <n v="7062.93"/>
    <n v="4.2"/>
    <n v="2969.4"/>
    <n v="4093.53"/>
    <n v="0.57957957957957962"/>
    <x v="0"/>
    <n v="0"/>
  </r>
  <r>
    <s v="TX0091"/>
    <x v="90"/>
    <x v="2"/>
    <x v="2"/>
    <x v="3"/>
    <s v="Brand A"/>
    <s v="HC003"/>
    <x v="17"/>
    <n v="292"/>
    <n v="5.49"/>
    <x v="0"/>
    <n v="0"/>
    <n v="5.49"/>
    <n v="1603.0800000000002"/>
    <n v="2.2000000000000002"/>
    <n v="642.40000000000009"/>
    <n v="960.68000000000006"/>
    <n v="0.59927140255009104"/>
    <x v="0"/>
    <n v="0"/>
  </r>
  <r>
    <s v="TX0092"/>
    <x v="91"/>
    <x v="2"/>
    <x v="1"/>
    <x v="1"/>
    <s v="Brand A"/>
    <s v="OR005"/>
    <x v="10"/>
    <n v="722"/>
    <n v="3.99"/>
    <x v="1"/>
    <n v="0.1"/>
    <n v="3.5910000000000002"/>
    <n v="2592.7020000000002"/>
    <n v="1.5"/>
    <n v="1083"/>
    <n v="1509.7020000000002"/>
    <n v="0.58228905597326652"/>
    <x v="2"/>
    <n v="288.07800000000003"/>
  </r>
  <r>
    <s v="TX0093"/>
    <x v="92"/>
    <x v="2"/>
    <x v="1"/>
    <x v="3"/>
    <s v="Brand C"/>
    <s v="HC006"/>
    <x v="13"/>
    <n v="395"/>
    <n v="6.49"/>
    <x v="0"/>
    <n v="0"/>
    <n v="6.49"/>
    <n v="2563.5500000000002"/>
    <n v="2.8"/>
    <n v="1106"/>
    <n v="1457.5500000000002"/>
    <n v="0.5685670261941449"/>
    <x v="0"/>
    <n v="0"/>
  </r>
  <r>
    <s v="TX0094"/>
    <x v="93"/>
    <x v="0"/>
    <x v="0"/>
    <x v="3"/>
    <s v="Brand A"/>
    <s v="HC002"/>
    <x v="22"/>
    <n v="249"/>
    <n v="8.99"/>
    <x v="0"/>
    <n v="0"/>
    <n v="8.99"/>
    <n v="2238.5100000000002"/>
    <n v="3.6"/>
    <n v="896.4"/>
    <n v="1342.1100000000001"/>
    <n v="0.59955506117908786"/>
    <x v="0"/>
    <n v="0"/>
  </r>
  <r>
    <s v="TX0095"/>
    <x v="94"/>
    <x v="1"/>
    <x v="0"/>
    <x v="0"/>
    <s v="Brand C"/>
    <s v="LA008"/>
    <x v="9"/>
    <n v="378"/>
    <n v="5.49"/>
    <x v="0"/>
    <n v="0"/>
    <n v="5.49"/>
    <n v="2075.2200000000003"/>
    <n v="2.4"/>
    <n v="907.19999999999993"/>
    <n v="1168.0200000000004"/>
    <n v="0.56284153005464499"/>
    <x v="0"/>
    <n v="0"/>
  </r>
  <r>
    <s v="TX0096"/>
    <x v="95"/>
    <x v="0"/>
    <x v="1"/>
    <x v="0"/>
    <s v="Brand A"/>
    <s v="LA005"/>
    <x v="21"/>
    <n v="777"/>
    <n v="9.49"/>
    <x v="0"/>
    <n v="0"/>
    <n v="9.49"/>
    <n v="7373.7300000000005"/>
    <n v="4"/>
    <n v="3108"/>
    <n v="4265.7300000000005"/>
    <n v="0.57850368809272923"/>
    <x v="0"/>
    <n v="0"/>
  </r>
  <r>
    <s v="TX0097"/>
    <x v="96"/>
    <x v="2"/>
    <x v="0"/>
    <x v="3"/>
    <s v="Brand B"/>
    <s v="HC008"/>
    <x v="20"/>
    <n v="679"/>
    <n v="4.49"/>
    <x v="0"/>
    <n v="0"/>
    <n v="4.49"/>
    <n v="3048.71"/>
    <n v="1.9"/>
    <n v="1290.0999999999999"/>
    <n v="1758.6100000000001"/>
    <n v="0.57683741648106912"/>
    <x v="0"/>
    <n v="0"/>
  </r>
  <r>
    <s v="TX0098"/>
    <x v="97"/>
    <x v="2"/>
    <x v="0"/>
    <x v="2"/>
    <s v="Brand B"/>
    <s v="SC006"/>
    <x v="15"/>
    <n v="703"/>
    <n v="4.99"/>
    <x v="1"/>
    <n v="0.1"/>
    <n v="4.4910000000000005"/>
    <n v="3157.1730000000002"/>
    <n v="2.1"/>
    <n v="1476.3"/>
    <n v="1680.8730000000003"/>
    <n v="0.53239812959251842"/>
    <x v="3"/>
    <n v="350.79700000000003"/>
  </r>
  <r>
    <s v="TX0099"/>
    <x v="98"/>
    <x v="1"/>
    <x v="1"/>
    <x v="1"/>
    <s v="Brand B"/>
    <s v="OR004"/>
    <x v="3"/>
    <n v="710"/>
    <n v="5.99"/>
    <x v="0"/>
    <n v="0"/>
    <n v="5.99"/>
    <n v="4252.9000000000005"/>
    <n v="2.4"/>
    <n v="1704"/>
    <n v="2548.9000000000005"/>
    <n v="0.59933222036727885"/>
    <x v="0"/>
    <n v="0"/>
  </r>
  <r>
    <s v="TX0100"/>
    <x v="99"/>
    <x v="1"/>
    <x v="1"/>
    <x v="2"/>
    <s v="Brand A"/>
    <s v="SC001"/>
    <x v="6"/>
    <n v="643"/>
    <n v="7.99"/>
    <x v="0"/>
    <n v="0"/>
    <n v="7.99"/>
    <n v="5137.57"/>
    <n v="3.1"/>
    <n v="1993.3"/>
    <n v="3144.2699999999995"/>
    <n v="0.61201501877346676"/>
    <x v="0"/>
    <n v="0"/>
  </r>
  <r>
    <s v="TX0101"/>
    <x v="100"/>
    <x v="1"/>
    <x v="1"/>
    <x v="1"/>
    <s v="Brand B"/>
    <s v="OR004"/>
    <x v="3"/>
    <n v="569"/>
    <n v="5.99"/>
    <x v="1"/>
    <n v="0.2"/>
    <n v="4.7920000000000007"/>
    <n v="2726.6480000000006"/>
    <n v="2.4"/>
    <n v="1365.6"/>
    <n v="1361.0480000000007"/>
    <n v="0.49916527545909867"/>
    <x v="2"/>
    <n v="681.66200000000015"/>
  </r>
  <r>
    <s v="TX0102"/>
    <x v="101"/>
    <x v="1"/>
    <x v="0"/>
    <x v="2"/>
    <s v="Brand C"/>
    <s v="SC002"/>
    <x v="8"/>
    <n v="290"/>
    <n v="9.99"/>
    <x v="0"/>
    <n v="0"/>
    <n v="9.99"/>
    <n v="2897.1"/>
    <n v="4.2"/>
    <n v="1218"/>
    <n v="1679.1"/>
    <n v="0.57957957957957962"/>
    <x v="0"/>
    <n v="0"/>
  </r>
  <r>
    <s v="TX0103"/>
    <x v="102"/>
    <x v="2"/>
    <x v="0"/>
    <x v="1"/>
    <s v="Brand C"/>
    <s v="OR007"/>
    <x v="18"/>
    <n v="695"/>
    <n v="3.29"/>
    <x v="1"/>
    <n v="0.3"/>
    <n v="2.3029999999999999"/>
    <n v="1600.585"/>
    <n v="1.1000000000000001"/>
    <n v="764.50000000000011"/>
    <n v="836.08499999999992"/>
    <n v="0.52236213634389916"/>
    <x v="3"/>
    <n v="685.96500000000003"/>
  </r>
  <r>
    <s v="TX0104"/>
    <x v="103"/>
    <x v="2"/>
    <x v="2"/>
    <x v="2"/>
    <s v="Brand B"/>
    <s v="SC006"/>
    <x v="15"/>
    <n v="592"/>
    <n v="4.99"/>
    <x v="0"/>
    <n v="0"/>
    <n v="4.99"/>
    <n v="2954.08"/>
    <n v="2.1"/>
    <n v="1243.2"/>
    <n v="1710.8799999999999"/>
    <n v="0.57915831663326656"/>
    <x v="0"/>
    <n v="0"/>
  </r>
  <r>
    <s v="TX0105"/>
    <x v="104"/>
    <x v="1"/>
    <x v="2"/>
    <x v="2"/>
    <s v="Brand C"/>
    <s v="SC002"/>
    <x v="8"/>
    <n v="732"/>
    <n v="9.99"/>
    <x v="0"/>
    <n v="0"/>
    <n v="9.99"/>
    <n v="7312.68"/>
    <n v="4.2"/>
    <n v="3074.4"/>
    <n v="4238.2800000000007"/>
    <n v="0.57957957957957962"/>
    <x v="0"/>
    <n v="0"/>
  </r>
  <r>
    <s v="TX0106"/>
    <x v="105"/>
    <x v="0"/>
    <x v="1"/>
    <x v="0"/>
    <s v="Brand C"/>
    <s v="LA002"/>
    <x v="0"/>
    <n v="223"/>
    <n v="11.99"/>
    <x v="0"/>
    <n v="0"/>
    <n v="11.99"/>
    <n v="2673.77"/>
    <n v="5.2"/>
    <n v="1159.6000000000001"/>
    <n v="1514.1699999999998"/>
    <n v="0.56630525437864887"/>
    <x v="0"/>
    <n v="0"/>
  </r>
  <r>
    <s v="TX0107"/>
    <x v="106"/>
    <x v="1"/>
    <x v="2"/>
    <x v="3"/>
    <s v="Brand B"/>
    <s v="HC004"/>
    <x v="7"/>
    <n v="444"/>
    <n v="4.99"/>
    <x v="0"/>
    <n v="0"/>
    <n v="4.99"/>
    <n v="2215.56"/>
    <n v="2.1"/>
    <n v="932.40000000000009"/>
    <n v="1283.1599999999999"/>
    <n v="0.57915831663326645"/>
    <x v="0"/>
    <n v="0"/>
  </r>
  <r>
    <s v="TX0108"/>
    <x v="107"/>
    <x v="1"/>
    <x v="2"/>
    <x v="3"/>
    <s v="Brand B"/>
    <s v="HC005"/>
    <x v="17"/>
    <n v="573"/>
    <n v="4.79"/>
    <x v="1"/>
    <n v="0.3"/>
    <n v="3.3529999999999998"/>
    <n v="1921.2689999999998"/>
    <n v="2"/>
    <n v="1146"/>
    <n v="775.26899999999978"/>
    <n v="0.40351923650462268"/>
    <x v="3"/>
    <n v="823.40100000000007"/>
  </r>
  <r>
    <s v="TX0109"/>
    <x v="108"/>
    <x v="0"/>
    <x v="0"/>
    <x v="1"/>
    <s v="Brand C"/>
    <s v="OR007"/>
    <x v="18"/>
    <n v="534"/>
    <n v="3.29"/>
    <x v="0"/>
    <n v="0"/>
    <n v="3.29"/>
    <n v="1756.8600000000001"/>
    <n v="1.1000000000000001"/>
    <n v="587.40000000000009"/>
    <n v="1169.46"/>
    <n v="0.66565349544072949"/>
    <x v="0"/>
    <n v="0"/>
  </r>
  <r>
    <s v="TX0110"/>
    <x v="109"/>
    <x v="0"/>
    <x v="2"/>
    <x v="0"/>
    <s v="Brand A"/>
    <s v="LA003"/>
    <x v="9"/>
    <n v="791"/>
    <n v="6.99"/>
    <x v="0"/>
    <n v="0"/>
    <n v="6.99"/>
    <n v="5529.09"/>
    <n v="2.9"/>
    <n v="2293.9"/>
    <n v="3235.19"/>
    <n v="0.58512160228898424"/>
    <x v="0"/>
    <n v="0"/>
  </r>
  <r>
    <s v="TX0111"/>
    <x v="110"/>
    <x v="2"/>
    <x v="0"/>
    <x v="1"/>
    <s v="Brand B"/>
    <s v="OR001"/>
    <x v="19"/>
    <n v="454"/>
    <n v="3.49"/>
    <x v="1"/>
    <n v="0.1"/>
    <n v="3.1410000000000005"/>
    <n v="1426.0140000000001"/>
    <n v="1.2"/>
    <n v="544.79999999999995"/>
    <n v="881.21400000000017"/>
    <n v="0.61795606494746902"/>
    <x v="1"/>
    <n v="158.44600000000003"/>
  </r>
  <r>
    <s v="TX0112"/>
    <x v="111"/>
    <x v="2"/>
    <x v="2"/>
    <x v="1"/>
    <s v="Brand B"/>
    <s v="OR001"/>
    <x v="19"/>
    <n v="542"/>
    <n v="3.49"/>
    <x v="1"/>
    <n v="0.2"/>
    <n v="2.7920000000000003"/>
    <n v="1513.2640000000001"/>
    <n v="1.2"/>
    <n v="650.4"/>
    <n v="862.86400000000015"/>
    <n v="0.57020057306590266"/>
    <x v="3"/>
    <n v="378.31600000000003"/>
  </r>
  <r>
    <s v="TX0113"/>
    <x v="112"/>
    <x v="2"/>
    <x v="1"/>
    <x v="0"/>
    <s v="Brand A"/>
    <s v="LA005"/>
    <x v="21"/>
    <n v="539"/>
    <n v="9.49"/>
    <x v="0"/>
    <n v="0"/>
    <n v="9.49"/>
    <n v="5115.1099999999997"/>
    <n v="4"/>
    <n v="2156"/>
    <n v="2959.1099999999997"/>
    <n v="0.57850368809272912"/>
    <x v="0"/>
    <n v="0"/>
  </r>
  <r>
    <s v="TX0114"/>
    <x v="113"/>
    <x v="1"/>
    <x v="1"/>
    <x v="3"/>
    <s v="Brand B"/>
    <s v="HC005"/>
    <x v="17"/>
    <n v="395"/>
    <n v="4.79"/>
    <x v="0"/>
    <n v="0"/>
    <n v="4.79"/>
    <n v="1892.05"/>
    <n v="2"/>
    <n v="790"/>
    <n v="1102.05"/>
    <n v="0.58246346555323592"/>
    <x v="0"/>
    <n v="0"/>
  </r>
  <r>
    <s v="TX0115"/>
    <x v="114"/>
    <x v="2"/>
    <x v="2"/>
    <x v="3"/>
    <s v="Brand C"/>
    <s v="HC007"/>
    <x v="23"/>
    <n v="403"/>
    <n v="7.49"/>
    <x v="0"/>
    <n v="0"/>
    <n v="7.49"/>
    <n v="3018.4700000000003"/>
    <n v="3.1"/>
    <n v="1249.3"/>
    <n v="1769.1700000000003"/>
    <n v="0.58611481975967961"/>
    <x v="0"/>
    <n v="0"/>
  </r>
  <r>
    <s v="TX0116"/>
    <x v="115"/>
    <x v="2"/>
    <x v="0"/>
    <x v="1"/>
    <s v="Brand C"/>
    <s v="OR003"/>
    <x v="14"/>
    <n v="1151"/>
    <n v="4.49"/>
    <x v="1"/>
    <n v="0.2"/>
    <n v="3.5920000000000005"/>
    <n v="4134.3920000000007"/>
    <n v="1.7"/>
    <n v="1956.7"/>
    <n v="2177.6920000000009"/>
    <n v="0.52672605790645888"/>
    <x v="2"/>
    <n v="1033.5980000000002"/>
  </r>
  <r>
    <s v="TX0117"/>
    <x v="116"/>
    <x v="1"/>
    <x v="2"/>
    <x v="1"/>
    <s v="Brand C"/>
    <s v="OR007"/>
    <x v="18"/>
    <n v="737"/>
    <n v="3.29"/>
    <x v="1"/>
    <n v="0.3"/>
    <n v="2.3029999999999999"/>
    <n v="1697.3109999999999"/>
    <n v="1.1000000000000001"/>
    <n v="810.7"/>
    <n v="886.61099999999988"/>
    <n v="0.52236213634389916"/>
    <x v="3"/>
    <n v="727.41899999999998"/>
  </r>
  <r>
    <s v="TX0118"/>
    <x v="117"/>
    <x v="0"/>
    <x v="2"/>
    <x v="3"/>
    <s v="Brand B"/>
    <s v="HC008"/>
    <x v="20"/>
    <n v="385"/>
    <n v="4.49"/>
    <x v="0"/>
    <n v="0"/>
    <n v="4.49"/>
    <n v="1728.65"/>
    <n v="1.9"/>
    <n v="731.5"/>
    <n v="997.15000000000009"/>
    <n v="0.57683741648106901"/>
    <x v="0"/>
    <n v="0"/>
  </r>
  <r>
    <s v="TX0119"/>
    <x v="118"/>
    <x v="2"/>
    <x v="1"/>
    <x v="3"/>
    <s v="Brand B"/>
    <s v="HC004"/>
    <x v="7"/>
    <n v="968"/>
    <n v="4.99"/>
    <x v="1"/>
    <n v="0.3"/>
    <n v="3.4929999999999999"/>
    <n v="3381.2239999999997"/>
    <n v="2.1"/>
    <n v="2032.8000000000002"/>
    <n v="1348.4239999999995"/>
    <n v="0.39879759519038066"/>
    <x v="1"/>
    <n v="1449.096"/>
  </r>
  <r>
    <s v="TX0120"/>
    <x v="119"/>
    <x v="1"/>
    <x v="1"/>
    <x v="0"/>
    <s v="Brand B"/>
    <s v="LA001"/>
    <x v="1"/>
    <n v="478"/>
    <n v="8.49"/>
    <x v="0"/>
    <n v="0"/>
    <n v="8.49"/>
    <n v="4058.2200000000003"/>
    <n v="3.8"/>
    <n v="1816.3999999999999"/>
    <n v="2241.8200000000006"/>
    <n v="0.55241460541813914"/>
    <x v="0"/>
    <n v="0"/>
  </r>
  <r>
    <s v="TX0121"/>
    <x v="120"/>
    <x v="2"/>
    <x v="2"/>
    <x v="0"/>
    <s v="Brand B"/>
    <s v="LA001"/>
    <x v="1"/>
    <n v="894"/>
    <n v="8.49"/>
    <x v="1"/>
    <n v="0.1"/>
    <n v="7.641"/>
    <n v="6831.0540000000001"/>
    <n v="3.8"/>
    <n v="3397.2"/>
    <n v="3433.8540000000003"/>
    <n v="0.50268289490904339"/>
    <x v="3"/>
    <n v="759.00600000000009"/>
  </r>
  <r>
    <s v="TX0122"/>
    <x v="121"/>
    <x v="2"/>
    <x v="2"/>
    <x v="0"/>
    <s v="Brand B"/>
    <s v="LA001"/>
    <x v="1"/>
    <n v="723"/>
    <n v="8.49"/>
    <x v="0"/>
    <n v="0"/>
    <n v="8.49"/>
    <n v="6138.27"/>
    <n v="3.8"/>
    <n v="2747.4"/>
    <n v="3390.8700000000003"/>
    <n v="0.55241460541813903"/>
    <x v="0"/>
    <n v="0"/>
  </r>
  <r>
    <s v="TX0123"/>
    <x v="122"/>
    <x v="0"/>
    <x v="1"/>
    <x v="3"/>
    <s v="Brand C"/>
    <s v="HC006"/>
    <x v="13"/>
    <n v="549"/>
    <n v="6.49"/>
    <x v="0"/>
    <n v="0"/>
    <n v="6.49"/>
    <n v="3563.01"/>
    <n v="2.8"/>
    <n v="1537.1999999999998"/>
    <n v="2025.8100000000004"/>
    <n v="0.5685670261941449"/>
    <x v="0"/>
    <n v="0"/>
  </r>
  <r>
    <s v="TX0124"/>
    <x v="123"/>
    <x v="1"/>
    <x v="1"/>
    <x v="0"/>
    <s v="Brand A"/>
    <s v="LA003"/>
    <x v="9"/>
    <n v="912"/>
    <n v="6.99"/>
    <x v="1"/>
    <n v="0.3"/>
    <n v="4.8929999999999998"/>
    <n v="4462.4160000000002"/>
    <n v="2.9"/>
    <n v="2644.7999999999997"/>
    <n v="1817.6160000000004"/>
    <n v="0.40731657469854904"/>
    <x v="2"/>
    <n v="1912.4639999999999"/>
  </r>
  <r>
    <s v="TX0125"/>
    <x v="124"/>
    <x v="1"/>
    <x v="0"/>
    <x v="2"/>
    <s v="Brand A"/>
    <s v="SC004"/>
    <x v="4"/>
    <n v="1110"/>
    <n v="8.49"/>
    <x v="1"/>
    <n v="0.3"/>
    <n v="5.9429999999999996"/>
    <n v="6596.73"/>
    <n v="3.5"/>
    <n v="3885"/>
    <n v="2711.7299999999996"/>
    <n v="0.41107184923439338"/>
    <x v="2"/>
    <n v="2827.17"/>
  </r>
  <r>
    <s v="TX0126"/>
    <x v="125"/>
    <x v="1"/>
    <x v="0"/>
    <x v="2"/>
    <s v="Brand A"/>
    <s v="SC001"/>
    <x v="6"/>
    <n v="617"/>
    <n v="7.99"/>
    <x v="0"/>
    <n v="0"/>
    <n v="7.99"/>
    <n v="4929.83"/>
    <n v="3.1"/>
    <n v="1912.7"/>
    <n v="3017.13"/>
    <n v="0.61201501877346687"/>
    <x v="0"/>
    <n v="0"/>
  </r>
  <r>
    <s v="TX0127"/>
    <x v="126"/>
    <x v="2"/>
    <x v="0"/>
    <x v="0"/>
    <s v="Brand C"/>
    <s v="LA008"/>
    <x v="9"/>
    <n v="1166"/>
    <n v="5.49"/>
    <x v="1"/>
    <n v="0.2"/>
    <n v="4.3920000000000003"/>
    <n v="5121.0720000000001"/>
    <n v="2.4"/>
    <n v="2798.4"/>
    <n v="2322.672"/>
    <n v="0.45355191256830601"/>
    <x v="1"/>
    <n v="1280.268"/>
  </r>
  <r>
    <s v="TX0128"/>
    <x v="127"/>
    <x v="0"/>
    <x v="0"/>
    <x v="0"/>
    <s v="Brand C"/>
    <s v="LA008"/>
    <x v="9"/>
    <n v="593"/>
    <n v="5.49"/>
    <x v="0"/>
    <n v="0"/>
    <n v="5.49"/>
    <n v="3255.57"/>
    <n v="2.4"/>
    <n v="1423.2"/>
    <n v="1832.3700000000001"/>
    <n v="0.56284153005464477"/>
    <x v="0"/>
    <n v="0"/>
  </r>
  <r>
    <s v="TX0129"/>
    <x v="128"/>
    <x v="0"/>
    <x v="1"/>
    <x v="0"/>
    <s v="Brand A"/>
    <s v="LA003"/>
    <x v="9"/>
    <n v="1082"/>
    <n v="6.99"/>
    <x v="1"/>
    <n v="0.3"/>
    <n v="4.8929999999999998"/>
    <n v="5294.2259999999997"/>
    <n v="2.9"/>
    <n v="3137.7999999999997"/>
    <n v="2156.4259999999999"/>
    <n v="0.40731657469854898"/>
    <x v="3"/>
    <n v="2268.9540000000002"/>
  </r>
  <r>
    <s v="TX0130"/>
    <x v="129"/>
    <x v="1"/>
    <x v="1"/>
    <x v="1"/>
    <s v="Brand A"/>
    <s v="OR002"/>
    <x v="11"/>
    <n v="494"/>
    <n v="4.99"/>
    <x v="0"/>
    <n v="0"/>
    <n v="4.99"/>
    <n v="2465.06"/>
    <n v="1.8"/>
    <n v="889.2"/>
    <n v="1575.86"/>
    <n v="0.63927855711422843"/>
    <x v="0"/>
    <n v="0"/>
  </r>
  <r>
    <s v="TX0131"/>
    <x v="130"/>
    <x v="1"/>
    <x v="2"/>
    <x v="1"/>
    <s v="Brand C"/>
    <s v="OR007"/>
    <x v="18"/>
    <n v="439"/>
    <n v="3.29"/>
    <x v="0"/>
    <n v="0"/>
    <n v="3.29"/>
    <n v="1444.31"/>
    <n v="1.1000000000000001"/>
    <n v="482.90000000000003"/>
    <n v="961.40999999999985"/>
    <n v="0.66565349544072938"/>
    <x v="0"/>
    <n v="0"/>
  </r>
  <r>
    <s v="TX0132"/>
    <x v="131"/>
    <x v="2"/>
    <x v="1"/>
    <x v="2"/>
    <s v="Brand B"/>
    <s v="SC003"/>
    <x v="26"/>
    <n v="721"/>
    <n v="4.49"/>
    <x v="1"/>
    <n v="0.3"/>
    <n v="3.1429999999999998"/>
    <n v="2266.1030000000001"/>
    <n v="1.9"/>
    <n v="1369.8999999999999"/>
    <n v="896.2030000000002"/>
    <n v="0.39548202354438444"/>
    <x v="2"/>
    <n v="971.18700000000001"/>
  </r>
  <r>
    <s v="TX0133"/>
    <x v="132"/>
    <x v="2"/>
    <x v="1"/>
    <x v="1"/>
    <s v="Brand A"/>
    <s v="OR002"/>
    <x v="11"/>
    <n v="406"/>
    <n v="4.99"/>
    <x v="1"/>
    <n v="0.1"/>
    <n v="4.4910000000000005"/>
    <n v="1823.3460000000002"/>
    <n v="1.8"/>
    <n v="730.80000000000007"/>
    <n v="1092.5460000000003"/>
    <n v="0.59919839679358722"/>
    <x v="3"/>
    <n v="202.59400000000002"/>
  </r>
  <r>
    <s v="TX0134"/>
    <x v="133"/>
    <x v="1"/>
    <x v="1"/>
    <x v="1"/>
    <s v="Brand B"/>
    <s v="OR004"/>
    <x v="3"/>
    <n v="695"/>
    <n v="5.99"/>
    <x v="0"/>
    <n v="0"/>
    <n v="5.99"/>
    <n v="4163.05"/>
    <n v="2.4"/>
    <n v="1668"/>
    <n v="2495.0500000000002"/>
    <n v="0.59933222036727885"/>
    <x v="0"/>
    <n v="0"/>
  </r>
  <r>
    <s v="TX0135"/>
    <x v="134"/>
    <x v="1"/>
    <x v="1"/>
    <x v="1"/>
    <s v="Brand B"/>
    <s v="OR001"/>
    <x v="19"/>
    <n v="225"/>
    <n v="3.49"/>
    <x v="0"/>
    <n v="0"/>
    <n v="3.49"/>
    <n v="785.25"/>
    <n v="1.2"/>
    <n v="270"/>
    <n v="515.25"/>
    <n v="0.65616045845272208"/>
    <x v="0"/>
    <n v="0"/>
  </r>
  <r>
    <s v="TX0136"/>
    <x v="135"/>
    <x v="1"/>
    <x v="2"/>
    <x v="1"/>
    <s v="Brand A"/>
    <s v="OR005"/>
    <x v="10"/>
    <n v="536"/>
    <n v="3.99"/>
    <x v="0"/>
    <n v="0"/>
    <n v="3.99"/>
    <n v="2138.6400000000003"/>
    <n v="1.5"/>
    <n v="804"/>
    <n v="1334.6400000000003"/>
    <n v="0.62406015037593987"/>
    <x v="0"/>
    <n v="0"/>
  </r>
  <r>
    <s v="TX0137"/>
    <x v="136"/>
    <x v="0"/>
    <x v="2"/>
    <x v="2"/>
    <s v="Brand A"/>
    <s v="SC004"/>
    <x v="4"/>
    <n v="359"/>
    <n v="8.49"/>
    <x v="0"/>
    <n v="0"/>
    <n v="8.49"/>
    <n v="3047.91"/>
    <n v="3.5"/>
    <n v="1256.5"/>
    <n v="1791.4099999999999"/>
    <n v="0.58775029446407534"/>
    <x v="0"/>
    <n v="0"/>
  </r>
  <r>
    <s v="TX0138"/>
    <x v="137"/>
    <x v="1"/>
    <x v="2"/>
    <x v="1"/>
    <s v="Brand A"/>
    <s v="OR006"/>
    <x v="24"/>
    <n v="529"/>
    <n v="12.99"/>
    <x v="0"/>
    <n v="0"/>
    <n v="12.99"/>
    <n v="6871.71"/>
    <n v="5.2"/>
    <n v="2750.8"/>
    <n v="4120.91"/>
    <n v="0.59969207082371057"/>
    <x v="0"/>
    <n v="0"/>
  </r>
  <r>
    <s v="TX0139"/>
    <x v="138"/>
    <x v="0"/>
    <x v="0"/>
    <x v="1"/>
    <s v="Brand B"/>
    <s v="OR004"/>
    <x v="3"/>
    <n v="366"/>
    <n v="5.99"/>
    <x v="0"/>
    <n v="0"/>
    <n v="5.99"/>
    <n v="2192.34"/>
    <n v="2.4"/>
    <n v="878.4"/>
    <n v="1313.94"/>
    <n v="0.59933222036727873"/>
    <x v="0"/>
    <n v="0"/>
  </r>
  <r>
    <s v="TX0140"/>
    <x v="139"/>
    <x v="0"/>
    <x v="1"/>
    <x v="1"/>
    <s v="Brand C"/>
    <s v="OR003"/>
    <x v="14"/>
    <n v="630"/>
    <n v="4.49"/>
    <x v="0"/>
    <n v="0"/>
    <n v="4.49"/>
    <n v="2828.7000000000003"/>
    <n v="1.7"/>
    <n v="1071"/>
    <n v="1757.7000000000003"/>
    <n v="0.6213808463251671"/>
    <x v="0"/>
    <n v="0"/>
  </r>
  <r>
    <s v="TX0141"/>
    <x v="140"/>
    <x v="1"/>
    <x v="2"/>
    <x v="0"/>
    <s v="Brand B"/>
    <s v="LA004"/>
    <x v="12"/>
    <n v="473"/>
    <n v="5.99"/>
    <x v="0"/>
    <n v="0"/>
    <n v="5.99"/>
    <n v="2833.27"/>
    <n v="2.5"/>
    <n v="1182.5"/>
    <n v="1650.77"/>
    <n v="0.58263772954924875"/>
    <x v="0"/>
    <n v="0"/>
  </r>
  <r>
    <s v="TX0142"/>
    <x v="141"/>
    <x v="2"/>
    <x v="1"/>
    <x v="0"/>
    <s v="Brand C"/>
    <s v="LA002"/>
    <x v="0"/>
    <n v="495"/>
    <n v="11.99"/>
    <x v="0"/>
    <n v="0"/>
    <n v="11.99"/>
    <n v="5935.05"/>
    <n v="5.2"/>
    <n v="2574"/>
    <n v="3361.05"/>
    <n v="0.56630525437864887"/>
    <x v="0"/>
    <n v="0"/>
  </r>
  <r>
    <s v="TX0143"/>
    <x v="142"/>
    <x v="1"/>
    <x v="1"/>
    <x v="1"/>
    <s v="Brand A"/>
    <s v="OR006"/>
    <x v="24"/>
    <n v="672"/>
    <n v="12.99"/>
    <x v="1"/>
    <n v="0.1"/>
    <n v="11.691000000000001"/>
    <n v="7856.3520000000008"/>
    <n v="5.2"/>
    <n v="3494.4"/>
    <n v="4361.9520000000011"/>
    <n v="0.55521341202634511"/>
    <x v="1"/>
    <n v="872.92800000000011"/>
  </r>
  <r>
    <s v="TX0144"/>
    <x v="143"/>
    <x v="2"/>
    <x v="2"/>
    <x v="2"/>
    <s v="Brand C"/>
    <s v="SC007"/>
    <x v="5"/>
    <n v="638"/>
    <n v="5.49"/>
    <x v="0"/>
    <n v="0"/>
    <n v="5.49"/>
    <n v="3502.6200000000003"/>
    <n v="2.2999999999999998"/>
    <n v="1467.3999999999999"/>
    <n v="2035.2200000000005"/>
    <n v="0.58105646630236807"/>
    <x v="0"/>
    <n v="0"/>
  </r>
  <r>
    <s v="TX0145"/>
    <x v="144"/>
    <x v="1"/>
    <x v="0"/>
    <x v="3"/>
    <s v="Brand C"/>
    <s v="HC006"/>
    <x v="13"/>
    <n v="784"/>
    <n v="6.49"/>
    <x v="0"/>
    <n v="0"/>
    <n v="6.49"/>
    <n v="5088.16"/>
    <n v="2.8"/>
    <n v="2195.1999999999998"/>
    <n v="2892.96"/>
    <n v="0.5685670261941449"/>
    <x v="0"/>
    <n v="0"/>
  </r>
  <r>
    <s v="TX0146"/>
    <x v="145"/>
    <x v="0"/>
    <x v="1"/>
    <x v="0"/>
    <s v="Brand C"/>
    <s v="LA002"/>
    <x v="0"/>
    <n v="401"/>
    <n v="11.99"/>
    <x v="0"/>
    <n v="0"/>
    <n v="11.99"/>
    <n v="4807.99"/>
    <n v="5.2"/>
    <n v="2085.2000000000003"/>
    <n v="2722.7899999999995"/>
    <n v="0.56630525437864876"/>
    <x v="0"/>
    <n v="0"/>
  </r>
  <r>
    <s v="TX0147"/>
    <x v="146"/>
    <x v="0"/>
    <x v="0"/>
    <x v="0"/>
    <s v="Brand A"/>
    <s v="LA003"/>
    <x v="9"/>
    <n v="731"/>
    <n v="6.99"/>
    <x v="0"/>
    <n v="0"/>
    <n v="6.99"/>
    <n v="5109.6900000000005"/>
    <n v="2.9"/>
    <n v="2119.9"/>
    <n v="2989.7900000000004"/>
    <n v="0.58512160228898424"/>
    <x v="0"/>
    <n v="0"/>
  </r>
  <r>
    <s v="TX0148"/>
    <x v="147"/>
    <x v="1"/>
    <x v="0"/>
    <x v="1"/>
    <s v="Brand B"/>
    <s v="OR001"/>
    <x v="19"/>
    <n v="744"/>
    <n v="3.49"/>
    <x v="0"/>
    <n v="0"/>
    <n v="3.49"/>
    <n v="2596.56"/>
    <n v="1.2"/>
    <n v="892.8"/>
    <n v="1703.76"/>
    <n v="0.65616045845272208"/>
    <x v="0"/>
    <n v="0"/>
  </r>
  <r>
    <s v="TX0149"/>
    <x v="148"/>
    <x v="2"/>
    <x v="0"/>
    <x v="3"/>
    <s v="Brand B"/>
    <s v="HC005"/>
    <x v="17"/>
    <n v="350"/>
    <n v="4.79"/>
    <x v="0"/>
    <n v="0"/>
    <n v="4.79"/>
    <n v="1676.5"/>
    <n v="2"/>
    <n v="700"/>
    <n v="976.5"/>
    <n v="0.58246346555323592"/>
    <x v="0"/>
    <n v="0"/>
  </r>
  <r>
    <s v="TX0150"/>
    <x v="149"/>
    <x v="1"/>
    <x v="2"/>
    <x v="0"/>
    <s v="Brand A"/>
    <s v="LA003"/>
    <x v="9"/>
    <n v="224"/>
    <n v="6.99"/>
    <x v="0"/>
    <n v="0"/>
    <n v="6.99"/>
    <n v="1565.76"/>
    <n v="2.9"/>
    <n v="649.6"/>
    <n v="916.16"/>
    <n v="0.58512160228898424"/>
    <x v="0"/>
    <n v="0"/>
  </r>
  <r>
    <s v="TX0151"/>
    <x v="150"/>
    <x v="0"/>
    <x v="1"/>
    <x v="3"/>
    <s v="Brand C"/>
    <s v="HC007"/>
    <x v="23"/>
    <n v="699"/>
    <n v="7.49"/>
    <x v="0"/>
    <n v="0"/>
    <n v="7.49"/>
    <n v="5235.51"/>
    <n v="3.1"/>
    <n v="2166.9"/>
    <n v="3068.61"/>
    <n v="0.58611481975967961"/>
    <x v="0"/>
    <n v="0"/>
  </r>
  <r>
    <s v="TX0152"/>
    <x v="151"/>
    <x v="0"/>
    <x v="2"/>
    <x v="0"/>
    <s v="Brand A"/>
    <s v="LA005"/>
    <x v="21"/>
    <n v="554"/>
    <n v="9.49"/>
    <x v="1"/>
    <n v="0.1"/>
    <n v="8.5410000000000004"/>
    <n v="4731.7139999999999"/>
    <n v="4"/>
    <n v="2216"/>
    <n v="2515.7139999999999"/>
    <n v="0.53167076454747686"/>
    <x v="3"/>
    <n v="525.74599999999998"/>
  </r>
  <r>
    <s v="TX0153"/>
    <x v="152"/>
    <x v="2"/>
    <x v="1"/>
    <x v="3"/>
    <s v="Brand B"/>
    <s v="HC004"/>
    <x v="7"/>
    <n v="567"/>
    <n v="4.99"/>
    <x v="0"/>
    <n v="0"/>
    <n v="4.99"/>
    <n v="2829.33"/>
    <n v="2.1"/>
    <n v="1190.7"/>
    <n v="1638.6299999999999"/>
    <n v="0.57915831663326656"/>
    <x v="0"/>
    <n v="0"/>
  </r>
  <r>
    <s v="TX0154"/>
    <x v="153"/>
    <x v="2"/>
    <x v="2"/>
    <x v="2"/>
    <s v="Brand C"/>
    <s v="SC002"/>
    <x v="8"/>
    <n v="443"/>
    <n v="9.99"/>
    <x v="0"/>
    <n v="0"/>
    <n v="9.99"/>
    <n v="4425.57"/>
    <n v="4.2"/>
    <n v="1860.6000000000001"/>
    <n v="2564.9699999999993"/>
    <n v="0.57957957957957951"/>
    <x v="0"/>
    <n v="0"/>
  </r>
  <r>
    <s v="TX0155"/>
    <x v="154"/>
    <x v="0"/>
    <x v="0"/>
    <x v="1"/>
    <s v="Brand A"/>
    <s v="OR002"/>
    <x v="11"/>
    <n v="670"/>
    <n v="4.99"/>
    <x v="0"/>
    <n v="0"/>
    <n v="4.99"/>
    <n v="3343.3"/>
    <n v="1.8"/>
    <n v="1206"/>
    <n v="2137.3000000000002"/>
    <n v="0.63927855711422843"/>
    <x v="0"/>
    <n v="0"/>
  </r>
  <r>
    <s v="TX0156"/>
    <x v="155"/>
    <x v="1"/>
    <x v="0"/>
    <x v="1"/>
    <s v="Brand B"/>
    <s v="OR004"/>
    <x v="3"/>
    <n v="721"/>
    <n v="5.99"/>
    <x v="0"/>
    <n v="0"/>
    <n v="5.99"/>
    <n v="4318.79"/>
    <n v="2.4"/>
    <n v="1730.3999999999999"/>
    <n v="2588.3900000000003"/>
    <n v="0.59933222036727885"/>
    <x v="0"/>
    <n v="0"/>
  </r>
  <r>
    <s v="TX0157"/>
    <x v="156"/>
    <x v="2"/>
    <x v="0"/>
    <x v="3"/>
    <s v="Brand A"/>
    <s v="HC001"/>
    <x v="7"/>
    <n v="798"/>
    <n v="5.99"/>
    <x v="0"/>
    <n v="0"/>
    <n v="5.99"/>
    <n v="4780.0200000000004"/>
    <n v="2.4"/>
    <n v="1915.1999999999998"/>
    <n v="2864.8200000000006"/>
    <n v="0.59933222036727885"/>
    <x v="0"/>
    <n v="0"/>
  </r>
  <r>
    <s v="TX0158"/>
    <x v="157"/>
    <x v="0"/>
    <x v="1"/>
    <x v="1"/>
    <s v="Brand B"/>
    <s v="OR001"/>
    <x v="19"/>
    <n v="775"/>
    <n v="3.49"/>
    <x v="0"/>
    <n v="0"/>
    <n v="3.49"/>
    <n v="2704.75"/>
    <n v="1.2"/>
    <n v="930"/>
    <n v="1774.75"/>
    <n v="0.65616045845272208"/>
    <x v="0"/>
    <n v="0"/>
  </r>
  <r>
    <s v="TX0159"/>
    <x v="158"/>
    <x v="0"/>
    <x v="0"/>
    <x v="3"/>
    <s v="Brand C"/>
    <s v="HC007"/>
    <x v="23"/>
    <n v="566"/>
    <n v="7.49"/>
    <x v="1"/>
    <n v="0.2"/>
    <n v="5.9920000000000009"/>
    <n v="3391.4720000000007"/>
    <n v="3.1"/>
    <n v="1754.6000000000001"/>
    <n v="1636.8720000000005"/>
    <n v="0.48264352469959954"/>
    <x v="1"/>
    <n v="847.86800000000017"/>
  </r>
  <r>
    <s v="TX0160"/>
    <x v="159"/>
    <x v="1"/>
    <x v="1"/>
    <x v="1"/>
    <s v="Brand A"/>
    <s v="OR002"/>
    <x v="11"/>
    <n v="421"/>
    <n v="4.99"/>
    <x v="0"/>
    <n v="0"/>
    <n v="4.99"/>
    <n v="2100.79"/>
    <n v="1.8"/>
    <n v="757.80000000000007"/>
    <n v="1342.9899999999998"/>
    <n v="0.63927855711422832"/>
    <x v="0"/>
    <n v="0"/>
  </r>
  <r>
    <s v="TX0161"/>
    <x v="160"/>
    <x v="1"/>
    <x v="2"/>
    <x v="0"/>
    <s v="Brand A"/>
    <s v="LA005"/>
    <x v="21"/>
    <n v="741"/>
    <n v="9.49"/>
    <x v="1"/>
    <n v="0.2"/>
    <n v="7.5920000000000005"/>
    <n v="5625.6720000000005"/>
    <n v="4"/>
    <n v="2964"/>
    <n v="2661.6720000000005"/>
    <n v="0.47312961011591154"/>
    <x v="3"/>
    <n v="1406.4180000000001"/>
  </r>
  <r>
    <s v="TX0162"/>
    <x v="161"/>
    <x v="2"/>
    <x v="2"/>
    <x v="2"/>
    <s v="Brand B"/>
    <s v="SC006"/>
    <x v="15"/>
    <n v="739"/>
    <n v="4.99"/>
    <x v="0"/>
    <n v="0"/>
    <n v="4.99"/>
    <n v="3687.61"/>
    <n v="2.1"/>
    <n v="1551.9"/>
    <n v="2135.71"/>
    <n v="0.57915831663326656"/>
    <x v="0"/>
    <n v="0"/>
  </r>
  <r>
    <s v="TX0163"/>
    <x v="162"/>
    <x v="2"/>
    <x v="1"/>
    <x v="2"/>
    <s v="Brand B"/>
    <s v="SC006"/>
    <x v="15"/>
    <n v="777"/>
    <n v="4.99"/>
    <x v="1"/>
    <n v="0.2"/>
    <n v="3.9920000000000004"/>
    <n v="3101.7840000000006"/>
    <n v="2.1"/>
    <n v="1631.7"/>
    <n v="1470.0840000000005"/>
    <n v="0.47394789579158325"/>
    <x v="3"/>
    <n v="775.44600000000014"/>
  </r>
  <r>
    <s v="TX0164"/>
    <x v="163"/>
    <x v="1"/>
    <x v="2"/>
    <x v="0"/>
    <s v="Brand A"/>
    <s v="LA005"/>
    <x v="21"/>
    <n v="394"/>
    <n v="9.49"/>
    <x v="0"/>
    <n v="0"/>
    <n v="9.49"/>
    <n v="3739.06"/>
    <n v="4"/>
    <n v="1576"/>
    <n v="2163.06"/>
    <n v="0.57850368809272923"/>
    <x v="0"/>
    <n v="0"/>
  </r>
  <r>
    <s v="TX0165"/>
    <x v="164"/>
    <x v="0"/>
    <x v="2"/>
    <x v="1"/>
    <s v="Brand C"/>
    <s v="OR007"/>
    <x v="18"/>
    <n v="331"/>
    <n v="3.29"/>
    <x v="0"/>
    <n v="0"/>
    <n v="3.29"/>
    <n v="1088.99"/>
    <n v="1.1000000000000001"/>
    <n v="364.1"/>
    <n v="724.89"/>
    <n v="0.66565349544072949"/>
    <x v="0"/>
    <n v="0"/>
  </r>
  <r>
    <s v="TX0166"/>
    <x v="165"/>
    <x v="0"/>
    <x v="0"/>
    <x v="3"/>
    <s v="Brand A"/>
    <s v="HC002"/>
    <x v="22"/>
    <n v="362"/>
    <n v="8.99"/>
    <x v="0"/>
    <n v="0"/>
    <n v="8.99"/>
    <n v="3254.38"/>
    <n v="3.6"/>
    <n v="1303.2"/>
    <n v="1951.18"/>
    <n v="0.59955506117908786"/>
    <x v="0"/>
    <n v="0"/>
  </r>
  <r>
    <s v="TX0167"/>
    <x v="166"/>
    <x v="0"/>
    <x v="1"/>
    <x v="1"/>
    <s v="Brand B"/>
    <s v="OR004"/>
    <x v="3"/>
    <n v="375"/>
    <n v="5.99"/>
    <x v="0"/>
    <n v="0"/>
    <n v="5.99"/>
    <n v="2246.25"/>
    <n v="2.4"/>
    <n v="900"/>
    <n v="1346.25"/>
    <n v="0.59933222036727885"/>
    <x v="0"/>
    <n v="0"/>
  </r>
  <r>
    <s v="TX0168"/>
    <x v="167"/>
    <x v="2"/>
    <x v="1"/>
    <x v="3"/>
    <s v="Brand C"/>
    <s v="HC007"/>
    <x v="23"/>
    <n v="374"/>
    <n v="7.49"/>
    <x v="0"/>
    <n v="0"/>
    <n v="7.49"/>
    <n v="2801.26"/>
    <n v="3.1"/>
    <n v="1159.4000000000001"/>
    <n v="1641.8600000000001"/>
    <n v="0.58611481975967961"/>
    <x v="0"/>
    <n v="0"/>
  </r>
  <r>
    <s v="TX0169"/>
    <x v="168"/>
    <x v="1"/>
    <x v="2"/>
    <x v="2"/>
    <s v="Brand C"/>
    <s v="SC007"/>
    <x v="5"/>
    <n v="625"/>
    <n v="5.49"/>
    <x v="0"/>
    <n v="0"/>
    <n v="5.49"/>
    <n v="3431.25"/>
    <n v="2.2999999999999998"/>
    <n v="1437.5"/>
    <n v="1993.75"/>
    <n v="0.58105646630236796"/>
    <x v="0"/>
    <n v="0"/>
  </r>
  <r>
    <s v="TX0170"/>
    <x v="169"/>
    <x v="0"/>
    <x v="2"/>
    <x v="2"/>
    <s v="Brand B"/>
    <s v="SC006"/>
    <x v="15"/>
    <n v="764"/>
    <n v="4.99"/>
    <x v="0"/>
    <n v="0"/>
    <n v="4.99"/>
    <n v="3812.36"/>
    <n v="2.1"/>
    <n v="1604.4"/>
    <n v="2207.96"/>
    <n v="0.57915831663326656"/>
    <x v="0"/>
    <n v="0"/>
  </r>
  <r>
    <s v="TX0171"/>
    <x v="170"/>
    <x v="1"/>
    <x v="0"/>
    <x v="1"/>
    <s v="Brand C"/>
    <s v="OR007"/>
    <x v="18"/>
    <n v="710"/>
    <n v="3.29"/>
    <x v="1"/>
    <n v="0.1"/>
    <n v="2.9610000000000003"/>
    <n v="2102.3100000000004"/>
    <n v="1.1000000000000001"/>
    <n v="781.00000000000011"/>
    <n v="1321.3100000000004"/>
    <n v="0.62850388382303279"/>
    <x v="1"/>
    <n v="233.59"/>
  </r>
  <r>
    <s v="TX0172"/>
    <x v="171"/>
    <x v="2"/>
    <x v="2"/>
    <x v="0"/>
    <s v="Brand C"/>
    <s v="LA008"/>
    <x v="9"/>
    <n v="498"/>
    <n v="5.49"/>
    <x v="0"/>
    <n v="0"/>
    <n v="5.49"/>
    <n v="2734.02"/>
    <n v="2.4"/>
    <n v="1195.2"/>
    <n v="1538.82"/>
    <n v="0.56284153005464477"/>
    <x v="0"/>
    <n v="0"/>
  </r>
  <r>
    <s v="TX0173"/>
    <x v="172"/>
    <x v="2"/>
    <x v="2"/>
    <x v="1"/>
    <s v="Brand B"/>
    <s v="OR004"/>
    <x v="3"/>
    <n v="592"/>
    <n v="5.99"/>
    <x v="0"/>
    <n v="0"/>
    <n v="5.99"/>
    <n v="3546.08"/>
    <n v="2.4"/>
    <n v="1420.8"/>
    <n v="2125.2799999999997"/>
    <n v="0.59933222036727873"/>
    <x v="0"/>
    <n v="0"/>
  </r>
  <r>
    <s v="TX0174"/>
    <x v="173"/>
    <x v="2"/>
    <x v="0"/>
    <x v="2"/>
    <s v="Brand A"/>
    <s v="SC004"/>
    <x v="4"/>
    <n v="293"/>
    <n v="8.49"/>
    <x v="0"/>
    <n v="0"/>
    <n v="8.49"/>
    <n v="2487.5700000000002"/>
    <n v="3.5"/>
    <n v="1025.5"/>
    <n v="1462.0700000000002"/>
    <n v="0.58775029446407545"/>
    <x v="0"/>
    <n v="0"/>
  </r>
  <r>
    <s v="TX0175"/>
    <x v="174"/>
    <x v="1"/>
    <x v="0"/>
    <x v="3"/>
    <s v="Brand C"/>
    <s v="HC007"/>
    <x v="23"/>
    <n v="675"/>
    <n v="7.49"/>
    <x v="0"/>
    <n v="0"/>
    <n v="7.49"/>
    <n v="5055.75"/>
    <n v="3.1"/>
    <n v="2092.5"/>
    <n v="2963.25"/>
    <n v="0.58611481975967961"/>
    <x v="0"/>
    <n v="0"/>
  </r>
  <r>
    <s v="TX0176"/>
    <x v="175"/>
    <x v="1"/>
    <x v="0"/>
    <x v="2"/>
    <s v="Brand C"/>
    <s v="SC007"/>
    <x v="5"/>
    <n v="713"/>
    <n v="5.49"/>
    <x v="0"/>
    <n v="0"/>
    <n v="5.49"/>
    <n v="3914.3700000000003"/>
    <n v="2.2999999999999998"/>
    <n v="1639.8999999999999"/>
    <n v="2274.4700000000003"/>
    <n v="0.58105646630236796"/>
    <x v="0"/>
    <n v="0"/>
  </r>
  <r>
    <s v="TX0177"/>
    <x v="176"/>
    <x v="2"/>
    <x v="2"/>
    <x v="1"/>
    <s v="Brand A"/>
    <s v="OR005"/>
    <x v="10"/>
    <n v="1191"/>
    <n v="3.99"/>
    <x v="1"/>
    <n v="0.2"/>
    <n v="3.1920000000000002"/>
    <n v="3801.672"/>
    <n v="1.5"/>
    <n v="1786.5"/>
    <n v="2015.172"/>
    <n v="0.53007518796992481"/>
    <x v="1"/>
    <n v="950.41800000000001"/>
  </r>
  <r>
    <s v="TX0178"/>
    <x v="177"/>
    <x v="1"/>
    <x v="2"/>
    <x v="0"/>
    <s v="Brand A"/>
    <s v="LA005"/>
    <x v="21"/>
    <n v="692"/>
    <n v="9.49"/>
    <x v="0"/>
    <n v="0"/>
    <n v="9.49"/>
    <n v="6567.08"/>
    <n v="4"/>
    <n v="2768"/>
    <n v="3799.08"/>
    <n v="0.57850368809272923"/>
    <x v="0"/>
    <n v="0"/>
  </r>
  <r>
    <s v="TX0179"/>
    <x v="178"/>
    <x v="2"/>
    <x v="1"/>
    <x v="1"/>
    <s v="Brand B"/>
    <s v="OR001"/>
    <x v="19"/>
    <n v="408"/>
    <n v="3.49"/>
    <x v="1"/>
    <n v="0.3"/>
    <n v="2.4430000000000001"/>
    <n v="996.74400000000003"/>
    <n v="1.2"/>
    <n v="489.59999999999997"/>
    <n v="507.14400000000006"/>
    <n v="0.50880065493246018"/>
    <x v="1"/>
    <n v="427.17599999999999"/>
  </r>
  <r>
    <s v="TX0180"/>
    <x v="179"/>
    <x v="2"/>
    <x v="0"/>
    <x v="3"/>
    <s v="Brand A"/>
    <s v="HC001"/>
    <x v="7"/>
    <n v="388"/>
    <n v="5.99"/>
    <x v="0"/>
    <n v="0"/>
    <n v="5.99"/>
    <n v="2324.12"/>
    <n v="2.4"/>
    <n v="931.19999999999993"/>
    <n v="1392.92"/>
    <n v="0.59933222036727885"/>
    <x v="0"/>
    <n v="0"/>
  </r>
  <r>
    <s v="TX0181"/>
    <x v="180"/>
    <x v="2"/>
    <x v="1"/>
    <x v="1"/>
    <s v="Brand B"/>
    <s v="OR004"/>
    <x v="3"/>
    <n v="677"/>
    <n v="5.99"/>
    <x v="0"/>
    <n v="0"/>
    <n v="5.99"/>
    <n v="4055.23"/>
    <n v="2.4"/>
    <n v="1624.8"/>
    <n v="2430.4300000000003"/>
    <n v="0.59933222036727885"/>
    <x v="0"/>
    <n v="0"/>
  </r>
  <r>
    <s v="TX0182"/>
    <x v="181"/>
    <x v="2"/>
    <x v="2"/>
    <x v="3"/>
    <s v="Brand C"/>
    <s v="HC006"/>
    <x v="13"/>
    <n v="373"/>
    <n v="6.49"/>
    <x v="0"/>
    <n v="0"/>
    <n v="6.49"/>
    <n v="2420.77"/>
    <n v="2.8"/>
    <n v="1044.3999999999999"/>
    <n v="1376.3700000000001"/>
    <n v="0.5685670261941449"/>
    <x v="0"/>
    <n v="0"/>
  </r>
  <r>
    <s v="TX0183"/>
    <x v="182"/>
    <x v="0"/>
    <x v="1"/>
    <x v="3"/>
    <s v="Brand B"/>
    <s v="HC008"/>
    <x v="20"/>
    <n v="730"/>
    <n v="4.49"/>
    <x v="0"/>
    <n v="0"/>
    <n v="4.49"/>
    <n v="3277.7000000000003"/>
    <n v="1.9"/>
    <n v="1387"/>
    <n v="1890.7000000000003"/>
    <n v="0.57683741648106912"/>
    <x v="0"/>
    <n v="0"/>
  </r>
  <r>
    <s v="TX0184"/>
    <x v="183"/>
    <x v="1"/>
    <x v="1"/>
    <x v="3"/>
    <s v="Brand B"/>
    <s v="HC008"/>
    <x v="20"/>
    <n v="732"/>
    <n v="4.49"/>
    <x v="0"/>
    <n v="0"/>
    <n v="4.49"/>
    <n v="3286.6800000000003"/>
    <n v="1.9"/>
    <n v="1390.8"/>
    <n v="1895.8800000000003"/>
    <n v="0.57683741648106912"/>
    <x v="0"/>
    <n v="0"/>
  </r>
  <r>
    <s v="TX0185"/>
    <x v="184"/>
    <x v="0"/>
    <x v="1"/>
    <x v="3"/>
    <s v="Brand C"/>
    <s v="HC006"/>
    <x v="13"/>
    <n v="532"/>
    <n v="6.49"/>
    <x v="1"/>
    <n v="0.1"/>
    <n v="5.8410000000000002"/>
    <n v="3107.4120000000003"/>
    <n v="2.8"/>
    <n v="1489.6"/>
    <n v="1617.8120000000004"/>
    <n v="0.52063002910460543"/>
    <x v="3"/>
    <n v="345.26800000000003"/>
  </r>
  <r>
    <s v="TX0186"/>
    <x v="185"/>
    <x v="0"/>
    <x v="2"/>
    <x v="0"/>
    <s v="Brand A"/>
    <s v="LA005"/>
    <x v="21"/>
    <n v="412"/>
    <n v="9.49"/>
    <x v="0"/>
    <n v="0"/>
    <n v="9.49"/>
    <n v="3909.88"/>
    <n v="4"/>
    <n v="1648"/>
    <n v="2261.88"/>
    <n v="0.57850368809272923"/>
    <x v="0"/>
    <n v="0"/>
  </r>
  <r>
    <s v="TX0187"/>
    <x v="186"/>
    <x v="2"/>
    <x v="1"/>
    <x v="1"/>
    <s v="Brand B"/>
    <s v="OR004"/>
    <x v="3"/>
    <n v="993"/>
    <n v="5.99"/>
    <x v="1"/>
    <n v="0.2"/>
    <n v="4.7920000000000007"/>
    <n v="4758.456000000001"/>
    <n v="2.4"/>
    <n v="2383.1999999999998"/>
    <n v="2375.2560000000012"/>
    <n v="0.49916527545909867"/>
    <x v="1"/>
    <n v="1189.6140000000003"/>
  </r>
  <r>
    <s v="TX0188"/>
    <x v="187"/>
    <x v="0"/>
    <x v="2"/>
    <x v="0"/>
    <s v="Brand C"/>
    <s v="LA002"/>
    <x v="0"/>
    <n v="797"/>
    <n v="11.99"/>
    <x v="0"/>
    <n v="0"/>
    <n v="11.99"/>
    <n v="9556.0300000000007"/>
    <n v="5.2"/>
    <n v="4144.4000000000005"/>
    <n v="5411.63"/>
    <n v="0.56630525437864887"/>
    <x v="0"/>
    <n v="0"/>
  </r>
  <r>
    <s v="TX0189"/>
    <x v="188"/>
    <x v="1"/>
    <x v="0"/>
    <x v="1"/>
    <s v="Brand B"/>
    <s v="OR004"/>
    <x v="3"/>
    <n v="755"/>
    <n v="5.99"/>
    <x v="0"/>
    <n v="0"/>
    <n v="5.99"/>
    <n v="4522.45"/>
    <n v="2.4"/>
    <n v="1812"/>
    <n v="2710.45"/>
    <n v="0.59933222036727873"/>
    <x v="0"/>
    <n v="0"/>
  </r>
  <r>
    <s v="TX0190"/>
    <x v="189"/>
    <x v="0"/>
    <x v="1"/>
    <x v="1"/>
    <s v="Brand B"/>
    <s v="OR001"/>
    <x v="19"/>
    <n v="237"/>
    <n v="3.49"/>
    <x v="0"/>
    <n v="0"/>
    <n v="3.49"/>
    <n v="827.13"/>
    <n v="1.2"/>
    <n v="284.39999999999998"/>
    <n v="542.73"/>
    <n v="0.65616045845272208"/>
    <x v="0"/>
    <n v="0"/>
  </r>
  <r>
    <s v="TX0191"/>
    <x v="190"/>
    <x v="0"/>
    <x v="1"/>
    <x v="0"/>
    <s v="Brand C"/>
    <s v="LA002"/>
    <x v="0"/>
    <n v="433"/>
    <n v="11.99"/>
    <x v="1"/>
    <n v="0.1"/>
    <n v="10.791"/>
    <n v="4672.5030000000006"/>
    <n v="5.2"/>
    <n v="2251.6"/>
    <n v="2420.9030000000007"/>
    <n v="0.51811694930960994"/>
    <x v="1"/>
    <n v="519.16700000000003"/>
  </r>
  <r>
    <s v="TX0192"/>
    <x v="191"/>
    <x v="2"/>
    <x v="2"/>
    <x v="1"/>
    <s v="Brand B"/>
    <s v="OR001"/>
    <x v="19"/>
    <n v="1145"/>
    <n v="3.49"/>
    <x v="1"/>
    <n v="0.1"/>
    <n v="3.1410000000000005"/>
    <n v="3596.4450000000006"/>
    <n v="1.2"/>
    <n v="1374"/>
    <n v="2222.4450000000006"/>
    <n v="0.61795606494746902"/>
    <x v="1"/>
    <n v="399.60500000000002"/>
  </r>
  <r>
    <s v="TX0193"/>
    <x v="192"/>
    <x v="1"/>
    <x v="1"/>
    <x v="1"/>
    <s v="Brand B"/>
    <s v="OR004"/>
    <x v="3"/>
    <n v="1134"/>
    <n v="5.99"/>
    <x v="1"/>
    <n v="0.1"/>
    <n v="5.391"/>
    <n v="6113.3940000000002"/>
    <n v="2.4"/>
    <n v="2721.6"/>
    <n v="3391.7940000000003"/>
    <n v="0.55481357818586541"/>
    <x v="1"/>
    <n v="679.26600000000008"/>
  </r>
  <r>
    <s v="TX0194"/>
    <x v="193"/>
    <x v="1"/>
    <x v="0"/>
    <x v="3"/>
    <s v="Brand B"/>
    <s v="HC005"/>
    <x v="17"/>
    <n v="797"/>
    <n v="4.79"/>
    <x v="0"/>
    <n v="0"/>
    <n v="4.79"/>
    <n v="3817.63"/>
    <n v="2"/>
    <n v="1594"/>
    <n v="2223.63"/>
    <n v="0.58246346555323592"/>
    <x v="0"/>
    <n v="0"/>
  </r>
  <r>
    <s v="TX0195"/>
    <x v="194"/>
    <x v="0"/>
    <x v="1"/>
    <x v="0"/>
    <s v="Brand B"/>
    <s v="LA004"/>
    <x v="12"/>
    <n v="624"/>
    <n v="5.99"/>
    <x v="0"/>
    <n v="0"/>
    <n v="5.99"/>
    <n v="3737.76"/>
    <n v="2.5"/>
    <n v="1560"/>
    <n v="2177.7600000000002"/>
    <n v="0.58263772954924875"/>
    <x v="0"/>
    <n v="0"/>
  </r>
  <r>
    <s v="TX0196"/>
    <x v="195"/>
    <x v="2"/>
    <x v="2"/>
    <x v="3"/>
    <s v="Brand B"/>
    <s v="HC008"/>
    <x v="20"/>
    <n v="352"/>
    <n v="4.49"/>
    <x v="0"/>
    <n v="0"/>
    <n v="4.49"/>
    <n v="1580.48"/>
    <n v="1.9"/>
    <n v="668.8"/>
    <n v="911.68000000000006"/>
    <n v="0.57683741648106912"/>
    <x v="0"/>
    <n v="0"/>
  </r>
  <r>
    <s v="TX0197"/>
    <x v="196"/>
    <x v="0"/>
    <x v="0"/>
    <x v="3"/>
    <s v="Brand C"/>
    <s v="HC007"/>
    <x v="23"/>
    <n v="294"/>
    <n v="7.49"/>
    <x v="0"/>
    <n v="0"/>
    <n v="7.49"/>
    <n v="2202.06"/>
    <n v="3.1"/>
    <n v="911.4"/>
    <n v="1290.6599999999999"/>
    <n v="0.5861148197596795"/>
    <x v="0"/>
    <n v="0"/>
  </r>
  <r>
    <s v="TX0198"/>
    <x v="197"/>
    <x v="2"/>
    <x v="2"/>
    <x v="2"/>
    <s v="Brand B"/>
    <s v="SC003"/>
    <x v="26"/>
    <n v="504"/>
    <n v="4.49"/>
    <x v="0"/>
    <n v="0"/>
    <n v="4.49"/>
    <n v="2262.96"/>
    <n v="1.9"/>
    <n v="957.59999999999991"/>
    <n v="1305.3600000000001"/>
    <n v="0.57683741648106912"/>
    <x v="0"/>
    <n v="0"/>
  </r>
  <r>
    <s v="TX0199"/>
    <x v="198"/>
    <x v="1"/>
    <x v="2"/>
    <x v="2"/>
    <s v="Brand A"/>
    <s v="SC005"/>
    <x v="16"/>
    <n v="658"/>
    <n v="10.99"/>
    <x v="0"/>
    <n v="0"/>
    <n v="10.99"/>
    <n v="7231.42"/>
    <n v="4.5999999999999996"/>
    <n v="3026.7999999999997"/>
    <n v="4204.6200000000008"/>
    <n v="0.58143767060964524"/>
    <x v="0"/>
    <n v="0"/>
  </r>
  <r>
    <s v="TX0200"/>
    <x v="199"/>
    <x v="1"/>
    <x v="1"/>
    <x v="1"/>
    <s v="Brand A"/>
    <s v="OR002"/>
    <x v="11"/>
    <n v="491"/>
    <n v="4.99"/>
    <x v="1"/>
    <n v="0.1"/>
    <n v="4.4910000000000005"/>
    <n v="2205.0810000000001"/>
    <n v="1.8"/>
    <n v="883.80000000000007"/>
    <n v="1321.2809999999999"/>
    <n v="0.59919839679358711"/>
    <x v="1"/>
    <n v="245.00900000000001"/>
  </r>
  <r>
    <s v="TX0201"/>
    <x v="200"/>
    <x v="2"/>
    <x v="1"/>
    <x v="1"/>
    <s v="Brand A"/>
    <s v="OR006"/>
    <x v="24"/>
    <n v="646"/>
    <n v="12.99"/>
    <x v="1"/>
    <n v="0.1"/>
    <n v="11.691000000000001"/>
    <n v="7552.3860000000004"/>
    <n v="5.2"/>
    <n v="3359.2000000000003"/>
    <n v="4193.1859999999997"/>
    <n v="0.555213412026345"/>
    <x v="3"/>
    <n v="839.15400000000011"/>
  </r>
  <r>
    <s v="TX0202"/>
    <x v="201"/>
    <x v="2"/>
    <x v="1"/>
    <x v="1"/>
    <s v="Brand A"/>
    <s v="OR002"/>
    <x v="11"/>
    <n v="381"/>
    <n v="4.99"/>
    <x v="0"/>
    <n v="0"/>
    <n v="4.99"/>
    <n v="1901.19"/>
    <n v="1.8"/>
    <n v="685.80000000000007"/>
    <n v="1215.3899999999999"/>
    <n v="0.63927855711422832"/>
    <x v="0"/>
    <n v="0"/>
  </r>
  <r>
    <s v="TX0203"/>
    <x v="202"/>
    <x v="1"/>
    <x v="2"/>
    <x v="0"/>
    <s v="Brand A"/>
    <s v="LA005"/>
    <x v="21"/>
    <n v="542"/>
    <n v="9.49"/>
    <x v="1"/>
    <n v="0.2"/>
    <n v="7.5920000000000005"/>
    <n v="4114.8640000000005"/>
    <n v="4"/>
    <n v="2168"/>
    <n v="1946.8640000000005"/>
    <n v="0.47312961011591154"/>
    <x v="1"/>
    <n v="1028.7160000000001"/>
  </r>
  <r>
    <s v="TX0204"/>
    <x v="203"/>
    <x v="1"/>
    <x v="0"/>
    <x v="2"/>
    <s v="Brand C"/>
    <s v="SC007"/>
    <x v="5"/>
    <n v="1004"/>
    <n v="5.49"/>
    <x v="1"/>
    <n v="0.2"/>
    <n v="4.3920000000000003"/>
    <n v="4409.5680000000002"/>
    <n v="2.2999999999999998"/>
    <n v="2309.1999999999998"/>
    <n v="2100.3680000000004"/>
    <n v="0.47632058287795997"/>
    <x v="1"/>
    <n v="1102.3920000000001"/>
  </r>
  <r>
    <s v="TX0205"/>
    <x v="204"/>
    <x v="0"/>
    <x v="1"/>
    <x v="0"/>
    <s v="Brand B"/>
    <s v="LA001"/>
    <x v="1"/>
    <n v="784"/>
    <n v="8.49"/>
    <x v="1"/>
    <n v="0.2"/>
    <n v="6.7920000000000007"/>
    <n v="5324.9280000000008"/>
    <n v="3.8"/>
    <n v="2979.2"/>
    <n v="2345.728000000001"/>
    <n v="0.44051825677267387"/>
    <x v="2"/>
    <n v="1331.2320000000002"/>
  </r>
  <r>
    <s v="TX0206"/>
    <x v="205"/>
    <x v="2"/>
    <x v="1"/>
    <x v="3"/>
    <s v="Brand B"/>
    <s v="HC005"/>
    <x v="17"/>
    <n v="516"/>
    <n v="4.79"/>
    <x v="0"/>
    <n v="0"/>
    <n v="4.79"/>
    <n v="2471.64"/>
    <n v="2"/>
    <n v="1032"/>
    <n v="1439.6399999999999"/>
    <n v="0.58246346555323592"/>
    <x v="0"/>
    <n v="0"/>
  </r>
  <r>
    <s v="TX0207"/>
    <x v="206"/>
    <x v="1"/>
    <x v="2"/>
    <x v="1"/>
    <s v="Brand B"/>
    <s v="OR004"/>
    <x v="3"/>
    <n v="707"/>
    <n v="5.99"/>
    <x v="0"/>
    <n v="0"/>
    <n v="5.99"/>
    <n v="4234.93"/>
    <n v="2.4"/>
    <n v="1696.8"/>
    <n v="2538.13"/>
    <n v="0.59933222036727873"/>
    <x v="0"/>
    <n v="0"/>
  </r>
  <r>
    <s v="TX0208"/>
    <x v="207"/>
    <x v="1"/>
    <x v="0"/>
    <x v="2"/>
    <s v="Brand A"/>
    <s v="SC001"/>
    <x v="6"/>
    <n v="661"/>
    <n v="7.99"/>
    <x v="0"/>
    <n v="0"/>
    <n v="7.99"/>
    <n v="5281.39"/>
    <n v="3.1"/>
    <n v="2049.1"/>
    <n v="3232.2900000000004"/>
    <n v="0.61201501877346687"/>
    <x v="0"/>
    <n v="0"/>
  </r>
  <r>
    <s v="TX0209"/>
    <x v="208"/>
    <x v="1"/>
    <x v="1"/>
    <x v="3"/>
    <s v="Brand C"/>
    <s v="HC006"/>
    <x v="13"/>
    <n v="1069"/>
    <n v="6.49"/>
    <x v="1"/>
    <n v="0.2"/>
    <n v="5.1920000000000002"/>
    <n v="5550.2480000000005"/>
    <n v="2.8"/>
    <n v="2993.2"/>
    <n v="2557.0480000000007"/>
    <n v="0.46070878274268112"/>
    <x v="1"/>
    <n v="1387.5620000000001"/>
  </r>
  <r>
    <s v="TX0210"/>
    <x v="209"/>
    <x v="2"/>
    <x v="2"/>
    <x v="2"/>
    <s v="Brand A"/>
    <s v="SC004"/>
    <x v="4"/>
    <n v="474"/>
    <n v="8.49"/>
    <x v="0"/>
    <n v="0"/>
    <n v="8.49"/>
    <n v="4024.26"/>
    <n v="3.5"/>
    <n v="1659"/>
    <n v="2365.2600000000002"/>
    <n v="0.58775029446407545"/>
    <x v="0"/>
    <n v="0"/>
  </r>
  <r>
    <s v="TX0211"/>
    <x v="210"/>
    <x v="1"/>
    <x v="0"/>
    <x v="0"/>
    <s v="Brand B"/>
    <s v="LA001"/>
    <x v="1"/>
    <n v="256"/>
    <n v="8.49"/>
    <x v="0"/>
    <n v="0"/>
    <n v="8.49"/>
    <n v="2173.44"/>
    <n v="3.8"/>
    <n v="972.8"/>
    <n v="1200.6400000000001"/>
    <n v="0.55241460541813903"/>
    <x v="0"/>
    <n v="0"/>
  </r>
  <r>
    <s v="TX0212"/>
    <x v="211"/>
    <x v="1"/>
    <x v="0"/>
    <x v="3"/>
    <s v="Brand C"/>
    <s v="HC006"/>
    <x v="13"/>
    <n v="458"/>
    <n v="6.49"/>
    <x v="0"/>
    <n v="0"/>
    <n v="6.49"/>
    <n v="2972.42"/>
    <n v="2.8"/>
    <n v="1282.3999999999999"/>
    <n v="1690.0200000000002"/>
    <n v="0.5685670261941449"/>
    <x v="0"/>
    <n v="0"/>
  </r>
  <r>
    <s v="TX0213"/>
    <x v="212"/>
    <x v="2"/>
    <x v="0"/>
    <x v="0"/>
    <s v="Brand C"/>
    <s v="LA002"/>
    <x v="0"/>
    <n v="410"/>
    <n v="11.99"/>
    <x v="1"/>
    <n v="0.1"/>
    <n v="10.791"/>
    <n v="4424.3100000000004"/>
    <n v="5.2"/>
    <n v="2132"/>
    <n v="2292.3100000000004"/>
    <n v="0.51811694930960994"/>
    <x v="2"/>
    <n v="491.59000000000003"/>
  </r>
  <r>
    <s v="TX0214"/>
    <x v="213"/>
    <x v="0"/>
    <x v="1"/>
    <x v="3"/>
    <s v="Brand A"/>
    <s v="HC002"/>
    <x v="22"/>
    <n v="498"/>
    <n v="8.99"/>
    <x v="0"/>
    <n v="0"/>
    <n v="8.99"/>
    <n v="4477.0200000000004"/>
    <n v="3.6"/>
    <n v="1792.8"/>
    <n v="2684.2200000000003"/>
    <n v="0.59955506117908786"/>
    <x v="0"/>
    <n v="0"/>
  </r>
  <r>
    <s v="TX0215"/>
    <x v="214"/>
    <x v="1"/>
    <x v="2"/>
    <x v="3"/>
    <s v="Brand B"/>
    <s v="HC008"/>
    <x v="20"/>
    <n v="795"/>
    <n v="4.49"/>
    <x v="0"/>
    <n v="0"/>
    <n v="4.49"/>
    <n v="3569.55"/>
    <n v="1.9"/>
    <n v="1510.5"/>
    <n v="2059.0500000000002"/>
    <n v="0.57683741648106901"/>
    <x v="0"/>
    <n v="0"/>
  </r>
  <r>
    <s v="TX0216"/>
    <x v="215"/>
    <x v="0"/>
    <x v="0"/>
    <x v="2"/>
    <s v="Brand B"/>
    <s v="SC006"/>
    <x v="15"/>
    <n v="782"/>
    <n v="4.99"/>
    <x v="0"/>
    <n v="0"/>
    <n v="4.99"/>
    <n v="3902.1800000000003"/>
    <n v="2.1"/>
    <n v="1642.2"/>
    <n v="2259.9800000000005"/>
    <n v="0.57915831663326656"/>
    <x v="0"/>
    <n v="0"/>
  </r>
  <r>
    <s v="TX0217"/>
    <x v="216"/>
    <x v="1"/>
    <x v="1"/>
    <x v="3"/>
    <s v="Brand A"/>
    <s v="HC002"/>
    <x v="22"/>
    <n v="518"/>
    <n v="8.99"/>
    <x v="1"/>
    <n v="0.3"/>
    <n v="6.2930000000000001"/>
    <n v="3259.7739999999999"/>
    <n v="3.6"/>
    <n v="1864.8"/>
    <n v="1394.9739999999999"/>
    <n v="0.42793580168441125"/>
    <x v="2"/>
    <n v="1397.046"/>
  </r>
  <r>
    <s v="TX0218"/>
    <x v="217"/>
    <x v="1"/>
    <x v="2"/>
    <x v="3"/>
    <s v="Brand B"/>
    <s v="HC008"/>
    <x v="20"/>
    <n v="1069"/>
    <n v="4.49"/>
    <x v="1"/>
    <n v="0.3"/>
    <n v="3.1429999999999998"/>
    <n v="3359.8669999999997"/>
    <n v="1.9"/>
    <n v="2031.1"/>
    <n v="1328.7669999999998"/>
    <n v="0.39548202354438433"/>
    <x v="2"/>
    <n v="1439.943"/>
  </r>
  <r>
    <s v="TX0219"/>
    <x v="218"/>
    <x v="2"/>
    <x v="2"/>
    <x v="0"/>
    <s v="Brand B"/>
    <s v="LA007"/>
    <x v="25"/>
    <n v="1094"/>
    <n v="10.49"/>
    <x v="1"/>
    <n v="0.2"/>
    <n v="8.3920000000000012"/>
    <n v="9180.8480000000018"/>
    <n v="4.5999999999999996"/>
    <n v="5032.3999999999996"/>
    <n v="4148.4480000000021"/>
    <n v="0.45185891325071509"/>
    <x v="3"/>
    <n v="2295.2120000000004"/>
  </r>
  <r>
    <s v="TX0220"/>
    <x v="219"/>
    <x v="1"/>
    <x v="1"/>
    <x v="0"/>
    <s v="Brand A"/>
    <s v="LA003"/>
    <x v="9"/>
    <n v="219"/>
    <n v="6.99"/>
    <x v="0"/>
    <n v="0"/>
    <n v="6.99"/>
    <n v="1530.81"/>
    <n v="2.9"/>
    <n v="635.1"/>
    <n v="895.70999999999992"/>
    <n v="0.58512160228898424"/>
    <x v="0"/>
    <n v="0"/>
  </r>
  <r>
    <s v="TX0221"/>
    <x v="220"/>
    <x v="2"/>
    <x v="2"/>
    <x v="3"/>
    <s v="Brand C"/>
    <s v="HC006"/>
    <x v="13"/>
    <n v="296"/>
    <n v="6.49"/>
    <x v="0"/>
    <n v="0"/>
    <n v="6.49"/>
    <n v="1921.04"/>
    <n v="2.8"/>
    <n v="828.8"/>
    <n v="1092.24"/>
    <n v="0.5685670261941449"/>
    <x v="0"/>
    <n v="0"/>
  </r>
  <r>
    <s v="TX0222"/>
    <x v="221"/>
    <x v="2"/>
    <x v="2"/>
    <x v="1"/>
    <s v="Brand A"/>
    <s v="OR005"/>
    <x v="10"/>
    <n v="799"/>
    <n v="3.99"/>
    <x v="0"/>
    <n v="0"/>
    <n v="3.99"/>
    <n v="3188.01"/>
    <n v="1.5"/>
    <n v="1198.5"/>
    <n v="1989.5100000000002"/>
    <n v="0.62406015037593987"/>
    <x v="0"/>
    <n v="0"/>
  </r>
  <r>
    <s v="TX0223"/>
    <x v="222"/>
    <x v="1"/>
    <x v="0"/>
    <x v="1"/>
    <s v="Brand A"/>
    <s v="OR006"/>
    <x v="24"/>
    <n v="423"/>
    <n v="12.99"/>
    <x v="0"/>
    <n v="0"/>
    <n v="12.99"/>
    <n v="5494.77"/>
    <n v="5.2"/>
    <n v="2199.6"/>
    <n v="3295.1700000000005"/>
    <n v="0.59969207082371057"/>
    <x v="0"/>
    <n v="0"/>
  </r>
  <r>
    <s v="TX0224"/>
    <x v="223"/>
    <x v="2"/>
    <x v="2"/>
    <x v="3"/>
    <s v="Brand C"/>
    <s v="HC006"/>
    <x v="13"/>
    <n v="563"/>
    <n v="6.49"/>
    <x v="1"/>
    <n v="0.2"/>
    <n v="5.1920000000000002"/>
    <n v="2923.096"/>
    <n v="2.8"/>
    <n v="1576.3999999999999"/>
    <n v="1346.6960000000001"/>
    <n v="0.46070878274268112"/>
    <x v="3"/>
    <n v="730.774"/>
  </r>
  <r>
    <s v="TX0225"/>
    <x v="224"/>
    <x v="2"/>
    <x v="2"/>
    <x v="1"/>
    <s v="Brand C"/>
    <s v="OR007"/>
    <x v="18"/>
    <n v="325"/>
    <n v="3.29"/>
    <x v="0"/>
    <n v="0"/>
    <n v="3.29"/>
    <n v="1069.25"/>
    <n v="1.1000000000000001"/>
    <n v="357.50000000000006"/>
    <n v="711.75"/>
    <n v="0.66565349544072949"/>
    <x v="0"/>
    <n v="0"/>
  </r>
  <r>
    <s v="TX0226"/>
    <x v="225"/>
    <x v="1"/>
    <x v="1"/>
    <x v="3"/>
    <s v="Brand B"/>
    <s v="HC004"/>
    <x v="7"/>
    <n v="510"/>
    <n v="4.99"/>
    <x v="0"/>
    <n v="0"/>
    <n v="4.99"/>
    <n v="2544.9"/>
    <n v="2.1"/>
    <n v="1071"/>
    <n v="1473.9"/>
    <n v="0.57915831663326656"/>
    <x v="0"/>
    <n v="0"/>
  </r>
  <r>
    <s v="TX0227"/>
    <x v="226"/>
    <x v="1"/>
    <x v="0"/>
    <x v="2"/>
    <s v="Brand A"/>
    <s v="SC001"/>
    <x v="6"/>
    <n v="249"/>
    <n v="7.99"/>
    <x v="0"/>
    <n v="0"/>
    <n v="7.99"/>
    <n v="1989.51"/>
    <n v="3.1"/>
    <n v="771.9"/>
    <n v="1217.6100000000001"/>
    <n v="0.61201501877346687"/>
    <x v="0"/>
    <n v="0"/>
  </r>
  <r>
    <s v="TX0228"/>
    <x v="227"/>
    <x v="2"/>
    <x v="0"/>
    <x v="3"/>
    <s v="Brand A"/>
    <s v="HC001"/>
    <x v="7"/>
    <n v="1115"/>
    <n v="5.99"/>
    <x v="1"/>
    <n v="0.3"/>
    <n v="4.1929999999999996"/>
    <n v="4675.1949999999997"/>
    <n v="2.4"/>
    <n v="2676"/>
    <n v="1999.1949999999997"/>
    <n v="0.42761745766754111"/>
    <x v="1"/>
    <n v="2003.655"/>
  </r>
  <r>
    <s v="TX0229"/>
    <x v="228"/>
    <x v="1"/>
    <x v="0"/>
    <x v="0"/>
    <s v="Brand B"/>
    <s v="LA004"/>
    <x v="12"/>
    <n v="341"/>
    <n v="5.99"/>
    <x v="0"/>
    <n v="0"/>
    <n v="5.99"/>
    <n v="2042.5900000000001"/>
    <n v="2.5"/>
    <n v="852.5"/>
    <n v="1190.0900000000001"/>
    <n v="0.58263772954924875"/>
    <x v="0"/>
    <n v="0"/>
  </r>
  <r>
    <s v="TX0230"/>
    <x v="229"/>
    <x v="2"/>
    <x v="0"/>
    <x v="0"/>
    <s v="Brand C"/>
    <s v="LA006"/>
    <x v="2"/>
    <n v="733"/>
    <n v="8.99"/>
    <x v="0"/>
    <n v="0"/>
    <n v="8.99"/>
    <n v="6589.67"/>
    <n v="4"/>
    <n v="2932"/>
    <n v="3657.67"/>
    <n v="0.55506117908787544"/>
    <x v="0"/>
    <n v="0"/>
  </r>
  <r>
    <s v="TX0231"/>
    <x v="230"/>
    <x v="2"/>
    <x v="0"/>
    <x v="3"/>
    <s v="Brand C"/>
    <s v="HC007"/>
    <x v="23"/>
    <n v="592"/>
    <n v="7.49"/>
    <x v="0"/>
    <n v="0"/>
    <n v="7.49"/>
    <n v="4434.08"/>
    <n v="3.1"/>
    <n v="1835.2"/>
    <n v="2598.88"/>
    <n v="0.58611481975967961"/>
    <x v="0"/>
    <n v="0"/>
  </r>
  <r>
    <s v="TX0232"/>
    <x v="231"/>
    <x v="0"/>
    <x v="0"/>
    <x v="1"/>
    <s v="Brand A"/>
    <s v="OR002"/>
    <x v="11"/>
    <n v="224"/>
    <n v="4.99"/>
    <x v="0"/>
    <n v="0"/>
    <n v="4.99"/>
    <n v="1117.76"/>
    <n v="1.8"/>
    <n v="403.2"/>
    <n v="714.56"/>
    <n v="0.63927855711422843"/>
    <x v="0"/>
    <n v="0"/>
  </r>
  <r>
    <s v="TX0233"/>
    <x v="232"/>
    <x v="1"/>
    <x v="2"/>
    <x v="3"/>
    <s v="Brand B"/>
    <s v="HC008"/>
    <x v="20"/>
    <n v="571"/>
    <n v="4.49"/>
    <x v="1"/>
    <n v="0.1"/>
    <n v="4.0410000000000004"/>
    <n v="2307.4110000000001"/>
    <n v="1.9"/>
    <n v="1084.8999999999999"/>
    <n v="1222.5110000000002"/>
    <n v="0.52981935164563232"/>
    <x v="1"/>
    <n v="256.37900000000002"/>
  </r>
  <r>
    <s v="TX0234"/>
    <x v="233"/>
    <x v="0"/>
    <x v="1"/>
    <x v="3"/>
    <s v="Brand C"/>
    <s v="HC007"/>
    <x v="23"/>
    <n v="546"/>
    <n v="7.49"/>
    <x v="0"/>
    <n v="0"/>
    <n v="7.49"/>
    <n v="4089.54"/>
    <n v="3.1"/>
    <n v="1692.6000000000001"/>
    <n v="2396.9399999999996"/>
    <n v="0.5861148197596795"/>
    <x v="0"/>
    <n v="0"/>
  </r>
  <r>
    <s v="TX0235"/>
    <x v="234"/>
    <x v="1"/>
    <x v="1"/>
    <x v="0"/>
    <s v="Brand A"/>
    <s v="LA003"/>
    <x v="9"/>
    <n v="1149"/>
    <n v="6.99"/>
    <x v="1"/>
    <n v="0.2"/>
    <n v="5.5920000000000005"/>
    <n v="6425.2080000000005"/>
    <n v="2.9"/>
    <n v="3332.1"/>
    <n v="3093.1080000000006"/>
    <n v="0.48140200286123036"/>
    <x v="2"/>
    <n v="1606.3020000000001"/>
  </r>
  <r>
    <s v="TX0236"/>
    <x v="235"/>
    <x v="0"/>
    <x v="0"/>
    <x v="0"/>
    <s v="Brand B"/>
    <s v="LA001"/>
    <x v="1"/>
    <n v="730"/>
    <n v="8.49"/>
    <x v="0"/>
    <n v="0"/>
    <n v="8.49"/>
    <n v="6197.7"/>
    <n v="3.8"/>
    <n v="2774"/>
    <n v="3423.7"/>
    <n v="0.55241460541813903"/>
    <x v="0"/>
    <n v="0"/>
  </r>
  <r>
    <s v="TX0237"/>
    <x v="236"/>
    <x v="2"/>
    <x v="1"/>
    <x v="1"/>
    <s v="Brand B"/>
    <s v="OR001"/>
    <x v="19"/>
    <n v="522"/>
    <n v="3.49"/>
    <x v="0"/>
    <n v="0"/>
    <n v="3.49"/>
    <n v="1821.7800000000002"/>
    <n v="1.2"/>
    <n v="626.4"/>
    <n v="1195.3800000000001"/>
    <n v="0.65616045845272208"/>
    <x v="0"/>
    <n v="0"/>
  </r>
  <r>
    <s v="TX0238"/>
    <x v="237"/>
    <x v="2"/>
    <x v="2"/>
    <x v="3"/>
    <s v="Brand B"/>
    <s v="HC008"/>
    <x v="20"/>
    <n v="261"/>
    <n v="4.49"/>
    <x v="0"/>
    <n v="0"/>
    <n v="4.49"/>
    <n v="1171.8900000000001"/>
    <n v="1.9"/>
    <n v="495.9"/>
    <n v="675.99000000000012"/>
    <n v="0.57683741648106912"/>
    <x v="0"/>
    <n v="0"/>
  </r>
  <r>
    <s v="TX0239"/>
    <x v="238"/>
    <x v="0"/>
    <x v="0"/>
    <x v="3"/>
    <s v="Brand A"/>
    <s v="HC003"/>
    <x v="17"/>
    <n v="904"/>
    <n v="5.49"/>
    <x v="1"/>
    <n v="0.1"/>
    <n v="4.9410000000000007"/>
    <n v="4466.6640000000007"/>
    <n v="2.2000000000000002"/>
    <n v="1988.8000000000002"/>
    <n v="2477.8640000000005"/>
    <n v="0.55474600283343456"/>
    <x v="3"/>
    <n v="496.29600000000005"/>
  </r>
  <r>
    <s v="TX0240"/>
    <x v="239"/>
    <x v="1"/>
    <x v="0"/>
    <x v="0"/>
    <s v="Brand C"/>
    <s v="LA002"/>
    <x v="0"/>
    <n v="323"/>
    <n v="11.99"/>
    <x v="0"/>
    <n v="0"/>
    <n v="11.99"/>
    <n v="3872.77"/>
    <n v="5.2"/>
    <n v="1679.6000000000001"/>
    <n v="2193.17"/>
    <n v="0.56630525437864887"/>
    <x v="0"/>
    <n v="0"/>
  </r>
  <r>
    <s v="TX0241"/>
    <x v="240"/>
    <x v="2"/>
    <x v="1"/>
    <x v="0"/>
    <s v="Brand A"/>
    <s v="LA005"/>
    <x v="21"/>
    <n v="652"/>
    <n v="9.49"/>
    <x v="1"/>
    <n v="0.3"/>
    <n v="6.6429999999999998"/>
    <n v="4331.2359999999999"/>
    <n v="4"/>
    <n v="2608"/>
    <n v="1723.2359999999999"/>
    <n v="0.39786241156104168"/>
    <x v="1"/>
    <n v="1856.2439999999999"/>
  </r>
  <r>
    <s v="TX0242"/>
    <x v="241"/>
    <x v="0"/>
    <x v="1"/>
    <x v="2"/>
    <s v="Brand A"/>
    <s v="SC004"/>
    <x v="4"/>
    <n v="566"/>
    <n v="8.49"/>
    <x v="0"/>
    <n v="0"/>
    <n v="8.49"/>
    <n v="4805.34"/>
    <n v="3.5"/>
    <n v="1981"/>
    <n v="2824.34"/>
    <n v="0.58775029446407534"/>
    <x v="0"/>
    <n v="0"/>
  </r>
  <r>
    <s v="TX0243"/>
    <x v="242"/>
    <x v="2"/>
    <x v="2"/>
    <x v="3"/>
    <s v="Brand A"/>
    <s v="HC002"/>
    <x v="22"/>
    <n v="740"/>
    <n v="8.99"/>
    <x v="0"/>
    <n v="0"/>
    <n v="8.99"/>
    <n v="6652.6"/>
    <n v="3.6"/>
    <n v="2664"/>
    <n v="3988.6000000000004"/>
    <n v="0.59955506117908786"/>
    <x v="0"/>
    <n v="0"/>
  </r>
  <r>
    <s v="TX0244"/>
    <x v="243"/>
    <x v="1"/>
    <x v="0"/>
    <x v="1"/>
    <s v="Brand C"/>
    <s v="OR007"/>
    <x v="18"/>
    <n v="755"/>
    <n v="3.29"/>
    <x v="1"/>
    <n v="0.3"/>
    <n v="2.3029999999999999"/>
    <n v="1738.7649999999999"/>
    <n v="1.1000000000000001"/>
    <n v="830.50000000000011"/>
    <n v="908.26499999999976"/>
    <n v="0.52236213634389916"/>
    <x v="2"/>
    <n v="745.18499999999995"/>
  </r>
  <r>
    <s v="TX0245"/>
    <x v="244"/>
    <x v="0"/>
    <x v="1"/>
    <x v="1"/>
    <s v="Brand A"/>
    <s v="OR006"/>
    <x v="24"/>
    <n v="671"/>
    <n v="12.99"/>
    <x v="0"/>
    <n v="0"/>
    <n v="12.99"/>
    <n v="8716.2900000000009"/>
    <n v="5.2"/>
    <n v="3489.2000000000003"/>
    <n v="5227.09"/>
    <n v="0.59969207082371045"/>
    <x v="0"/>
    <n v="0"/>
  </r>
  <r>
    <s v="TX0246"/>
    <x v="245"/>
    <x v="1"/>
    <x v="0"/>
    <x v="0"/>
    <s v="Brand C"/>
    <s v="LA002"/>
    <x v="0"/>
    <n v="307"/>
    <n v="11.99"/>
    <x v="0"/>
    <n v="0"/>
    <n v="11.99"/>
    <n v="3680.9300000000003"/>
    <n v="5.2"/>
    <n v="1596.4"/>
    <n v="2084.5300000000002"/>
    <n v="0.56630525437864887"/>
    <x v="0"/>
    <n v="0"/>
  </r>
  <r>
    <s v="TX0247"/>
    <x v="246"/>
    <x v="2"/>
    <x v="1"/>
    <x v="3"/>
    <s v="Brand C"/>
    <s v="HC007"/>
    <x v="23"/>
    <n v="324"/>
    <n v="7.49"/>
    <x v="0"/>
    <n v="0"/>
    <n v="7.49"/>
    <n v="2426.7600000000002"/>
    <n v="3.1"/>
    <n v="1004.4"/>
    <n v="1422.3600000000001"/>
    <n v="0.58611481975967961"/>
    <x v="0"/>
    <n v="0"/>
  </r>
  <r>
    <s v="TX0248"/>
    <x v="247"/>
    <x v="1"/>
    <x v="1"/>
    <x v="3"/>
    <s v="Brand C"/>
    <s v="HC006"/>
    <x v="13"/>
    <n v="393"/>
    <n v="6.49"/>
    <x v="0"/>
    <n v="0"/>
    <n v="6.49"/>
    <n v="2550.5700000000002"/>
    <n v="2.8"/>
    <n v="1100.3999999999999"/>
    <n v="1450.1700000000003"/>
    <n v="0.5685670261941449"/>
    <x v="0"/>
    <n v="0"/>
  </r>
  <r>
    <s v="TX0249"/>
    <x v="248"/>
    <x v="0"/>
    <x v="1"/>
    <x v="2"/>
    <s v="Brand B"/>
    <s v="SC003"/>
    <x v="26"/>
    <n v="919"/>
    <n v="4.49"/>
    <x v="1"/>
    <n v="0.3"/>
    <n v="3.1429999999999998"/>
    <n v="2888.4169999999999"/>
    <n v="1.9"/>
    <n v="1746.1"/>
    <n v="1142.317"/>
    <n v="0.39548202354438439"/>
    <x v="2"/>
    <n v="1237.893"/>
  </r>
  <r>
    <s v="TX0250"/>
    <x v="249"/>
    <x v="0"/>
    <x v="2"/>
    <x v="2"/>
    <s v="Brand A"/>
    <s v="SC001"/>
    <x v="6"/>
    <n v="403"/>
    <n v="7.99"/>
    <x v="0"/>
    <n v="0"/>
    <n v="7.99"/>
    <n v="3219.9700000000003"/>
    <n v="3.1"/>
    <n v="1249.3"/>
    <n v="1970.6700000000003"/>
    <n v="0.61201501877346687"/>
    <x v="0"/>
    <n v="0"/>
  </r>
  <r>
    <s v="TX0251"/>
    <x v="250"/>
    <x v="2"/>
    <x v="1"/>
    <x v="0"/>
    <s v="Brand C"/>
    <s v="LA008"/>
    <x v="9"/>
    <n v="285"/>
    <n v="5.49"/>
    <x v="0"/>
    <n v="0"/>
    <n v="5.49"/>
    <n v="1564.65"/>
    <n v="2.4"/>
    <n v="684"/>
    <n v="880.65000000000009"/>
    <n v="0.56284153005464488"/>
    <x v="0"/>
    <n v="0"/>
  </r>
  <r>
    <s v="TX0252"/>
    <x v="251"/>
    <x v="1"/>
    <x v="1"/>
    <x v="2"/>
    <s v="Brand C"/>
    <s v="SC007"/>
    <x v="5"/>
    <n v="729"/>
    <n v="5.49"/>
    <x v="0"/>
    <n v="0"/>
    <n v="5.49"/>
    <n v="4002.21"/>
    <n v="2.2999999999999998"/>
    <n v="1676.6999999999998"/>
    <n v="2325.5100000000002"/>
    <n v="0.58105646630236796"/>
    <x v="0"/>
    <n v="0"/>
  </r>
  <r>
    <s v="TX0253"/>
    <x v="252"/>
    <x v="0"/>
    <x v="1"/>
    <x v="1"/>
    <s v="Brand A"/>
    <s v="OR006"/>
    <x v="24"/>
    <n v="440"/>
    <n v="12.99"/>
    <x v="1"/>
    <n v="0.2"/>
    <n v="10.392000000000001"/>
    <n v="4572.4800000000005"/>
    <n v="5.2"/>
    <n v="2288"/>
    <n v="2284.4800000000005"/>
    <n v="0.49961508852963826"/>
    <x v="2"/>
    <n v="1143.1200000000001"/>
  </r>
  <r>
    <s v="TX0254"/>
    <x v="253"/>
    <x v="0"/>
    <x v="0"/>
    <x v="3"/>
    <s v="Brand B"/>
    <s v="HC004"/>
    <x v="7"/>
    <n v="1068"/>
    <n v="4.99"/>
    <x v="1"/>
    <n v="0.2"/>
    <n v="3.9920000000000004"/>
    <n v="4263.4560000000001"/>
    <n v="2.1"/>
    <n v="2242.8000000000002"/>
    <n v="2020.6559999999999"/>
    <n v="0.47394789579158314"/>
    <x v="3"/>
    <n v="1065.864"/>
  </r>
  <r>
    <s v="TX0255"/>
    <x v="254"/>
    <x v="0"/>
    <x v="2"/>
    <x v="0"/>
    <s v="Brand C"/>
    <s v="LA002"/>
    <x v="0"/>
    <n v="782"/>
    <n v="11.99"/>
    <x v="0"/>
    <n v="0"/>
    <n v="11.99"/>
    <n v="9376.18"/>
    <n v="5.2"/>
    <n v="4066.4"/>
    <n v="5309.7800000000007"/>
    <n v="0.56630525437864898"/>
    <x v="0"/>
    <n v="0"/>
  </r>
  <r>
    <s v="TX0256"/>
    <x v="255"/>
    <x v="2"/>
    <x v="2"/>
    <x v="0"/>
    <s v="Brand B"/>
    <s v="LA004"/>
    <x v="12"/>
    <n v="329"/>
    <n v="5.99"/>
    <x v="0"/>
    <n v="0"/>
    <n v="5.99"/>
    <n v="1970.71"/>
    <n v="2.5"/>
    <n v="822.5"/>
    <n v="1148.21"/>
    <n v="0.58263772954924875"/>
    <x v="0"/>
    <n v="0"/>
  </r>
  <r>
    <s v="TX0257"/>
    <x v="256"/>
    <x v="0"/>
    <x v="2"/>
    <x v="3"/>
    <s v="Brand B"/>
    <s v="HC005"/>
    <x v="17"/>
    <n v="598"/>
    <n v="4.79"/>
    <x v="0"/>
    <n v="0"/>
    <n v="4.79"/>
    <n v="2864.42"/>
    <n v="2"/>
    <n v="1196"/>
    <n v="1668.42"/>
    <n v="0.58246346555323592"/>
    <x v="0"/>
    <n v="0"/>
  </r>
  <r>
    <s v="TX0258"/>
    <x v="257"/>
    <x v="1"/>
    <x v="1"/>
    <x v="3"/>
    <s v="Brand A"/>
    <s v="HC001"/>
    <x v="7"/>
    <n v="755"/>
    <n v="5.99"/>
    <x v="0"/>
    <n v="0"/>
    <n v="5.99"/>
    <n v="4522.45"/>
    <n v="2.4"/>
    <n v="1812"/>
    <n v="2710.45"/>
    <n v="0.59933222036727873"/>
    <x v="0"/>
    <n v="0"/>
  </r>
  <r>
    <s v="TX0259"/>
    <x v="258"/>
    <x v="0"/>
    <x v="2"/>
    <x v="0"/>
    <s v="Brand C"/>
    <s v="LA008"/>
    <x v="9"/>
    <n v="376"/>
    <n v="5.49"/>
    <x v="0"/>
    <n v="0"/>
    <n v="5.49"/>
    <n v="2064.2400000000002"/>
    <n v="2.4"/>
    <n v="902.4"/>
    <n v="1161.8400000000001"/>
    <n v="0.56284153005464477"/>
    <x v="0"/>
    <n v="0"/>
  </r>
  <r>
    <s v="TX0260"/>
    <x v="259"/>
    <x v="1"/>
    <x v="2"/>
    <x v="1"/>
    <s v="Brand A"/>
    <s v="OR005"/>
    <x v="10"/>
    <n v="249"/>
    <n v="3.99"/>
    <x v="0"/>
    <n v="0"/>
    <n v="3.99"/>
    <n v="993.5100000000001"/>
    <n v="1.5"/>
    <n v="373.5"/>
    <n v="620.0100000000001"/>
    <n v="0.62406015037593987"/>
    <x v="0"/>
    <n v="0"/>
  </r>
  <r>
    <s v="TX0261"/>
    <x v="260"/>
    <x v="2"/>
    <x v="1"/>
    <x v="1"/>
    <s v="Brand C"/>
    <s v="OR003"/>
    <x v="14"/>
    <n v="598"/>
    <n v="4.49"/>
    <x v="1"/>
    <n v="0.3"/>
    <n v="3.1429999999999998"/>
    <n v="1879.5139999999999"/>
    <n v="1.7"/>
    <n v="1016.6"/>
    <n v="862.91399999999987"/>
    <n v="0.45911549475023861"/>
    <x v="3"/>
    <n v="805.50599999999997"/>
  </r>
  <r>
    <s v="TX0262"/>
    <x v="261"/>
    <x v="2"/>
    <x v="0"/>
    <x v="0"/>
    <s v="Brand B"/>
    <s v="LA004"/>
    <x v="12"/>
    <n v="559"/>
    <n v="5.99"/>
    <x v="0"/>
    <n v="0"/>
    <n v="5.99"/>
    <n v="3348.4100000000003"/>
    <n v="2.5"/>
    <n v="1397.5"/>
    <n v="1950.9100000000003"/>
    <n v="0.58263772954924875"/>
    <x v="0"/>
    <n v="0"/>
  </r>
  <r>
    <s v="TX0263"/>
    <x v="262"/>
    <x v="2"/>
    <x v="1"/>
    <x v="1"/>
    <s v="Brand B"/>
    <s v="OR004"/>
    <x v="3"/>
    <n v="1173"/>
    <n v="5.99"/>
    <x v="1"/>
    <n v="0.3"/>
    <n v="4.1929999999999996"/>
    <n v="4918.3889999999992"/>
    <n v="2.4"/>
    <n v="2815.2"/>
    <n v="2103.1889999999994"/>
    <n v="0.42761745766754111"/>
    <x v="1"/>
    <n v="2107.8809999999999"/>
  </r>
  <r>
    <s v="TX0264"/>
    <x v="263"/>
    <x v="2"/>
    <x v="0"/>
    <x v="2"/>
    <s v="Brand B"/>
    <s v="SC006"/>
    <x v="15"/>
    <n v="714"/>
    <n v="4.99"/>
    <x v="0"/>
    <n v="0"/>
    <n v="4.99"/>
    <n v="3562.86"/>
    <n v="2.1"/>
    <n v="1499.4"/>
    <n v="2063.46"/>
    <n v="0.57915831663326656"/>
    <x v="0"/>
    <n v="0"/>
  </r>
  <r>
    <s v="TX0265"/>
    <x v="264"/>
    <x v="2"/>
    <x v="2"/>
    <x v="2"/>
    <s v="Brand B"/>
    <s v="SC006"/>
    <x v="15"/>
    <n v="594"/>
    <n v="4.99"/>
    <x v="0"/>
    <n v="0"/>
    <n v="4.99"/>
    <n v="2964.06"/>
    <n v="2.1"/>
    <n v="1247.4000000000001"/>
    <n v="1716.6599999999999"/>
    <n v="0.57915831663326645"/>
    <x v="0"/>
    <n v="0"/>
  </r>
  <r>
    <s v="TX0266"/>
    <x v="265"/>
    <x v="2"/>
    <x v="0"/>
    <x v="3"/>
    <s v="Brand A"/>
    <s v="HC001"/>
    <x v="7"/>
    <n v="533"/>
    <n v="5.99"/>
    <x v="0"/>
    <n v="0"/>
    <n v="5.99"/>
    <n v="3192.67"/>
    <n v="2.4"/>
    <n v="1279.2"/>
    <n v="1913.47"/>
    <n v="0.59933222036727885"/>
    <x v="0"/>
    <n v="0"/>
  </r>
  <r>
    <s v="TX0267"/>
    <x v="266"/>
    <x v="2"/>
    <x v="0"/>
    <x v="0"/>
    <s v="Brand A"/>
    <s v="LA003"/>
    <x v="9"/>
    <n v="580"/>
    <n v="6.99"/>
    <x v="1"/>
    <n v="0.1"/>
    <n v="6.2910000000000004"/>
    <n v="3648.78"/>
    <n v="2.9"/>
    <n v="1682"/>
    <n v="1966.7800000000002"/>
    <n v="0.53902400254331584"/>
    <x v="3"/>
    <n v="405.42"/>
  </r>
  <r>
    <s v="TX0268"/>
    <x v="267"/>
    <x v="0"/>
    <x v="2"/>
    <x v="3"/>
    <s v="Brand B"/>
    <s v="HC004"/>
    <x v="7"/>
    <n v="231"/>
    <n v="4.99"/>
    <x v="0"/>
    <n v="0"/>
    <n v="4.99"/>
    <n v="1152.69"/>
    <n v="2.1"/>
    <n v="485.1"/>
    <n v="667.59"/>
    <n v="0.57915831663326656"/>
    <x v="0"/>
    <n v="0"/>
  </r>
  <r>
    <s v="TX0269"/>
    <x v="268"/>
    <x v="1"/>
    <x v="2"/>
    <x v="0"/>
    <s v="Brand A"/>
    <s v="LA005"/>
    <x v="21"/>
    <n v="569"/>
    <n v="9.49"/>
    <x v="0"/>
    <n v="0"/>
    <n v="9.49"/>
    <n v="5399.81"/>
    <n v="4"/>
    <n v="2276"/>
    <n v="3123.8100000000004"/>
    <n v="0.57850368809272923"/>
    <x v="0"/>
    <n v="0"/>
  </r>
  <r>
    <s v="TX0270"/>
    <x v="269"/>
    <x v="1"/>
    <x v="1"/>
    <x v="3"/>
    <s v="Brand C"/>
    <s v="HC006"/>
    <x v="13"/>
    <n v="443"/>
    <n v="6.49"/>
    <x v="0"/>
    <n v="0"/>
    <n v="6.49"/>
    <n v="2875.07"/>
    <n v="2.8"/>
    <n v="1240.3999999999999"/>
    <n v="1634.6700000000003"/>
    <n v="0.5685670261941449"/>
    <x v="0"/>
    <n v="0"/>
  </r>
  <r>
    <s v="TX0271"/>
    <x v="270"/>
    <x v="1"/>
    <x v="1"/>
    <x v="1"/>
    <s v="Brand C"/>
    <s v="OR003"/>
    <x v="14"/>
    <n v="1040"/>
    <n v="4.49"/>
    <x v="1"/>
    <n v="0.1"/>
    <n v="4.0410000000000004"/>
    <n v="4202.6400000000003"/>
    <n v="1.7"/>
    <n v="1768"/>
    <n v="2434.6400000000003"/>
    <n v="0.57931205147240783"/>
    <x v="2"/>
    <n v="466.96000000000009"/>
  </r>
  <r>
    <s v="TX0272"/>
    <x v="271"/>
    <x v="0"/>
    <x v="2"/>
    <x v="0"/>
    <s v="Brand B"/>
    <s v="LA004"/>
    <x v="12"/>
    <n v="331"/>
    <n v="5.99"/>
    <x v="0"/>
    <n v="0"/>
    <n v="5.99"/>
    <n v="1982.69"/>
    <n v="2.5"/>
    <n v="827.5"/>
    <n v="1155.19"/>
    <n v="0.58263772954924875"/>
    <x v="0"/>
    <n v="0"/>
  </r>
  <r>
    <s v="TX0273"/>
    <x v="272"/>
    <x v="1"/>
    <x v="1"/>
    <x v="3"/>
    <s v="Brand C"/>
    <s v="HC006"/>
    <x v="13"/>
    <n v="293"/>
    <n v="6.49"/>
    <x v="0"/>
    <n v="0"/>
    <n v="6.49"/>
    <n v="1901.5700000000002"/>
    <n v="2.8"/>
    <n v="820.4"/>
    <n v="1081.17"/>
    <n v="0.56856702619414479"/>
    <x v="0"/>
    <n v="0"/>
  </r>
  <r>
    <s v="TX0274"/>
    <x v="273"/>
    <x v="1"/>
    <x v="0"/>
    <x v="1"/>
    <s v="Brand A"/>
    <s v="OR002"/>
    <x v="11"/>
    <n v="890"/>
    <n v="4.99"/>
    <x v="1"/>
    <n v="0.1"/>
    <n v="4.4910000000000005"/>
    <n v="3996.9900000000007"/>
    <n v="1.8"/>
    <n v="1602"/>
    <n v="2394.9900000000007"/>
    <n v="0.59919839679358722"/>
    <x v="1"/>
    <n v="444.11000000000007"/>
  </r>
  <r>
    <s v="TX0275"/>
    <x v="274"/>
    <x v="1"/>
    <x v="1"/>
    <x v="0"/>
    <s v="Brand C"/>
    <s v="LA006"/>
    <x v="2"/>
    <n v="362"/>
    <n v="8.99"/>
    <x v="0"/>
    <n v="0"/>
    <n v="8.99"/>
    <n v="3254.38"/>
    <n v="4"/>
    <n v="1448"/>
    <n v="1806.38"/>
    <n v="0.55506117908787544"/>
    <x v="0"/>
    <n v="0"/>
  </r>
  <r>
    <s v="TX0276"/>
    <x v="275"/>
    <x v="0"/>
    <x v="0"/>
    <x v="1"/>
    <s v="Brand A"/>
    <s v="OR005"/>
    <x v="10"/>
    <n v="503"/>
    <n v="3.99"/>
    <x v="0"/>
    <n v="0"/>
    <n v="3.99"/>
    <n v="2006.97"/>
    <n v="1.5"/>
    <n v="754.5"/>
    <n v="1252.47"/>
    <n v="0.62406015037593987"/>
    <x v="0"/>
    <n v="0"/>
  </r>
  <r>
    <s v="TX0277"/>
    <x v="276"/>
    <x v="0"/>
    <x v="1"/>
    <x v="3"/>
    <s v="Brand C"/>
    <s v="HC007"/>
    <x v="23"/>
    <n v="464"/>
    <n v="7.49"/>
    <x v="0"/>
    <n v="0"/>
    <n v="7.49"/>
    <n v="3475.36"/>
    <n v="3.1"/>
    <n v="1438.4"/>
    <n v="2036.96"/>
    <n v="0.58611481975967961"/>
    <x v="0"/>
    <n v="0"/>
  </r>
  <r>
    <s v="TX0278"/>
    <x v="277"/>
    <x v="1"/>
    <x v="0"/>
    <x v="0"/>
    <s v="Brand C"/>
    <s v="LA008"/>
    <x v="9"/>
    <n v="785"/>
    <n v="5.49"/>
    <x v="0"/>
    <n v="0"/>
    <n v="5.49"/>
    <n v="4309.6500000000005"/>
    <n v="2.4"/>
    <n v="1884"/>
    <n v="2425.6500000000005"/>
    <n v="0.56284153005464488"/>
    <x v="0"/>
    <n v="0"/>
  </r>
  <r>
    <s v="TX0279"/>
    <x v="278"/>
    <x v="0"/>
    <x v="1"/>
    <x v="0"/>
    <s v="Brand C"/>
    <s v="LA006"/>
    <x v="2"/>
    <n v="773"/>
    <n v="8.99"/>
    <x v="0"/>
    <n v="0"/>
    <n v="8.99"/>
    <n v="6949.27"/>
    <n v="4"/>
    <n v="3092"/>
    <n v="3857.2700000000004"/>
    <n v="0.55506117908787544"/>
    <x v="0"/>
    <n v="0"/>
  </r>
  <r>
    <s v="TX0280"/>
    <x v="279"/>
    <x v="2"/>
    <x v="2"/>
    <x v="3"/>
    <s v="Brand C"/>
    <s v="HC006"/>
    <x v="13"/>
    <n v="747"/>
    <n v="6.49"/>
    <x v="1"/>
    <n v="0.1"/>
    <n v="5.8410000000000002"/>
    <n v="4363.2269999999999"/>
    <n v="2.8"/>
    <n v="2091.6"/>
    <n v="2271.627"/>
    <n v="0.52063002910460543"/>
    <x v="3"/>
    <n v="484.803"/>
  </r>
  <r>
    <s v="TX0281"/>
    <x v="280"/>
    <x v="2"/>
    <x v="0"/>
    <x v="2"/>
    <s v="Brand C"/>
    <s v="SC007"/>
    <x v="5"/>
    <n v="207"/>
    <n v="5.49"/>
    <x v="0"/>
    <n v="0"/>
    <n v="5.49"/>
    <n v="1136.43"/>
    <n v="2.2999999999999998"/>
    <n v="476.09999999999997"/>
    <n v="660.33000000000015"/>
    <n v="0.58105646630236807"/>
    <x v="0"/>
    <n v="0"/>
  </r>
  <r>
    <s v="TX0282"/>
    <x v="281"/>
    <x v="1"/>
    <x v="1"/>
    <x v="1"/>
    <s v="Brand B"/>
    <s v="OR004"/>
    <x v="3"/>
    <n v="446"/>
    <n v="5.99"/>
    <x v="1"/>
    <n v="0.1"/>
    <n v="5.391"/>
    <n v="2404.386"/>
    <n v="2.4"/>
    <n v="1070.3999999999999"/>
    <n v="1333.9860000000001"/>
    <n v="0.55481357818586541"/>
    <x v="3"/>
    <n v="267.15400000000005"/>
  </r>
  <r>
    <s v="TX0283"/>
    <x v="282"/>
    <x v="1"/>
    <x v="2"/>
    <x v="1"/>
    <s v="Brand A"/>
    <s v="OR005"/>
    <x v="10"/>
    <n v="217"/>
    <n v="3.99"/>
    <x v="0"/>
    <n v="0"/>
    <n v="3.99"/>
    <n v="865.83"/>
    <n v="1.5"/>
    <n v="325.5"/>
    <n v="540.33000000000004"/>
    <n v="0.62406015037593987"/>
    <x v="0"/>
    <n v="0"/>
  </r>
  <r>
    <s v="TX0284"/>
    <x v="283"/>
    <x v="2"/>
    <x v="2"/>
    <x v="3"/>
    <s v="Brand B"/>
    <s v="HC004"/>
    <x v="7"/>
    <n v="690"/>
    <n v="4.99"/>
    <x v="0"/>
    <n v="0"/>
    <n v="4.99"/>
    <n v="3443.1000000000004"/>
    <n v="2.1"/>
    <n v="1449"/>
    <n v="1994.1000000000004"/>
    <n v="0.57915831663326656"/>
    <x v="0"/>
    <n v="0"/>
  </r>
  <r>
    <s v="TX0285"/>
    <x v="284"/>
    <x v="1"/>
    <x v="1"/>
    <x v="3"/>
    <s v="Brand C"/>
    <s v="HC007"/>
    <x v="23"/>
    <n v="480"/>
    <n v="7.49"/>
    <x v="1"/>
    <n v="0.1"/>
    <n v="6.7410000000000005"/>
    <n v="3235.6800000000003"/>
    <n v="3.1"/>
    <n v="1488"/>
    <n v="1747.6800000000003"/>
    <n v="0.54012757751075513"/>
    <x v="3"/>
    <n v="359.52000000000004"/>
  </r>
  <r>
    <s v="TX0286"/>
    <x v="285"/>
    <x v="0"/>
    <x v="1"/>
    <x v="3"/>
    <s v="Brand C"/>
    <s v="HC007"/>
    <x v="23"/>
    <n v="637"/>
    <n v="7.49"/>
    <x v="0"/>
    <n v="0"/>
    <n v="7.49"/>
    <n v="4771.13"/>
    <n v="3.1"/>
    <n v="1974.7"/>
    <n v="2796.4300000000003"/>
    <n v="0.58611481975967961"/>
    <x v="0"/>
    <n v="0"/>
  </r>
  <r>
    <s v="TX0287"/>
    <x v="286"/>
    <x v="0"/>
    <x v="0"/>
    <x v="2"/>
    <s v="Brand A"/>
    <s v="SC005"/>
    <x v="16"/>
    <n v="404"/>
    <n v="10.99"/>
    <x v="0"/>
    <n v="0"/>
    <n v="10.99"/>
    <n v="4439.96"/>
    <n v="4.5999999999999996"/>
    <n v="1858.3999999999999"/>
    <n v="2581.5600000000004"/>
    <n v="0.58143767060964524"/>
    <x v="0"/>
    <n v="0"/>
  </r>
  <r>
    <s v="TX0288"/>
    <x v="287"/>
    <x v="2"/>
    <x v="2"/>
    <x v="0"/>
    <s v="Brand A"/>
    <s v="LA005"/>
    <x v="21"/>
    <n v="284"/>
    <n v="9.49"/>
    <x v="0"/>
    <n v="0"/>
    <n v="9.49"/>
    <n v="2695.16"/>
    <n v="4"/>
    <n v="1136"/>
    <n v="1559.1599999999999"/>
    <n v="0.57850368809272912"/>
    <x v="0"/>
    <n v="0"/>
  </r>
  <r>
    <s v="TX0289"/>
    <x v="288"/>
    <x v="2"/>
    <x v="1"/>
    <x v="0"/>
    <s v="Brand C"/>
    <s v="LA006"/>
    <x v="2"/>
    <n v="708"/>
    <n v="8.99"/>
    <x v="0"/>
    <n v="0"/>
    <n v="8.99"/>
    <n v="6364.92"/>
    <n v="4"/>
    <n v="2832"/>
    <n v="3532.92"/>
    <n v="0.55506117908787544"/>
    <x v="0"/>
    <n v="0"/>
  </r>
  <r>
    <s v="TX0290"/>
    <x v="289"/>
    <x v="0"/>
    <x v="1"/>
    <x v="0"/>
    <s v="Brand B"/>
    <s v="LA004"/>
    <x v="12"/>
    <n v="421"/>
    <n v="5.99"/>
    <x v="1"/>
    <n v="0.3"/>
    <n v="4.1929999999999996"/>
    <n v="1765.2529999999999"/>
    <n v="2.5"/>
    <n v="1052.5"/>
    <n v="712.75299999999993"/>
    <n v="0.40376818507035533"/>
    <x v="2"/>
    <n v="756.53699999999992"/>
  </r>
  <r>
    <s v="TX0291"/>
    <x v="290"/>
    <x v="0"/>
    <x v="1"/>
    <x v="1"/>
    <s v="Brand C"/>
    <s v="OR003"/>
    <x v="14"/>
    <n v="547"/>
    <n v="4.49"/>
    <x v="0"/>
    <n v="0"/>
    <n v="4.49"/>
    <n v="2456.0300000000002"/>
    <n v="1.7"/>
    <n v="929.9"/>
    <n v="1526.13"/>
    <n v="0.62138084632516699"/>
    <x v="0"/>
    <n v="0"/>
  </r>
  <r>
    <s v="TX0292"/>
    <x v="291"/>
    <x v="2"/>
    <x v="2"/>
    <x v="3"/>
    <s v="Brand C"/>
    <s v="HC006"/>
    <x v="13"/>
    <n v="380"/>
    <n v="6.49"/>
    <x v="0"/>
    <n v="0"/>
    <n v="6.49"/>
    <n v="2466.2000000000003"/>
    <n v="2.8"/>
    <n v="1064"/>
    <n v="1402.2000000000003"/>
    <n v="0.5685670261941449"/>
    <x v="0"/>
    <n v="0"/>
  </r>
  <r>
    <s v="TX0293"/>
    <x v="292"/>
    <x v="0"/>
    <x v="2"/>
    <x v="1"/>
    <s v="Brand A"/>
    <s v="OR006"/>
    <x v="24"/>
    <n v="697"/>
    <n v="12.99"/>
    <x v="1"/>
    <n v="0.1"/>
    <n v="11.691000000000001"/>
    <n v="8148.6270000000004"/>
    <n v="5.2"/>
    <n v="3624.4"/>
    <n v="4524.2270000000008"/>
    <n v="0.55521341202634511"/>
    <x v="1"/>
    <n v="905.40300000000013"/>
  </r>
  <r>
    <s v="TX0294"/>
    <x v="293"/>
    <x v="0"/>
    <x v="2"/>
    <x v="1"/>
    <s v="Brand C"/>
    <s v="OR003"/>
    <x v="14"/>
    <n v="822"/>
    <n v="4.49"/>
    <x v="1"/>
    <n v="0.1"/>
    <n v="4.0410000000000004"/>
    <n v="3321.7020000000002"/>
    <n v="1.7"/>
    <n v="1397.3999999999999"/>
    <n v="1924.3020000000004"/>
    <n v="0.57931205147240794"/>
    <x v="3"/>
    <n v="369.07800000000003"/>
  </r>
  <r>
    <s v="TX0295"/>
    <x v="294"/>
    <x v="1"/>
    <x v="1"/>
    <x v="0"/>
    <s v="Brand B"/>
    <s v="LA004"/>
    <x v="12"/>
    <n v="688"/>
    <n v="5.99"/>
    <x v="0"/>
    <n v="0"/>
    <n v="5.99"/>
    <n v="4121.12"/>
    <n v="2.5"/>
    <n v="1720"/>
    <n v="2401.12"/>
    <n v="0.58263772954924875"/>
    <x v="0"/>
    <n v="0"/>
  </r>
  <r>
    <s v="TX0296"/>
    <x v="295"/>
    <x v="2"/>
    <x v="1"/>
    <x v="0"/>
    <s v="Brand B"/>
    <s v="LA001"/>
    <x v="1"/>
    <n v="796"/>
    <n v="8.49"/>
    <x v="0"/>
    <n v="0"/>
    <n v="8.49"/>
    <n v="6758.04"/>
    <n v="3.8"/>
    <n v="3024.7999999999997"/>
    <n v="3733.2400000000002"/>
    <n v="0.55241460541813903"/>
    <x v="0"/>
    <n v="0"/>
  </r>
  <r>
    <s v="TX0297"/>
    <x v="296"/>
    <x v="0"/>
    <x v="2"/>
    <x v="1"/>
    <s v="Brand A"/>
    <s v="OR002"/>
    <x v="11"/>
    <n v="793"/>
    <n v="4.99"/>
    <x v="0"/>
    <n v="0"/>
    <n v="4.99"/>
    <n v="3957.07"/>
    <n v="1.8"/>
    <n v="1427.4"/>
    <n v="2529.67"/>
    <n v="0.63927855711422843"/>
    <x v="0"/>
    <n v="0"/>
  </r>
  <r>
    <s v="TX0298"/>
    <x v="297"/>
    <x v="2"/>
    <x v="1"/>
    <x v="1"/>
    <s v="Brand C"/>
    <s v="OR007"/>
    <x v="18"/>
    <n v="542"/>
    <n v="3.29"/>
    <x v="0"/>
    <n v="0"/>
    <n v="3.29"/>
    <n v="1783.18"/>
    <n v="1.1000000000000001"/>
    <n v="596.20000000000005"/>
    <n v="1186.98"/>
    <n v="0.66565349544072949"/>
    <x v="0"/>
    <n v="0"/>
  </r>
  <r>
    <s v="TX0299"/>
    <x v="298"/>
    <x v="0"/>
    <x v="0"/>
    <x v="3"/>
    <s v="Brand A"/>
    <s v="HC001"/>
    <x v="7"/>
    <n v="528"/>
    <n v="5.99"/>
    <x v="1"/>
    <n v="0.3"/>
    <n v="4.1929999999999996"/>
    <n v="2213.904"/>
    <n v="2.4"/>
    <n v="1267.2"/>
    <n v="946.70399999999995"/>
    <n v="0.42761745766754111"/>
    <x v="3"/>
    <n v="948.81599999999992"/>
  </r>
  <r>
    <s v="TX0300"/>
    <x v="299"/>
    <x v="1"/>
    <x v="1"/>
    <x v="2"/>
    <s v="Brand C"/>
    <s v="SC002"/>
    <x v="8"/>
    <n v="663"/>
    <n v="9.99"/>
    <x v="0"/>
    <n v="0"/>
    <n v="9.99"/>
    <n v="6623.37"/>
    <n v="4.2"/>
    <n v="2784.6"/>
    <n v="3838.77"/>
    <n v="0.57957957957957962"/>
    <x v="0"/>
    <n v="0"/>
  </r>
  <r>
    <s v="TX0301"/>
    <x v="300"/>
    <x v="2"/>
    <x v="1"/>
    <x v="2"/>
    <s v="Brand C"/>
    <s v="SC007"/>
    <x v="5"/>
    <n v="257"/>
    <n v="5.49"/>
    <x v="0"/>
    <n v="0"/>
    <n v="5.49"/>
    <n v="1410.93"/>
    <n v="2.2999999999999998"/>
    <n v="591.09999999999991"/>
    <n v="819.83000000000015"/>
    <n v="0.58105646630236807"/>
    <x v="0"/>
    <n v="0"/>
  </r>
  <r>
    <s v="TX0302"/>
    <x v="301"/>
    <x v="1"/>
    <x v="1"/>
    <x v="0"/>
    <s v="Brand B"/>
    <s v="LA001"/>
    <x v="1"/>
    <n v="350"/>
    <n v="8.49"/>
    <x v="0"/>
    <n v="0"/>
    <n v="8.49"/>
    <n v="2971.5"/>
    <n v="3.8"/>
    <n v="1330"/>
    <n v="1641.5"/>
    <n v="0.55241460541813903"/>
    <x v="0"/>
    <n v="0"/>
  </r>
  <r>
    <s v="TX0303"/>
    <x v="302"/>
    <x v="2"/>
    <x v="0"/>
    <x v="0"/>
    <s v="Brand A"/>
    <s v="LA003"/>
    <x v="9"/>
    <n v="516"/>
    <n v="6.99"/>
    <x v="0"/>
    <n v="0"/>
    <n v="6.99"/>
    <n v="3606.84"/>
    <n v="2.9"/>
    <n v="1496.3999999999999"/>
    <n v="2110.4400000000005"/>
    <n v="0.58512160228898435"/>
    <x v="0"/>
    <n v="0"/>
  </r>
  <r>
    <s v="TX0304"/>
    <x v="303"/>
    <x v="0"/>
    <x v="1"/>
    <x v="1"/>
    <s v="Brand B"/>
    <s v="OR004"/>
    <x v="3"/>
    <n v="717"/>
    <n v="5.99"/>
    <x v="0"/>
    <n v="0"/>
    <n v="5.99"/>
    <n v="4294.83"/>
    <n v="2.4"/>
    <n v="1720.8"/>
    <n v="2574.0299999999997"/>
    <n v="0.59933222036727873"/>
    <x v="0"/>
    <n v="0"/>
  </r>
  <r>
    <s v="TX0305"/>
    <x v="304"/>
    <x v="0"/>
    <x v="2"/>
    <x v="0"/>
    <s v="Brand C"/>
    <s v="LA006"/>
    <x v="2"/>
    <n v="680"/>
    <n v="8.99"/>
    <x v="1"/>
    <n v="0.1"/>
    <n v="8.0910000000000011"/>
    <n v="5501.880000000001"/>
    <n v="4"/>
    <n v="2720"/>
    <n v="2781.880000000001"/>
    <n v="0.50562353231986168"/>
    <x v="3"/>
    <n v="611.32000000000005"/>
  </r>
  <r>
    <s v="TX0306"/>
    <x v="305"/>
    <x v="0"/>
    <x v="0"/>
    <x v="3"/>
    <s v="Brand A"/>
    <s v="HC003"/>
    <x v="17"/>
    <n v="606"/>
    <n v="5.49"/>
    <x v="0"/>
    <n v="0"/>
    <n v="5.49"/>
    <n v="3326.94"/>
    <n v="2.2000000000000002"/>
    <n v="1333.2"/>
    <n v="1993.74"/>
    <n v="0.59927140255009104"/>
    <x v="0"/>
    <n v="0"/>
  </r>
  <r>
    <s v="TX0307"/>
    <x v="306"/>
    <x v="0"/>
    <x v="2"/>
    <x v="2"/>
    <s v="Brand C"/>
    <s v="SC002"/>
    <x v="8"/>
    <n v="678"/>
    <n v="9.99"/>
    <x v="0"/>
    <n v="0"/>
    <n v="9.99"/>
    <n v="6773.22"/>
    <n v="4.2"/>
    <n v="2847.6"/>
    <n v="3925.6200000000003"/>
    <n v="0.57957957957957962"/>
    <x v="0"/>
    <n v="0"/>
  </r>
  <r>
    <s v="TX0308"/>
    <x v="307"/>
    <x v="1"/>
    <x v="2"/>
    <x v="2"/>
    <s v="Brand A"/>
    <s v="SC004"/>
    <x v="4"/>
    <n v="761"/>
    <n v="8.49"/>
    <x v="0"/>
    <n v="0"/>
    <n v="8.49"/>
    <n v="6460.89"/>
    <n v="3.5"/>
    <n v="2663.5"/>
    <n v="3797.3900000000003"/>
    <n v="0.58775029446407545"/>
    <x v="0"/>
    <n v="0"/>
  </r>
  <r>
    <s v="TX0309"/>
    <x v="308"/>
    <x v="2"/>
    <x v="0"/>
    <x v="3"/>
    <s v="Brand B"/>
    <s v="HC005"/>
    <x v="17"/>
    <n v="690"/>
    <n v="4.79"/>
    <x v="0"/>
    <n v="0"/>
    <n v="4.79"/>
    <n v="3305.1"/>
    <n v="2"/>
    <n v="1380"/>
    <n v="1925.1"/>
    <n v="0.58246346555323592"/>
    <x v="0"/>
    <n v="0"/>
  </r>
  <r>
    <s v="TX0310"/>
    <x v="309"/>
    <x v="2"/>
    <x v="0"/>
    <x v="2"/>
    <s v="Brand A"/>
    <s v="SC001"/>
    <x v="6"/>
    <n v="451"/>
    <n v="7.99"/>
    <x v="0"/>
    <n v="0"/>
    <n v="7.99"/>
    <n v="3603.4900000000002"/>
    <n v="3.1"/>
    <n v="1398.1000000000001"/>
    <n v="2205.3900000000003"/>
    <n v="0.61201501877346687"/>
    <x v="0"/>
    <n v="0"/>
  </r>
  <r>
    <s v="TX0311"/>
    <x v="310"/>
    <x v="0"/>
    <x v="0"/>
    <x v="2"/>
    <s v="Brand A"/>
    <s v="SC004"/>
    <x v="4"/>
    <n v="202"/>
    <n v="8.49"/>
    <x v="0"/>
    <n v="0"/>
    <n v="8.49"/>
    <n v="1714.98"/>
    <n v="3.5"/>
    <n v="707"/>
    <n v="1007.98"/>
    <n v="0.58775029446407534"/>
    <x v="0"/>
    <n v="0"/>
  </r>
  <r>
    <s v="TX0312"/>
    <x v="311"/>
    <x v="1"/>
    <x v="2"/>
    <x v="2"/>
    <s v="Brand C"/>
    <s v="SC002"/>
    <x v="8"/>
    <n v="775"/>
    <n v="9.99"/>
    <x v="1"/>
    <n v="0.2"/>
    <n v="7.9920000000000009"/>
    <n v="6193.8000000000011"/>
    <n v="4.2"/>
    <n v="3255"/>
    <n v="2938.8000000000011"/>
    <n v="0.47447447447447455"/>
    <x v="2"/>
    <n v="1548.4500000000003"/>
  </r>
  <r>
    <s v="TX0313"/>
    <x v="312"/>
    <x v="2"/>
    <x v="1"/>
    <x v="1"/>
    <s v="Brand C"/>
    <s v="OR003"/>
    <x v="14"/>
    <n v="217"/>
    <n v="4.49"/>
    <x v="0"/>
    <n v="0"/>
    <n v="4.49"/>
    <n v="974.33"/>
    <n v="1.7"/>
    <n v="368.9"/>
    <n v="605.43000000000006"/>
    <n v="0.6213808463251671"/>
    <x v="0"/>
    <n v="0"/>
  </r>
  <r>
    <s v="TX0314"/>
    <x v="313"/>
    <x v="1"/>
    <x v="0"/>
    <x v="2"/>
    <s v="Brand B"/>
    <s v="SC003"/>
    <x v="26"/>
    <n v="596"/>
    <n v="4.49"/>
    <x v="0"/>
    <n v="0"/>
    <n v="4.49"/>
    <n v="2676.04"/>
    <n v="1.9"/>
    <n v="1132.3999999999999"/>
    <n v="1543.64"/>
    <n v="0.57683741648106912"/>
    <x v="0"/>
    <n v="0"/>
  </r>
  <r>
    <s v="TX0315"/>
    <x v="314"/>
    <x v="2"/>
    <x v="0"/>
    <x v="0"/>
    <s v="Brand B"/>
    <s v="LA007"/>
    <x v="25"/>
    <n v="688"/>
    <n v="10.49"/>
    <x v="0"/>
    <n v="0"/>
    <n v="10.49"/>
    <n v="7217.12"/>
    <n v="4.5999999999999996"/>
    <n v="3164.7999999999997"/>
    <n v="4052.32"/>
    <n v="0.56148713060057198"/>
    <x v="0"/>
    <n v="0"/>
  </r>
  <r>
    <s v="TX0316"/>
    <x v="315"/>
    <x v="0"/>
    <x v="2"/>
    <x v="1"/>
    <s v="Brand B"/>
    <s v="OR004"/>
    <x v="3"/>
    <n v="746"/>
    <n v="5.99"/>
    <x v="0"/>
    <n v="0"/>
    <n v="5.99"/>
    <n v="4468.54"/>
    <n v="2.4"/>
    <n v="1790.3999999999999"/>
    <n v="2678.1400000000003"/>
    <n v="0.59933222036727885"/>
    <x v="0"/>
    <n v="0"/>
  </r>
  <r>
    <s v="TX0317"/>
    <x v="316"/>
    <x v="2"/>
    <x v="2"/>
    <x v="0"/>
    <s v="Brand C"/>
    <s v="LA008"/>
    <x v="9"/>
    <n v="736"/>
    <n v="5.49"/>
    <x v="0"/>
    <n v="0"/>
    <n v="5.49"/>
    <n v="4040.6400000000003"/>
    <n v="2.4"/>
    <n v="1766.3999999999999"/>
    <n v="2274.2400000000007"/>
    <n v="0.56284153005464499"/>
    <x v="0"/>
    <n v="0"/>
  </r>
  <r>
    <s v="TX0318"/>
    <x v="317"/>
    <x v="0"/>
    <x v="2"/>
    <x v="2"/>
    <s v="Brand A"/>
    <s v="SC005"/>
    <x v="16"/>
    <n v="234"/>
    <n v="10.99"/>
    <x v="0"/>
    <n v="0"/>
    <n v="10.99"/>
    <n v="2571.66"/>
    <n v="4.5999999999999996"/>
    <n v="1076.3999999999999"/>
    <n v="1495.26"/>
    <n v="0.58143767060964513"/>
    <x v="0"/>
    <n v="0"/>
  </r>
  <r>
    <s v="TX0319"/>
    <x v="318"/>
    <x v="0"/>
    <x v="2"/>
    <x v="1"/>
    <s v="Brand C"/>
    <s v="OR007"/>
    <x v="18"/>
    <n v="586"/>
    <n v="3.29"/>
    <x v="0"/>
    <n v="0"/>
    <n v="3.29"/>
    <n v="1927.94"/>
    <n v="1.1000000000000001"/>
    <n v="644.6"/>
    <n v="1283.3400000000001"/>
    <n v="0.66565349544072949"/>
    <x v="0"/>
    <n v="0"/>
  </r>
  <r>
    <s v="TX0320"/>
    <x v="319"/>
    <x v="1"/>
    <x v="2"/>
    <x v="0"/>
    <s v="Brand A"/>
    <s v="LA005"/>
    <x v="21"/>
    <n v="651"/>
    <n v="9.49"/>
    <x v="1"/>
    <n v="0.1"/>
    <n v="8.5410000000000004"/>
    <n v="5560.1909999999998"/>
    <n v="4"/>
    <n v="2604"/>
    <n v="2956.1909999999998"/>
    <n v="0.53167076454747686"/>
    <x v="1"/>
    <n v="617.79900000000009"/>
  </r>
  <r>
    <s v="TX0321"/>
    <x v="320"/>
    <x v="2"/>
    <x v="2"/>
    <x v="2"/>
    <s v="Brand C"/>
    <s v="SC002"/>
    <x v="8"/>
    <n v="407"/>
    <n v="9.99"/>
    <x v="0"/>
    <n v="0"/>
    <n v="9.99"/>
    <n v="4065.9300000000003"/>
    <n v="4.2"/>
    <n v="1709.4"/>
    <n v="2356.5300000000002"/>
    <n v="0.57957957957957962"/>
    <x v="0"/>
    <n v="0"/>
  </r>
  <r>
    <s v="TX0322"/>
    <x v="321"/>
    <x v="1"/>
    <x v="0"/>
    <x v="0"/>
    <s v="Brand A"/>
    <s v="LA005"/>
    <x v="21"/>
    <n v="381"/>
    <n v="9.49"/>
    <x v="0"/>
    <n v="0"/>
    <n v="9.49"/>
    <n v="3615.69"/>
    <n v="4"/>
    <n v="1524"/>
    <n v="2091.69"/>
    <n v="0.57850368809272923"/>
    <x v="0"/>
    <n v="0"/>
  </r>
  <r>
    <s v="TX0323"/>
    <x v="322"/>
    <x v="1"/>
    <x v="2"/>
    <x v="3"/>
    <s v="Brand B"/>
    <s v="HC005"/>
    <x v="17"/>
    <n v="769"/>
    <n v="4.79"/>
    <x v="0"/>
    <n v="0"/>
    <n v="4.79"/>
    <n v="3683.51"/>
    <n v="2"/>
    <n v="1538"/>
    <n v="2145.5100000000002"/>
    <n v="0.58246346555323592"/>
    <x v="0"/>
    <n v="0"/>
  </r>
  <r>
    <s v="TX0324"/>
    <x v="323"/>
    <x v="2"/>
    <x v="0"/>
    <x v="1"/>
    <s v="Brand A"/>
    <s v="OR006"/>
    <x v="24"/>
    <n v="779"/>
    <n v="12.99"/>
    <x v="0"/>
    <n v="0"/>
    <n v="12.99"/>
    <n v="10119.210000000001"/>
    <n v="5.2"/>
    <n v="4050.8"/>
    <n v="6068.4100000000008"/>
    <n v="0.59969207082371057"/>
    <x v="0"/>
    <n v="0"/>
  </r>
  <r>
    <s v="TX0325"/>
    <x v="324"/>
    <x v="2"/>
    <x v="1"/>
    <x v="2"/>
    <s v="Brand A"/>
    <s v="SC001"/>
    <x v="6"/>
    <n v="1002"/>
    <n v="7.99"/>
    <x v="1"/>
    <n v="0.3"/>
    <n v="5.593"/>
    <n v="5604.1859999999997"/>
    <n v="3.1"/>
    <n v="3106.2000000000003"/>
    <n v="2497.9859999999994"/>
    <n v="0.44573574110495257"/>
    <x v="2"/>
    <n v="2401.7939999999999"/>
  </r>
  <r>
    <s v="TX0326"/>
    <x v="325"/>
    <x v="0"/>
    <x v="1"/>
    <x v="3"/>
    <s v="Brand C"/>
    <s v="HC007"/>
    <x v="23"/>
    <n v="334"/>
    <n v="7.49"/>
    <x v="0"/>
    <n v="0"/>
    <n v="7.49"/>
    <n v="2501.66"/>
    <n v="3.1"/>
    <n v="1035.4000000000001"/>
    <n v="1466.2599999999998"/>
    <n v="0.5861148197596795"/>
    <x v="0"/>
    <n v="0"/>
  </r>
  <r>
    <s v="TX0327"/>
    <x v="326"/>
    <x v="1"/>
    <x v="1"/>
    <x v="1"/>
    <s v="Brand C"/>
    <s v="OR007"/>
    <x v="18"/>
    <n v="626"/>
    <n v="3.29"/>
    <x v="1"/>
    <n v="0.2"/>
    <n v="2.6320000000000001"/>
    <n v="1647.6320000000001"/>
    <n v="1.1000000000000001"/>
    <n v="688.6"/>
    <n v="959.03200000000004"/>
    <n v="0.58206686930091189"/>
    <x v="2"/>
    <n v="411.90800000000002"/>
  </r>
  <r>
    <s v="TX0328"/>
    <x v="327"/>
    <x v="1"/>
    <x v="0"/>
    <x v="2"/>
    <s v="Brand B"/>
    <s v="SC006"/>
    <x v="15"/>
    <n v="725"/>
    <n v="4.99"/>
    <x v="0"/>
    <n v="0"/>
    <n v="4.99"/>
    <n v="3617.75"/>
    <n v="2.1"/>
    <n v="1522.5"/>
    <n v="2095.25"/>
    <n v="0.57915831663326656"/>
    <x v="0"/>
    <n v="0"/>
  </r>
  <r>
    <s v="TX0329"/>
    <x v="328"/>
    <x v="0"/>
    <x v="2"/>
    <x v="1"/>
    <s v="Brand A"/>
    <s v="OR006"/>
    <x v="24"/>
    <n v="721"/>
    <n v="12.99"/>
    <x v="0"/>
    <n v="0"/>
    <n v="12.99"/>
    <n v="9365.7900000000009"/>
    <n v="5.2"/>
    <n v="3749.2000000000003"/>
    <n v="5616.59"/>
    <n v="0.59969207082371045"/>
    <x v="0"/>
    <n v="0"/>
  </r>
  <r>
    <s v="TX0330"/>
    <x v="329"/>
    <x v="2"/>
    <x v="1"/>
    <x v="3"/>
    <s v="Brand B"/>
    <s v="HC004"/>
    <x v="7"/>
    <n v="462"/>
    <n v="4.99"/>
    <x v="0"/>
    <n v="0"/>
    <n v="4.99"/>
    <n v="2305.38"/>
    <n v="2.1"/>
    <n v="970.2"/>
    <n v="1335.18"/>
    <n v="0.57915831663326656"/>
    <x v="0"/>
    <n v="0"/>
  </r>
  <r>
    <s v="TX0331"/>
    <x v="330"/>
    <x v="2"/>
    <x v="1"/>
    <x v="2"/>
    <s v="Brand C"/>
    <s v="SC007"/>
    <x v="5"/>
    <n v="1162"/>
    <n v="5.49"/>
    <x v="1"/>
    <n v="0.3"/>
    <n v="3.843"/>
    <n v="4465.5659999999998"/>
    <n v="2.2999999999999998"/>
    <n v="2672.6"/>
    <n v="1792.9659999999999"/>
    <n v="0.40150923757481133"/>
    <x v="1"/>
    <n v="1913.8140000000001"/>
  </r>
  <r>
    <s v="TX0332"/>
    <x v="331"/>
    <x v="0"/>
    <x v="0"/>
    <x v="1"/>
    <s v="Brand B"/>
    <s v="OR004"/>
    <x v="3"/>
    <n v="264"/>
    <n v="5.99"/>
    <x v="0"/>
    <n v="0"/>
    <n v="5.99"/>
    <n v="1581.3600000000001"/>
    <n v="2.4"/>
    <n v="633.6"/>
    <n v="947.7600000000001"/>
    <n v="0.59933222036727885"/>
    <x v="0"/>
    <n v="0"/>
  </r>
  <r>
    <s v="TX0333"/>
    <x v="332"/>
    <x v="1"/>
    <x v="1"/>
    <x v="2"/>
    <s v="Brand B"/>
    <s v="SC003"/>
    <x v="26"/>
    <n v="201"/>
    <n v="4.49"/>
    <x v="0"/>
    <n v="0"/>
    <n v="4.49"/>
    <n v="902.49"/>
    <n v="1.9"/>
    <n v="381.9"/>
    <n v="520.59"/>
    <n v="0.57683741648106912"/>
    <x v="0"/>
    <n v="0"/>
  </r>
  <r>
    <s v="TX0334"/>
    <x v="333"/>
    <x v="0"/>
    <x v="2"/>
    <x v="3"/>
    <s v="Brand C"/>
    <s v="HC007"/>
    <x v="23"/>
    <n v="477"/>
    <n v="7.49"/>
    <x v="0"/>
    <n v="0"/>
    <n v="7.49"/>
    <n v="3572.73"/>
    <n v="3.1"/>
    <n v="1478.7"/>
    <n v="2094.0299999999997"/>
    <n v="0.5861148197596795"/>
    <x v="0"/>
    <n v="0"/>
  </r>
  <r>
    <s v="TX0335"/>
    <x v="334"/>
    <x v="2"/>
    <x v="1"/>
    <x v="0"/>
    <s v="Brand B"/>
    <s v="LA004"/>
    <x v="12"/>
    <n v="735"/>
    <n v="5.99"/>
    <x v="0"/>
    <n v="0"/>
    <n v="5.99"/>
    <n v="4402.6500000000005"/>
    <n v="2.5"/>
    <n v="1837.5"/>
    <n v="2565.1500000000005"/>
    <n v="0.58263772954924875"/>
    <x v="0"/>
    <n v="0"/>
  </r>
  <r>
    <s v="TX0336"/>
    <x v="335"/>
    <x v="2"/>
    <x v="2"/>
    <x v="1"/>
    <s v="Brand A"/>
    <s v="OR002"/>
    <x v="11"/>
    <n v="209"/>
    <n v="4.99"/>
    <x v="0"/>
    <n v="0"/>
    <n v="4.99"/>
    <n v="1042.9100000000001"/>
    <n v="1.8"/>
    <n v="376.2"/>
    <n v="666.71"/>
    <n v="0.63927855711422843"/>
    <x v="0"/>
    <n v="0"/>
  </r>
  <r>
    <s v="TX0337"/>
    <x v="336"/>
    <x v="1"/>
    <x v="0"/>
    <x v="0"/>
    <s v="Brand C"/>
    <s v="LA006"/>
    <x v="2"/>
    <n v="621"/>
    <n v="8.99"/>
    <x v="1"/>
    <n v="0.3"/>
    <n v="6.2930000000000001"/>
    <n v="3907.953"/>
    <n v="4"/>
    <n v="2484"/>
    <n v="1423.953"/>
    <n v="0.36437311298267916"/>
    <x v="1"/>
    <n v="1674.837"/>
  </r>
  <r>
    <s v="TX0338"/>
    <x v="337"/>
    <x v="2"/>
    <x v="1"/>
    <x v="1"/>
    <s v="Brand C"/>
    <s v="OR007"/>
    <x v="18"/>
    <n v="672"/>
    <n v="3.29"/>
    <x v="0"/>
    <n v="0"/>
    <n v="3.29"/>
    <n v="2210.88"/>
    <n v="1.1000000000000001"/>
    <n v="739.2"/>
    <n v="1471.68"/>
    <n v="0.66565349544072949"/>
    <x v="0"/>
    <n v="0"/>
  </r>
  <r>
    <s v="TX0339"/>
    <x v="338"/>
    <x v="2"/>
    <x v="0"/>
    <x v="2"/>
    <s v="Brand B"/>
    <s v="SC006"/>
    <x v="15"/>
    <n v="674"/>
    <n v="4.99"/>
    <x v="0"/>
    <n v="0"/>
    <n v="4.99"/>
    <n v="3363.26"/>
    <n v="2.1"/>
    <n v="1415.4"/>
    <n v="1947.8600000000001"/>
    <n v="0.57915831663326656"/>
    <x v="0"/>
    <n v="0"/>
  </r>
  <r>
    <s v="TX0340"/>
    <x v="339"/>
    <x v="2"/>
    <x v="1"/>
    <x v="2"/>
    <s v="Brand C"/>
    <s v="SC002"/>
    <x v="8"/>
    <n v="660"/>
    <n v="9.99"/>
    <x v="0"/>
    <n v="0"/>
    <n v="9.99"/>
    <n v="6593.4000000000005"/>
    <n v="4.2"/>
    <n v="2772"/>
    <n v="3821.4000000000005"/>
    <n v="0.57957957957957962"/>
    <x v="0"/>
    <n v="0"/>
  </r>
  <r>
    <s v="TX0341"/>
    <x v="340"/>
    <x v="2"/>
    <x v="0"/>
    <x v="0"/>
    <s v="Brand B"/>
    <s v="LA007"/>
    <x v="25"/>
    <n v="482"/>
    <n v="10.49"/>
    <x v="0"/>
    <n v="0"/>
    <n v="10.49"/>
    <n v="5056.18"/>
    <n v="4.5999999999999996"/>
    <n v="2217.1999999999998"/>
    <n v="2838.9800000000005"/>
    <n v="0.56148713060057198"/>
    <x v="0"/>
    <n v="0"/>
  </r>
  <r>
    <s v="TX0342"/>
    <x v="341"/>
    <x v="1"/>
    <x v="2"/>
    <x v="0"/>
    <s v="Brand B"/>
    <s v="LA004"/>
    <x v="12"/>
    <n v="1114"/>
    <n v="5.99"/>
    <x v="1"/>
    <n v="0.3"/>
    <n v="4.1929999999999996"/>
    <n v="4671.0019999999995"/>
    <n v="2.5"/>
    <n v="2785"/>
    <n v="1886.0019999999995"/>
    <n v="0.40376818507035528"/>
    <x v="3"/>
    <n v="2001.8579999999999"/>
  </r>
  <r>
    <s v="TX0343"/>
    <x v="342"/>
    <x v="2"/>
    <x v="2"/>
    <x v="1"/>
    <s v="Brand A"/>
    <s v="OR006"/>
    <x v="24"/>
    <n v="286"/>
    <n v="12.99"/>
    <x v="0"/>
    <n v="0"/>
    <n v="12.99"/>
    <n v="3715.14"/>
    <n v="5.2"/>
    <n v="1487.2"/>
    <n v="2227.9399999999996"/>
    <n v="0.59969207082371045"/>
    <x v="0"/>
    <n v="0"/>
  </r>
  <r>
    <s v="TX0344"/>
    <x v="343"/>
    <x v="1"/>
    <x v="2"/>
    <x v="0"/>
    <s v="Brand C"/>
    <s v="LA002"/>
    <x v="0"/>
    <n v="618"/>
    <n v="11.99"/>
    <x v="0"/>
    <n v="0"/>
    <n v="11.99"/>
    <n v="7409.82"/>
    <n v="5.2"/>
    <n v="3213.6"/>
    <n v="4196.2199999999993"/>
    <n v="0.56630525437864876"/>
    <x v="0"/>
    <n v="0"/>
  </r>
  <r>
    <s v="TX0345"/>
    <x v="344"/>
    <x v="0"/>
    <x v="1"/>
    <x v="2"/>
    <s v="Brand A"/>
    <s v="SC005"/>
    <x v="16"/>
    <n v="263"/>
    <n v="10.99"/>
    <x v="0"/>
    <n v="0"/>
    <n v="10.99"/>
    <n v="2890.37"/>
    <n v="4.5999999999999996"/>
    <n v="1209.8"/>
    <n v="1680.57"/>
    <n v="0.58143767060964513"/>
    <x v="0"/>
    <n v="0"/>
  </r>
  <r>
    <s v="TX0346"/>
    <x v="345"/>
    <x v="2"/>
    <x v="0"/>
    <x v="3"/>
    <s v="Brand C"/>
    <s v="HC007"/>
    <x v="23"/>
    <n v="715"/>
    <n v="7.49"/>
    <x v="1"/>
    <n v="0.1"/>
    <n v="6.7410000000000005"/>
    <n v="4819.8150000000005"/>
    <n v="3.1"/>
    <n v="2216.5"/>
    <n v="2603.3150000000005"/>
    <n v="0.54012757751075513"/>
    <x v="1"/>
    <n v="535.53500000000008"/>
  </r>
  <r>
    <s v="TX0347"/>
    <x v="346"/>
    <x v="1"/>
    <x v="2"/>
    <x v="1"/>
    <s v="Brand C"/>
    <s v="OR007"/>
    <x v="18"/>
    <n v="937"/>
    <n v="3.29"/>
    <x v="1"/>
    <n v="0.3"/>
    <n v="2.3029999999999999"/>
    <n v="2157.9110000000001"/>
    <n v="1.1000000000000001"/>
    <n v="1030.7"/>
    <n v="1127.211"/>
    <n v="0.52236213634389927"/>
    <x v="1"/>
    <n v="924.81899999999996"/>
  </r>
  <r>
    <s v="TX0348"/>
    <x v="347"/>
    <x v="2"/>
    <x v="2"/>
    <x v="3"/>
    <s v="Brand B"/>
    <s v="HC004"/>
    <x v="7"/>
    <n v="429"/>
    <n v="4.99"/>
    <x v="0"/>
    <n v="0"/>
    <n v="4.99"/>
    <n v="2140.71"/>
    <n v="2.1"/>
    <n v="900.90000000000009"/>
    <n v="1239.81"/>
    <n v="0.57915831663326645"/>
    <x v="0"/>
    <n v="0"/>
  </r>
  <r>
    <s v="TX0349"/>
    <x v="348"/>
    <x v="1"/>
    <x v="0"/>
    <x v="1"/>
    <s v="Brand B"/>
    <s v="OR004"/>
    <x v="3"/>
    <n v="788"/>
    <n v="5.99"/>
    <x v="0"/>
    <n v="0"/>
    <n v="5.99"/>
    <n v="4720.12"/>
    <n v="2.4"/>
    <n v="1891.1999999999998"/>
    <n v="2828.92"/>
    <n v="0.59933222036727885"/>
    <x v="0"/>
    <n v="0"/>
  </r>
  <r>
    <s v="TX0350"/>
    <x v="349"/>
    <x v="0"/>
    <x v="1"/>
    <x v="1"/>
    <s v="Brand B"/>
    <s v="OR001"/>
    <x v="19"/>
    <n v="702"/>
    <n v="3.49"/>
    <x v="0"/>
    <n v="0"/>
    <n v="3.49"/>
    <n v="2449.98"/>
    <n v="1.2"/>
    <n v="842.4"/>
    <n v="1607.58"/>
    <n v="0.65616045845272197"/>
    <x v="0"/>
    <n v="0"/>
  </r>
  <r>
    <s v="TX0351"/>
    <x v="350"/>
    <x v="0"/>
    <x v="2"/>
    <x v="2"/>
    <s v="Brand A"/>
    <s v="SC004"/>
    <x v="4"/>
    <n v="588"/>
    <n v="8.49"/>
    <x v="0"/>
    <n v="0"/>
    <n v="8.49"/>
    <n v="4992.12"/>
    <n v="3.5"/>
    <n v="2058"/>
    <n v="2934.12"/>
    <n v="0.58775029446407534"/>
    <x v="0"/>
    <n v="0"/>
  </r>
  <r>
    <s v="TX0352"/>
    <x v="351"/>
    <x v="2"/>
    <x v="0"/>
    <x v="2"/>
    <s v="Brand C"/>
    <s v="SC002"/>
    <x v="8"/>
    <n v="1078"/>
    <n v="9.99"/>
    <x v="1"/>
    <n v="0.3"/>
    <n v="6.9929999999999994"/>
    <n v="7538.4539999999997"/>
    <n v="4.2"/>
    <n v="4527.6000000000004"/>
    <n v="3010.8539999999994"/>
    <n v="0.39939939939939934"/>
    <x v="1"/>
    <n v="3230.7660000000001"/>
  </r>
  <r>
    <s v="TX0353"/>
    <x v="352"/>
    <x v="1"/>
    <x v="1"/>
    <x v="2"/>
    <s v="Brand C"/>
    <s v="SC007"/>
    <x v="5"/>
    <n v="545"/>
    <n v="5.49"/>
    <x v="1"/>
    <n v="0.3"/>
    <n v="3.843"/>
    <n v="2094.4349999999999"/>
    <n v="2.2999999999999998"/>
    <n v="1253.5"/>
    <n v="840.93499999999995"/>
    <n v="0.40150923757481133"/>
    <x v="2"/>
    <n v="897.61500000000001"/>
  </r>
  <r>
    <s v="TX0354"/>
    <x v="353"/>
    <x v="2"/>
    <x v="0"/>
    <x v="0"/>
    <s v="Brand C"/>
    <s v="LA002"/>
    <x v="0"/>
    <n v="706"/>
    <n v="11.99"/>
    <x v="1"/>
    <n v="0.2"/>
    <n v="9.5920000000000005"/>
    <n v="6771.9520000000002"/>
    <n v="5.2"/>
    <n v="3671.2000000000003"/>
    <n v="3100.752"/>
    <n v="0.45788156797331109"/>
    <x v="2"/>
    <n v="1692.9880000000001"/>
  </r>
  <r>
    <s v="TX0355"/>
    <x v="354"/>
    <x v="1"/>
    <x v="2"/>
    <x v="0"/>
    <s v="Brand A"/>
    <s v="LA003"/>
    <x v="9"/>
    <n v="486"/>
    <n v="6.99"/>
    <x v="1"/>
    <n v="0.3"/>
    <n v="4.8929999999999998"/>
    <n v="2377.998"/>
    <n v="2.9"/>
    <n v="1409.3999999999999"/>
    <n v="968.59800000000018"/>
    <n v="0.40731657469854904"/>
    <x v="3"/>
    <n v="1019.1419999999999"/>
  </r>
  <r>
    <s v="TX0356"/>
    <x v="355"/>
    <x v="2"/>
    <x v="2"/>
    <x v="0"/>
    <s v="Brand C"/>
    <s v="LA006"/>
    <x v="2"/>
    <n v="650"/>
    <n v="8.99"/>
    <x v="0"/>
    <n v="0"/>
    <n v="8.99"/>
    <n v="5843.5"/>
    <n v="4"/>
    <n v="2600"/>
    <n v="3243.5"/>
    <n v="0.55506117908787544"/>
    <x v="0"/>
    <n v="0"/>
  </r>
  <r>
    <s v="TX0357"/>
    <x v="356"/>
    <x v="1"/>
    <x v="2"/>
    <x v="1"/>
    <s v="Brand B"/>
    <s v="OR001"/>
    <x v="19"/>
    <n v="457"/>
    <n v="3.49"/>
    <x v="0"/>
    <n v="0"/>
    <n v="3.49"/>
    <n v="1594.93"/>
    <n v="1.2"/>
    <n v="548.4"/>
    <n v="1046.5300000000002"/>
    <n v="0.6561604584527222"/>
    <x v="0"/>
    <n v="0"/>
  </r>
  <r>
    <s v="TX0358"/>
    <x v="357"/>
    <x v="2"/>
    <x v="2"/>
    <x v="3"/>
    <s v="Brand A"/>
    <s v="HC001"/>
    <x v="7"/>
    <n v="498"/>
    <n v="5.99"/>
    <x v="0"/>
    <n v="0"/>
    <n v="5.99"/>
    <n v="2983.02"/>
    <n v="2.4"/>
    <n v="1195.2"/>
    <n v="1787.82"/>
    <n v="0.59933222036727873"/>
    <x v="0"/>
    <n v="0"/>
  </r>
  <r>
    <s v="TX0359"/>
    <x v="358"/>
    <x v="2"/>
    <x v="1"/>
    <x v="1"/>
    <s v="Brand A"/>
    <s v="OR005"/>
    <x v="10"/>
    <n v="787"/>
    <n v="3.99"/>
    <x v="0"/>
    <n v="0"/>
    <n v="3.99"/>
    <n v="3140.13"/>
    <n v="1.5"/>
    <n v="1180.5"/>
    <n v="1959.63"/>
    <n v="0.62406015037593987"/>
    <x v="0"/>
    <n v="0"/>
  </r>
  <r>
    <s v="TX0360"/>
    <x v="359"/>
    <x v="0"/>
    <x v="0"/>
    <x v="3"/>
    <s v="Brand B"/>
    <s v="HC005"/>
    <x v="17"/>
    <n v="511"/>
    <n v="4.79"/>
    <x v="1"/>
    <n v="0.3"/>
    <n v="3.3529999999999998"/>
    <n v="1713.3829999999998"/>
    <n v="2"/>
    <n v="1022"/>
    <n v="691.38299999999981"/>
    <n v="0.40351923650462268"/>
    <x v="3"/>
    <n v="734.30700000000002"/>
  </r>
  <r>
    <s v="TX0361"/>
    <x v="360"/>
    <x v="1"/>
    <x v="1"/>
    <x v="2"/>
    <s v="Brand C"/>
    <s v="SC007"/>
    <x v="5"/>
    <n v="787"/>
    <n v="5.49"/>
    <x v="0"/>
    <n v="0"/>
    <n v="5.49"/>
    <n v="4320.63"/>
    <n v="2.2999999999999998"/>
    <n v="1810.1"/>
    <n v="2510.5300000000002"/>
    <n v="0.58105646630236796"/>
    <x v="0"/>
    <n v="0"/>
  </r>
  <r>
    <s v="TX0362"/>
    <x v="361"/>
    <x v="1"/>
    <x v="0"/>
    <x v="1"/>
    <s v="Brand B"/>
    <s v="OR004"/>
    <x v="3"/>
    <n v="741"/>
    <n v="5.99"/>
    <x v="0"/>
    <n v="0"/>
    <n v="5.99"/>
    <n v="4438.59"/>
    <n v="2.4"/>
    <n v="1778.3999999999999"/>
    <n v="2660.1900000000005"/>
    <n v="0.59933222036727885"/>
    <x v="0"/>
    <n v="0"/>
  </r>
  <r>
    <s v="TX0363"/>
    <x v="362"/>
    <x v="1"/>
    <x v="2"/>
    <x v="2"/>
    <s v="Brand A"/>
    <s v="SC001"/>
    <x v="6"/>
    <n v="760"/>
    <n v="7.99"/>
    <x v="0"/>
    <n v="0"/>
    <n v="7.99"/>
    <n v="6072.4000000000005"/>
    <n v="3.1"/>
    <n v="2356"/>
    <n v="3716.4000000000005"/>
    <n v="0.61201501877346687"/>
    <x v="0"/>
    <n v="0"/>
  </r>
  <r>
    <s v="TX0364"/>
    <x v="363"/>
    <x v="0"/>
    <x v="2"/>
    <x v="1"/>
    <s v="Brand A"/>
    <s v="OR002"/>
    <x v="11"/>
    <n v="514"/>
    <n v="4.99"/>
    <x v="0"/>
    <n v="0"/>
    <n v="4.99"/>
    <n v="2564.86"/>
    <n v="1.8"/>
    <n v="925.2"/>
    <n v="1639.66"/>
    <n v="0.63927855711422843"/>
    <x v="0"/>
    <n v="0"/>
  </r>
  <r>
    <s v="TX0365"/>
    <x v="364"/>
    <x v="1"/>
    <x v="0"/>
    <x v="3"/>
    <s v="Brand A"/>
    <s v="HC001"/>
    <x v="7"/>
    <n v="473"/>
    <n v="5.99"/>
    <x v="0"/>
    <n v="0"/>
    <n v="5.99"/>
    <n v="2833.27"/>
    <n v="2.4"/>
    <n v="1135.2"/>
    <n v="1698.07"/>
    <n v="0.59933222036727873"/>
    <x v="0"/>
    <n v="0"/>
  </r>
  <r>
    <s v="TX0366"/>
    <x v="365"/>
    <x v="0"/>
    <x v="0"/>
    <x v="3"/>
    <s v="Brand C"/>
    <s v="HC006"/>
    <x v="13"/>
    <n v="405"/>
    <n v="6.49"/>
    <x v="0"/>
    <n v="0"/>
    <n v="6.49"/>
    <n v="2628.4500000000003"/>
    <n v="2.8"/>
    <n v="1134"/>
    <n v="1494.4500000000003"/>
    <n v="0.5685670261941449"/>
    <x v="0"/>
    <n v="0"/>
  </r>
  <r>
    <s v="TX0367"/>
    <x v="366"/>
    <x v="2"/>
    <x v="2"/>
    <x v="2"/>
    <s v="Brand A"/>
    <s v="SC005"/>
    <x v="16"/>
    <n v="530"/>
    <n v="10.99"/>
    <x v="0"/>
    <n v="0"/>
    <n v="10.99"/>
    <n v="5824.7"/>
    <n v="4.5999999999999996"/>
    <n v="2438"/>
    <n v="3386.7"/>
    <n v="0.58143767060964513"/>
    <x v="0"/>
    <n v="0"/>
  </r>
  <r>
    <s v="TX0368"/>
    <x v="367"/>
    <x v="1"/>
    <x v="2"/>
    <x v="1"/>
    <s v="Brand B"/>
    <s v="OR001"/>
    <x v="19"/>
    <n v="364"/>
    <n v="3.49"/>
    <x v="0"/>
    <n v="0"/>
    <n v="3.49"/>
    <n v="1270.3600000000001"/>
    <n v="1.2"/>
    <n v="436.8"/>
    <n v="833.56000000000017"/>
    <n v="0.65616045845272208"/>
    <x v="0"/>
    <n v="0"/>
  </r>
  <r>
    <s v="TX0369"/>
    <x v="368"/>
    <x v="1"/>
    <x v="2"/>
    <x v="1"/>
    <s v="Brand B"/>
    <s v="OR001"/>
    <x v="19"/>
    <n v="462"/>
    <n v="3.49"/>
    <x v="0"/>
    <n v="0"/>
    <n v="3.49"/>
    <n v="1612.38"/>
    <n v="1.2"/>
    <n v="554.4"/>
    <n v="1057.98"/>
    <n v="0.65616045845272208"/>
    <x v="0"/>
    <n v="0"/>
  </r>
  <r>
    <s v="TX0370"/>
    <x v="369"/>
    <x v="2"/>
    <x v="0"/>
    <x v="2"/>
    <s v="Brand A"/>
    <s v="SC004"/>
    <x v="4"/>
    <n v="402"/>
    <n v="8.49"/>
    <x v="0"/>
    <n v="0"/>
    <n v="8.49"/>
    <n v="3412.98"/>
    <n v="3.5"/>
    <n v="1407"/>
    <n v="2005.98"/>
    <n v="0.58775029446407534"/>
    <x v="0"/>
    <n v="0"/>
  </r>
  <r>
    <s v="TX0371"/>
    <x v="370"/>
    <x v="0"/>
    <x v="0"/>
    <x v="1"/>
    <s v="Brand A"/>
    <s v="OR005"/>
    <x v="10"/>
    <n v="429"/>
    <n v="3.99"/>
    <x v="1"/>
    <n v="0.1"/>
    <n v="3.5910000000000002"/>
    <n v="1540.539"/>
    <n v="1.5"/>
    <n v="643.5"/>
    <n v="897.03899999999999"/>
    <n v="0.58228905597326652"/>
    <x v="2"/>
    <n v="171.17100000000002"/>
  </r>
  <r>
    <s v="TX0372"/>
    <x v="371"/>
    <x v="0"/>
    <x v="0"/>
    <x v="0"/>
    <s v="Brand A"/>
    <s v="LA005"/>
    <x v="21"/>
    <n v="489"/>
    <n v="9.49"/>
    <x v="0"/>
    <n v="0"/>
    <n v="9.49"/>
    <n v="4640.6099999999997"/>
    <n v="4"/>
    <n v="1956"/>
    <n v="2684.6099999999997"/>
    <n v="0.57850368809272912"/>
    <x v="0"/>
    <n v="0"/>
  </r>
  <r>
    <s v="TX0373"/>
    <x v="372"/>
    <x v="0"/>
    <x v="1"/>
    <x v="0"/>
    <s v="Brand C"/>
    <s v="LA002"/>
    <x v="0"/>
    <n v="642"/>
    <n v="11.99"/>
    <x v="0"/>
    <n v="0"/>
    <n v="11.99"/>
    <n v="7697.58"/>
    <n v="5.2"/>
    <n v="3338.4"/>
    <n v="4359.18"/>
    <n v="0.56630525437864887"/>
    <x v="0"/>
    <n v="0"/>
  </r>
  <r>
    <s v="TX0374"/>
    <x v="373"/>
    <x v="0"/>
    <x v="1"/>
    <x v="0"/>
    <s v="Brand A"/>
    <s v="LA005"/>
    <x v="21"/>
    <n v="449"/>
    <n v="9.49"/>
    <x v="0"/>
    <n v="0"/>
    <n v="9.49"/>
    <n v="4261.01"/>
    <n v="4"/>
    <n v="1796"/>
    <n v="2465.0100000000002"/>
    <n v="0.57850368809272923"/>
    <x v="0"/>
    <n v="0"/>
  </r>
  <r>
    <s v="TX0375"/>
    <x v="374"/>
    <x v="2"/>
    <x v="1"/>
    <x v="2"/>
    <s v="Brand A"/>
    <s v="SC005"/>
    <x v="16"/>
    <n v="489"/>
    <n v="10.99"/>
    <x v="0"/>
    <n v="0"/>
    <n v="10.99"/>
    <n v="5374.11"/>
    <n v="4.5999999999999996"/>
    <n v="2249.3999999999996"/>
    <n v="3124.71"/>
    <n v="0.58143767060964513"/>
    <x v="0"/>
    <n v="0"/>
  </r>
  <r>
    <s v="TX0376"/>
    <x v="375"/>
    <x v="0"/>
    <x v="1"/>
    <x v="3"/>
    <s v="Brand C"/>
    <s v="HC007"/>
    <x v="23"/>
    <n v="397"/>
    <n v="7.49"/>
    <x v="0"/>
    <n v="0"/>
    <n v="7.49"/>
    <n v="2973.53"/>
    <n v="3.1"/>
    <n v="1230.7"/>
    <n v="1742.8300000000002"/>
    <n v="0.58611481975967961"/>
    <x v="0"/>
    <n v="0"/>
  </r>
  <r>
    <s v="TX0377"/>
    <x v="376"/>
    <x v="1"/>
    <x v="1"/>
    <x v="1"/>
    <s v="Brand C"/>
    <s v="OR003"/>
    <x v="14"/>
    <n v="1093"/>
    <n v="4.49"/>
    <x v="1"/>
    <n v="0.1"/>
    <n v="4.0410000000000004"/>
    <n v="4416.8130000000001"/>
    <n v="1.7"/>
    <n v="1858.1"/>
    <n v="2558.7130000000002"/>
    <n v="0.57931205147240783"/>
    <x v="2"/>
    <n v="490.75700000000006"/>
  </r>
  <r>
    <s v="TX0378"/>
    <x v="377"/>
    <x v="1"/>
    <x v="2"/>
    <x v="1"/>
    <s v="Brand A"/>
    <s v="OR005"/>
    <x v="10"/>
    <n v="236"/>
    <n v="3.99"/>
    <x v="0"/>
    <n v="0"/>
    <n v="3.99"/>
    <n v="941.6400000000001"/>
    <n v="1.5"/>
    <n v="354"/>
    <n v="587.6400000000001"/>
    <n v="0.62406015037593987"/>
    <x v="0"/>
    <n v="0"/>
  </r>
  <r>
    <s v="TX0379"/>
    <x v="378"/>
    <x v="2"/>
    <x v="2"/>
    <x v="2"/>
    <s v="Brand C"/>
    <s v="SC002"/>
    <x v="8"/>
    <n v="655"/>
    <n v="9.99"/>
    <x v="1"/>
    <n v="0.2"/>
    <n v="7.9920000000000009"/>
    <n v="5234.76"/>
    <n v="4.2"/>
    <n v="2751"/>
    <n v="2483.7600000000002"/>
    <n v="0.47447447447447449"/>
    <x v="3"/>
    <n v="1308.69"/>
  </r>
  <r>
    <s v="TX0380"/>
    <x v="379"/>
    <x v="1"/>
    <x v="1"/>
    <x v="1"/>
    <s v="Brand B"/>
    <s v="OR004"/>
    <x v="3"/>
    <n v="722"/>
    <n v="5.99"/>
    <x v="0"/>
    <n v="0"/>
    <n v="5.99"/>
    <n v="4324.78"/>
    <n v="2.4"/>
    <n v="1732.8"/>
    <n v="2591.9799999999996"/>
    <n v="0.59933222036727873"/>
    <x v="0"/>
    <n v="0"/>
  </r>
  <r>
    <s v="TX0381"/>
    <x v="380"/>
    <x v="2"/>
    <x v="2"/>
    <x v="3"/>
    <s v="Brand B"/>
    <s v="HC005"/>
    <x v="17"/>
    <n v="551"/>
    <n v="4.79"/>
    <x v="0"/>
    <n v="0"/>
    <n v="4.79"/>
    <n v="2639.29"/>
    <n v="2"/>
    <n v="1102"/>
    <n v="1537.29"/>
    <n v="0.58246346555323592"/>
    <x v="0"/>
    <n v="0"/>
  </r>
  <r>
    <s v="TX0382"/>
    <x v="381"/>
    <x v="1"/>
    <x v="0"/>
    <x v="2"/>
    <s v="Brand A"/>
    <s v="SC001"/>
    <x v="6"/>
    <n v="380"/>
    <n v="7.99"/>
    <x v="0"/>
    <n v="0"/>
    <n v="7.99"/>
    <n v="3036.2000000000003"/>
    <n v="3.1"/>
    <n v="1178"/>
    <n v="1858.2000000000003"/>
    <n v="0.61201501877346687"/>
    <x v="0"/>
    <n v="0"/>
  </r>
  <r>
    <s v="TX0383"/>
    <x v="382"/>
    <x v="2"/>
    <x v="0"/>
    <x v="3"/>
    <s v="Brand B"/>
    <s v="HC008"/>
    <x v="20"/>
    <n v="636"/>
    <n v="4.49"/>
    <x v="0"/>
    <n v="0"/>
    <n v="4.49"/>
    <n v="2855.6400000000003"/>
    <n v="1.9"/>
    <n v="1208.3999999999999"/>
    <n v="1647.2400000000005"/>
    <n v="0.57683741648106912"/>
    <x v="0"/>
    <n v="0"/>
  </r>
  <r>
    <s v="TX0384"/>
    <x v="383"/>
    <x v="2"/>
    <x v="2"/>
    <x v="0"/>
    <s v="Brand A"/>
    <s v="LA003"/>
    <x v="9"/>
    <n v="665"/>
    <n v="6.99"/>
    <x v="1"/>
    <n v="0.2"/>
    <n v="5.5920000000000005"/>
    <n v="3718.6800000000003"/>
    <n v="2.9"/>
    <n v="1928.5"/>
    <n v="1790.1800000000003"/>
    <n v="0.48140200286123036"/>
    <x v="2"/>
    <n v="929.67000000000007"/>
  </r>
  <r>
    <s v="TX0385"/>
    <x v="384"/>
    <x v="1"/>
    <x v="0"/>
    <x v="0"/>
    <s v="Brand C"/>
    <s v="LA008"/>
    <x v="9"/>
    <n v="877"/>
    <n v="5.49"/>
    <x v="1"/>
    <n v="0.1"/>
    <n v="4.9410000000000007"/>
    <n v="4333.2570000000005"/>
    <n v="2.4"/>
    <n v="2104.7999999999997"/>
    <n v="2228.4570000000008"/>
    <n v="0.5142683667273833"/>
    <x v="3"/>
    <n v="481.47300000000001"/>
  </r>
  <r>
    <s v="TX0386"/>
    <x v="385"/>
    <x v="1"/>
    <x v="1"/>
    <x v="2"/>
    <s v="Brand A"/>
    <s v="SC001"/>
    <x v="6"/>
    <n v="931"/>
    <n v="7.99"/>
    <x v="1"/>
    <n v="0.3"/>
    <n v="5.593"/>
    <n v="5207.0829999999996"/>
    <n v="3.1"/>
    <n v="2886.1"/>
    <n v="2320.9829999999997"/>
    <n v="0.44573574110495262"/>
    <x v="3"/>
    <n v="2231.607"/>
  </r>
  <r>
    <s v="TX0387"/>
    <x v="386"/>
    <x v="1"/>
    <x v="0"/>
    <x v="1"/>
    <s v="Brand B"/>
    <s v="OR004"/>
    <x v="3"/>
    <n v="303"/>
    <n v="5.99"/>
    <x v="0"/>
    <n v="0"/>
    <n v="5.99"/>
    <n v="1814.97"/>
    <n v="2.4"/>
    <n v="727.19999999999993"/>
    <n v="1087.77"/>
    <n v="0.59933222036727873"/>
    <x v="0"/>
    <n v="0"/>
  </r>
  <r>
    <s v="TX0388"/>
    <x v="387"/>
    <x v="0"/>
    <x v="0"/>
    <x v="0"/>
    <s v="Brand C"/>
    <s v="LA002"/>
    <x v="0"/>
    <n v="407"/>
    <n v="11.99"/>
    <x v="0"/>
    <n v="0"/>
    <n v="11.99"/>
    <n v="4879.93"/>
    <n v="5.2"/>
    <n v="2116.4"/>
    <n v="2763.53"/>
    <n v="0.56630525437864887"/>
    <x v="0"/>
    <n v="0"/>
  </r>
  <r>
    <s v="TX0389"/>
    <x v="388"/>
    <x v="2"/>
    <x v="1"/>
    <x v="2"/>
    <s v="Brand B"/>
    <s v="SC006"/>
    <x v="15"/>
    <n v="268"/>
    <n v="4.99"/>
    <x v="0"/>
    <n v="0"/>
    <n v="4.99"/>
    <n v="1337.3200000000002"/>
    <n v="2.1"/>
    <n v="562.80000000000007"/>
    <n v="774.5200000000001"/>
    <n v="0.57915831663326656"/>
    <x v="0"/>
    <n v="0"/>
  </r>
  <r>
    <s v="TX0390"/>
    <x v="389"/>
    <x v="1"/>
    <x v="1"/>
    <x v="1"/>
    <s v="Brand B"/>
    <s v="OR001"/>
    <x v="19"/>
    <n v="450"/>
    <n v="3.49"/>
    <x v="0"/>
    <n v="0"/>
    <n v="3.49"/>
    <n v="1570.5"/>
    <n v="1.2"/>
    <n v="540"/>
    <n v="1030.5"/>
    <n v="0.65616045845272208"/>
    <x v="0"/>
    <n v="0"/>
  </r>
  <r>
    <s v="TX0391"/>
    <x v="390"/>
    <x v="0"/>
    <x v="2"/>
    <x v="1"/>
    <s v="Brand C"/>
    <s v="OR007"/>
    <x v="18"/>
    <n v="1063"/>
    <n v="3.29"/>
    <x v="1"/>
    <n v="0.2"/>
    <n v="2.6320000000000001"/>
    <n v="2797.8160000000003"/>
    <n v="1.1000000000000001"/>
    <n v="1169.3000000000002"/>
    <n v="1628.5160000000001"/>
    <n v="0.58206686930091178"/>
    <x v="2"/>
    <n v="699.45400000000006"/>
  </r>
  <r>
    <s v="TX0392"/>
    <x v="391"/>
    <x v="2"/>
    <x v="0"/>
    <x v="0"/>
    <s v="Brand B"/>
    <s v="LA001"/>
    <x v="1"/>
    <n v="363"/>
    <n v="8.49"/>
    <x v="0"/>
    <n v="0"/>
    <n v="8.49"/>
    <n v="3081.87"/>
    <n v="3.8"/>
    <n v="1379.3999999999999"/>
    <n v="1702.47"/>
    <n v="0.55241460541813903"/>
    <x v="0"/>
    <n v="0"/>
  </r>
  <r>
    <s v="TX0393"/>
    <x v="392"/>
    <x v="0"/>
    <x v="2"/>
    <x v="3"/>
    <s v="Brand C"/>
    <s v="HC006"/>
    <x v="13"/>
    <n v="528"/>
    <n v="6.49"/>
    <x v="0"/>
    <n v="0"/>
    <n v="6.49"/>
    <n v="3426.7200000000003"/>
    <n v="2.8"/>
    <n v="1478.3999999999999"/>
    <n v="1948.3200000000004"/>
    <n v="0.5685670261941449"/>
    <x v="0"/>
    <n v="0"/>
  </r>
  <r>
    <s v="TX0394"/>
    <x v="393"/>
    <x v="0"/>
    <x v="2"/>
    <x v="0"/>
    <s v="Brand A"/>
    <s v="LA005"/>
    <x v="21"/>
    <n v="675"/>
    <n v="9.49"/>
    <x v="0"/>
    <n v="0"/>
    <n v="9.49"/>
    <n v="6405.75"/>
    <n v="4"/>
    <n v="2700"/>
    <n v="3705.75"/>
    <n v="0.57850368809272923"/>
    <x v="0"/>
    <n v="0"/>
  </r>
  <r>
    <s v="TX0395"/>
    <x v="394"/>
    <x v="1"/>
    <x v="1"/>
    <x v="0"/>
    <s v="Brand A"/>
    <s v="LA005"/>
    <x v="21"/>
    <n v="932"/>
    <n v="9.49"/>
    <x v="1"/>
    <n v="0.3"/>
    <n v="6.6429999999999998"/>
    <n v="6191.2759999999998"/>
    <n v="4"/>
    <n v="3728"/>
    <n v="2463.2759999999998"/>
    <n v="0.39786241156104168"/>
    <x v="1"/>
    <n v="2653.404"/>
  </r>
  <r>
    <s v="TX0396"/>
    <x v="395"/>
    <x v="0"/>
    <x v="2"/>
    <x v="2"/>
    <s v="Brand C"/>
    <s v="SC007"/>
    <x v="5"/>
    <n v="210"/>
    <n v="5.49"/>
    <x v="0"/>
    <n v="0"/>
    <n v="5.49"/>
    <n v="1152.9000000000001"/>
    <n v="2.2999999999999998"/>
    <n v="482.99999999999994"/>
    <n v="669.90000000000009"/>
    <n v="0.58105646630236796"/>
    <x v="0"/>
    <n v="0"/>
  </r>
  <r>
    <s v="TX0397"/>
    <x v="396"/>
    <x v="2"/>
    <x v="2"/>
    <x v="1"/>
    <s v="Brand B"/>
    <s v="OR001"/>
    <x v="19"/>
    <n v="633"/>
    <n v="3.49"/>
    <x v="0"/>
    <n v="0"/>
    <n v="3.49"/>
    <n v="2209.17"/>
    <n v="1.2"/>
    <n v="759.6"/>
    <n v="1449.5700000000002"/>
    <n v="0.65616045845272208"/>
    <x v="0"/>
    <n v="0"/>
  </r>
  <r>
    <s v="TX0398"/>
    <x v="397"/>
    <x v="2"/>
    <x v="0"/>
    <x v="0"/>
    <s v="Brand C"/>
    <s v="LA006"/>
    <x v="2"/>
    <n v="326"/>
    <n v="8.99"/>
    <x v="0"/>
    <n v="0"/>
    <n v="8.99"/>
    <n v="2930.7400000000002"/>
    <n v="4"/>
    <n v="1304"/>
    <n v="1626.7400000000002"/>
    <n v="0.55506117908787544"/>
    <x v="0"/>
    <n v="0"/>
  </r>
  <r>
    <s v="TX0399"/>
    <x v="398"/>
    <x v="0"/>
    <x v="2"/>
    <x v="2"/>
    <s v="Brand A"/>
    <s v="SC005"/>
    <x v="16"/>
    <n v="293"/>
    <n v="10.99"/>
    <x v="0"/>
    <n v="0"/>
    <n v="10.99"/>
    <n v="3220.07"/>
    <n v="4.5999999999999996"/>
    <n v="1347.8"/>
    <n v="1872.2700000000002"/>
    <n v="0.58143767060964513"/>
    <x v="0"/>
    <n v="0"/>
  </r>
  <r>
    <s v="TX0400"/>
    <x v="399"/>
    <x v="0"/>
    <x v="2"/>
    <x v="2"/>
    <s v="Brand B"/>
    <s v="SC003"/>
    <x v="26"/>
    <n v="408"/>
    <n v="4.49"/>
    <x v="0"/>
    <n v="0"/>
    <n v="4.49"/>
    <n v="1831.92"/>
    <n v="1.9"/>
    <n v="775.19999999999993"/>
    <n v="1056.7200000000003"/>
    <n v="0.57683741648106912"/>
    <x v="0"/>
    <n v="0"/>
  </r>
  <r>
    <s v="TX0401"/>
    <x v="400"/>
    <x v="2"/>
    <x v="1"/>
    <x v="2"/>
    <s v="Brand A"/>
    <s v="SC005"/>
    <x v="16"/>
    <n v="458"/>
    <n v="10.99"/>
    <x v="0"/>
    <n v="0"/>
    <n v="10.99"/>
    <n v="5033.42"/>
    <n v="4.5999999999999996"/>
    <n v="2106.7999999999997"/>
    <n v="2926.6200000000003"/>
    <n v="0.58143767060964524"/>
    <x v="0"/>
    <n v="0"/>
  </r>
  <r>
    <s v="TX0402"/>
    <x v="401"/>
    <x v="0"/>
    <x v="1"/>
    <x v="0"/>
    <s v="Brand C"/>
    <s v="LA002"/>
    <x v="0"/>
    <n v="857"/>
    <n v="11.99"/>
    <x v="1"/>
    <n v="0.3"/>
    <n v="8.3929999999999989"/>
    <n v="7192.8009999999995"/>
    <n v="5.2"/>
    <n v="4456.4000000000005"/>
    <n v="2736.4009999999989"/>
    <n v="0.38043607768378396"/>
    <x v="2"/>
    <n v="3082.6289999999999"/>
  </r>
  <r>
    <s v="TX0403"/>
    <x v="402"/>
    <x v="2"/>
    <x v="0"/>
    <x v="3"/>
    <s v="Brand B"/>
    <s v="HC004"/>
    <x v="7"/>
    <n v="374"/>
    <n v="4.99"/>
    <x v="0"/>
    <n v="0"/>
    <n v="4.99"/>
    <n v="1866.26"/>
    <n v="2.1"/>
    <n v="785.4"/>
    <n v="1080.8600000000001"/>
    <n v="0.57915831663326656"/>
    <x v="0"/>
    <n v="0"/>
  </r>
  <r>
    <s v="TX0404"/>
    <x v="403"/>
    <x v="0"/>
    <x v="1"/>
    <x v="2"/>
    <s v="Brand B"/>
    <s v="SC006"/>
    <x v="15"/>
    <n v="942"/>
    <n v="4.99"/>
    <x v="1"/>
    <n v="0.3"/>
    <n v="3.4929999999999999"/>
    <n v="3290.4059999999999"/>
    <n v="2.1"/>
    <n v="1978.2"/>
    <n v="1312.2059999999999"/>
    <n v="0.39879759519038072"/>
    <x v="2"/>
    <n v="1410.1740000000002"/>
  </r>
  <r>
    <s v="TX0405"/>
    <x v="404"/>
    <x v="1"/>
    <x v="2"/>
    <x v="3"/>
    <s v="Brand B"/>
    <s v="HC008"/>
    <x v="20"/>
    <n v="649"/>
    <n v="4.49"/>
    <x v="1"/>
    <n v="0.3"/>
    <n v="3.1429999999999998"/>
    <n v="2039.8069999999998"/>
    <n v="1.9"/>
    <n v="1233.0999999999999"/>
    <n v="806.70699999999988"/>
    <n v="0.39548202354438433"/>
    <x v="3"/>
    <n v="874.20299999999997"/>
  </r>
  <r>
    <s v="TX0406"/>
    <x v="405"/>
    <x v="0"/>
    <x v="0"/>
    <x v="0"/>
    <s v="Brand B"/>
    <s v="LA001"/>
    <x v="1"/>
    <n v="797"/>
    <n v="8.49"/>
    <x v="0"/>
    <n v="0"/>
    <n v="8.49"/>
    <n v="6766.53"/>
    <n v="3.8"/>
    <n v="3028.6"/>
    <n v="3737.93"/>
    <n v="0.55241460541813903"/>
    <x v="0"/>
    <n v="0"/>
  </r>
  <r>
    <s v="TX0407"/>
    <x v="406"/>
    <x v="0"/>
    <x v="0"/>
    <x v="3"/>
    <s v="Brand A"/>
    <s v="HC002"/>
    <x v="22"/>
    <n v="841"/>
    <n v="8.99"/>
    <x v="1"/>
    <n v="0.2"/>
    <n v="7.1920000000000002"/>
    <n v="6048.4719999999998"/>
    <n v="3.6"/>
    <n v="3027.6"/>
    <n v="3020.8719999999998"/>
    <n v="0.49944382647385982"/>
    <x v="1"/>
    <n v="1512.1179999999999"/>
  </r>
  <r>
    <s v="TX0408"/>
    <x v="407"/>
    <x v="2"/>
    <x v="2"/>
    <x v="2"/>
    <s v="Brand C"/>
    <s v="SC007"/>
    <x v="5"/>
    <n v="1161"/>
    <n v="5.49"/>
    <x v="1"/>
    <n v="0.1"/>
    <n v="4.9410000000000007"/>
    <n v="5736.5010000000011"/>
    <n v="2.2999999999999998"/>
    <n v="2670.2999999999997"/>
    <n v="3066.2010000000014"/>
    <n v="0.53450718478040893"/>
    <x v="3"/>
    <n v="637.38900000000001"/>
  </r>
  <r>
    <s v="TX0409"/>
    <x v="408"/>
    <x v="0"/>
    <x v="1"/>
    <x v="1"/>
    <s v="Brand C"/>
    <s v="OR003"/>
    <x v="14"/>
    <n v="312"/>
    <n v="4.49"/>
    <x v="0"/>
    <n v="0"/>
    <n v="4.49"/>
    <n v="1400.88"/>
    <n v="1.7"/>
    <n v="530.4"/>
    <n v="870.48000000000013"/>
    <n v="0.6213808463251671"/>
    <x v="0"/>
    <n v="0"/>
  </r>
  <r>
    <s v="TX0410"/>
    <x v="409"/>
    <x v="2"/>
    <x v="2"/>
    <x v="1"/>
    <s v="Brand B"/>
    <s v="OR004"/>
    <x v="3"/>
    <n v="668"/>
    <n v="5.99"/>
    <x v="0"/>
    <n v="0"/>
    <n v="5.99"/>
    <n v="4001.32"/>
    <n v="2.4"/>
    <n v="1603.2"/>
    <n v="2398.12"/>
    <n v="0.59933222036727873"/>
    <x v="0"/>
    <n v="0"/>
  </r>
  <r>
    <s v="TX0411"/>
    <x v="410"/>
    <x v="2"/>
    <x v="1"/>
    <x v="2"/>
    <s v="Brand A"/>
    <s v="SC005"/>
    <x v="16"/>
    <n v="514"/>
    <n v="10.99"/>
    <x v="0"/>
    <n v="0"/>
    <n v="10.99"/>
    <n v="5648.86"/>
    <n v="4.5999999999999996"/>
    <n v="2364.3999999999996"/>
    <n v="3284.46"/>
    <n v="0.58143767060964513"/>
    <x v="0"/>
    <n v="0"/>
  </r>
  <r>
    <s v="TX0412"/>
    <x v="411"/>
    <x v="1"/>
    <x v="0"/>
    <x v="2"/>
    <s v="Brand C"/>
    <s v="SC007"/>
    <x v="5"/>
    <n v="574"/>
    <n v="5.49"/>
    <x v="0"/>
    <n v="0"/>
    <n v="5.49"/>
    <n v="3151.26"/>
    <n v="2.2999999999999998"/>
    <n v="1320.1999999999998"/>
    <n v="1831.0600000000004"/>
    <n v="0.58105646630236807"/>
    <x v="0"/>
    <n v="0"/>
  </r>
  <r>
    <s v="TX0413"/>
    <x v="412"/>
    <x v="1"/>
    <x v="1"/>
    <x v="0"/>
    <s v="Brand A"/>
    <s v="LA003"/>
    <x v="9"/>
    <n v="759"/>
    <n v="6.99"/>
    <x v="0"/>
    <n v="0"/>
    <n v="6.99"/>
    <n v="5305.41"/>
    <n v="2.9"/>
    <n v="2201.1"/>
    <n v="3104.31"/>
    <n v="0.58512160228898424"/>
    <x v="0"/>
    <n v="0"/>
  </r>
  <r>
    <s v="TX0414"/>
    <x v="413"/>
    <x v="1"/>
    <x v="0"/>
    <x v="1"/>
    <s v="Brand B"/>
    <s v="OR004"/>
    <x v="3"/>
    <n v="359"/>
    <n v="5.99"/>
    <x v="0"/>
    <n v="0"/>
    <n v="5.99"/>
    <n v="2150.41"/>
    <n v="2.4"/>
    <n v="861.6"/>
    <n v="1288.81"/>
    <n v="0.59933222036727885"/>
    <x v="0"/>
    <n v="0"/>
  </r>
  <r>
    <s v="TX0415"/>
    <x v="414"/>
    <x v="0"/>
    <x v="2"/>
    <x v="1"/>
    <s v="Brand C"/>
    <s v="OR007"/>
    <x v="18"/>
    <n v="434"/>
    <n v="3.29"/>
    <x v="0"/>
    <n v="0"/>
    <n v="3.29"/>
    <n v="1427.8600000000001"/>
    <n v="1.1000000000000001"/>
    <n v="477.40000000000003"/>
    <n v="950.46"/>
    <n v="0.66565349544072949"/>
    <x v="0"/>
    <n v="0"/>
  </r>
  <r>
    <s v="TX0416"/>
    <x v="415"/>
    <x v="2"/>
    <x v="1"/>
    <x v="2"/>
    <s v="Brand B"/>
    <s v="SC003"/>
    <x v="26"/>
    <n v="247"/>
    <n v="4.49"/>
    <x v="0"/>
    <n v="0"/>
    <n v="4.49"/>
    <n v="1109.03"/>
    <n v="1.9"/>
    <n v="469.29999999999995"/>
    <n v="639.73"/>
    <n v="0.57683741648106912"/>
    <x v="0"/>
    <n v="0"/>
  </r>
  <r>
    <s v="TX0417"/>
    <x v="416"/>
    <x v="1"/>
    <x v="0"/>
    <x v="2"/>
    <s v="Brand C"/>
    <s v="SC007"/>
    <x v="5"/>
    <n v="739"/>
    <n v="5.49"/>
    <x v="0"/>
    <n v="0"/>
    <n v="5.49"/>
    <n v="4057.11"/>
    <n v="2.2999999999999998"/>
    <n v="1699.6999999999998"/>
    <n v="2357.4100000000003"/>
    <n v="0.58105646630236796"/>
    <x v="0"/>
    <n v="0"/>
  </r>
  <r>
    <s v="TX0418"/>
    <x v="417"/>
    <x v="1"/>
    <x v="1"/>
    <x v="3"/>
    <s v="Brand A"/>
    <s v="HC001"/>
    <x v="7"/>
    <n v="284"/>
    <n v="5.99"/>
    <x v="0"/>
    <n v="0"/>
    <n v="5.99"/>
    <n v="1701.16"/>
    <n v="2.4"/>
    <n v="681.6"/>
    <n v="1019.5600000000001"/>
    <n v="0.59933222036727885"/>
    <x v="0"/>
    <n v="0"/>
  </r>
  <r>
    <s v="TX0419"/>
    <x v="418"/>
    <x v="0"/>
    <x v="1"/>
    <x v="1"/>
    <s v="Brand B"/>
    <s v="OR004"/>
    <x v="3"/>
    <n v="1044"/>
    <n v="5.99"/>
    <x v="1"/>
    <n v="0.1"/>
    <n v="5.391"/>
    <n v="5628.2039999999997"/>
    <n v="2.4"/>
    <n v="2505.6"/>
    <n v="3122.6039999999998"/>
    <n v="0.5548135781858653"/>
    <x v="3"/>
    <n v="625.35600000000011"/>
  </r>
  <r>
    <s v="TX0420"/>
    <x v="419"/>
    <x v="1"/>
    <x v="1"/>
    <x v="0"/>
    <s v="Brand B"/>
    <s v="LA004"/>
    <x v="12"/>
    <n v="1179"/>
    <n v="5.99"/>
    <x v="1"/>
    <n v="0.2"/>
    <n v="4.7920000000000007"/>
    <n v="5649.7680000000009"/>
    <n v="2.5"/>
    <n v="2947.5"/>
    <n v="2702.2680000000009"/>
    <n v="0.47829716193656102"/>
    <x v="1"/>
    <n v="1412.4420000000002"/>
  </r>
  <r>
    <s v="TX0421"/>
    <x v="420"/>
    <x v="0"/>
    <x v="2"/>
    <x v="0"/>
    <s v="Brand A"/>
    <s v="LA003"/>
    <x v="9"/>
    <n v="488"/>
    <n v="6.99"/>
    <x v="0"/>
    <n v="0"/>
    <n v="6.99"/>
    <n v="3411.12"/>
    <n v="2.9"/>
    <n v="1415.2"/>
    <n v="1995.9199999999998"/>
    <n v="0.58512160228898424"/>
    <x v="0"/>
    <n v="0"/>
  </r>
  <r>
    <s v="TX0422"/>
    <x v="421"/>
    <x v="0"/>
    <x v="1"/>
    <x v="0"/>
    <s v="Brand A"/>
    <s v="LA003"/>
    <x v="9"/>
    <n v="1196"/>
    <n v="6.99"/>
    <x v="1"/>
    <n v="0.1"/>
    <n v="6.2910000000000004"/>
    <n v="7524.0360000000001"/>
    <n v="2.9"/>
    <n v="3468.4"/>
    <n v="4055.636"/>
    <n v="0.53902400254331584"/>
    <x v="3"/>
    <n v="836.00400000000013"/>
  </r>
  <r>
    <s v="TX0423"/>
    <x v="422"/>
    <x v="0"/>
    <x v="2"/>
    <x v="2"/>
    <s v="Brand B"/>
    <s v="SC006"/>
    <x v="15"/>
    <n v="813"/>
    <n v="4.99"/>
    <x v="1"/>
    <n v="0.1"/>
    <n v="4.4910000000000005"/>
    <n v="3651.1830000000004"/>
    <n v="2.1"/>
    <n v="1707.3000000000002"/>
    <n v="1943.8830000000003"/>
    <n v="0.53239812959251842"/>
    <x v="1"/>
    <n v="405.68700000000007"/>
  </r>
  <r>
    <s v="TX0424"/>
    <x v="423"/>
    <x v="0"/>
    <x v="2"/>
    <x v="1"/>
    <s v="Brand A"/>
    <s v="OR005"/>
    <x v="10"/>
    <n v="767"/>
    <n v="3.99"/>
    <x v="0"/>
    <n v="0"/>
    <n v="3.99"/>
    <n v="3060.3300000000004"/>
    <n v="1.5"/>
    <n v="1150.5"/>
    <n v="1909.8300000000004"/>
    <n v="0.62406015037593987"/>
    <x v="0"/>
    <n v="0"/>
  </r>
  <r>
    <s v="TX0425"/>
    <x v="424"/>
    <x v="1"/>
    <x v="2"/>
    <x v="3"/>
    <s v="Brand B"/>
    <s v="HC005"/>
    <x v="17"/>
    <n v="622"/>
    <n v="4.79"/>
    <x v="0"/>
    <n v="0"/>
    <n v="4.79"/>
    <n v="2979.38"/>
    <n v="2"/>
    <n v="1244"/>
    <n v="1735.38"/>
    <n v="0.58246346555323592"/>
    <x v="0"/>
    <n v="0"/>
  </r>
  <r>
    <s v="TX0426"/>
    <x v="425"/>
    <x v="1"/>
    <x v="0"/>
    <x v="3"/>
    <s v="Brand B"/>
    <s v="HC004"/>
    <x v="7"/>
    <n v="986"/>
    <n v="4.99"/>
    <x v="1"/>
    <n v="0.1"/>
    <n v="4.4910000000000005"/>
    <n v="4428.1260000000002"/>
    <n v="2.1"/>
    <n v="2070.6"/>
    <n v="2357.5260000000003"/>
    <n v="0.53239812959251842"/>
    <x v="2"/>
    <n v="492.01400000000007"/>
  </r>
  <r>
    <s v="TX0427"/>
    <x v="426"/>
    <x v="0"/>
    <x v="0"/>
    <x v="3"/>
    <s v="Brand B"/>
    <s v="HC004"/>
    <x v="7"/>
    <n v="367"/>
    <n v="4.99"/>
    <x v="0"/>
    <n v="0"/>
    <n v="4.99"/>
    <n v="1831.3300000000002"/>
    <n v="2.1"/>
    <n v="770.7"/>
    <n v="1060.6300000000001"/>
    <n v="0.57915831663326656"/>
    <x v="0"/>
    <n v="0"/>
  </r>
  <r>
    <s v="TX0428"/>
    <x v="427"/>
    <x v="0"/>
    <x v="2"/>
    <x v="1"/>
    <s v="Brand C"/>
    <s v="OR003"/>
    <x v="14"/>
    <n v="655"/>
    <n v="4.49"/>
    <x v="0"/>
    <n v="0"/>
    <n v="4.49"/>
    <n v="2940.9500000000003"/>
    <n v="1.7"/>
    <n v="1113.5"/>
    <n v="1827.4500000000003"/>
    <n v="0.6213808463251671"/>
    <x v="0"/>
    <n v="0"/>
  </r>
  <r>
    <s v="TX0429"/>
    <x v="428"/>
    <x v="2"/>
    <x v="2"/>
    <x v="0"/>
    <s v="Brand A"/>
    <s v="LA005"/>
    <x v="21"/>
    <n v="705"/>
    <n v="9.49"/>
    <x v="0"/>
    <n v="0"/>
    <n v="9.49"/>
    <n v="6690.45"/>
    <n v="4"/>
    <n v="2820"/>
    <n v="3870.45"/>
    <n v="0.57850368809272923"/>
    <x v="0"/>
    <n v="0"/>
  </r>
  <r>
    <s v="TX0430"/>
    <x v="429"/>
    <x v="2"/>
    <x v="2"/>
    <x v="2"/>
    <s v="Brand C"/>
    <s v="SC002"/>
    <x v="8"/>
    <n v="381"/>
    <n v="9.99"/>
    <x v="0"/>
    <n v="0"/>
    <n v="9.99"/>
    <n v="3806.19"/>
    <n v="4.2"/>
    <n v="1600.2"/>
    <n v="2205.9899999999998"/>
    <n v="0.57957957957957951"/>
    <x v="0"/>
    <n v="0"/>
  </r>
  <r>
    <s v="TX0431"/>
    <x v="430"/>
    <x v="1"/>
    <x v="1"/>
    <x v="2"/>
    <s v="Brand C"/>
    <s v="SC002"/>
    <x v="8"/>
    <n v="724"/>
    <n v="9.99"/>
    <x v="0"/>
    <n v="0"/>
    <n v="9.99"/>
    <n v="7232.76"/>
    <n v="4.2"/>
    <n v="3040.8"/>
    <n v="4191.96"/>
    <n v="0.57957957957957962"/>
    <x v="0"/>
    <n v="0"/>
  </r>
  <r>
    <s v="TX0432"/>
    <x v="431"/>
    <x v="1"/>
    <x v="1"/>
    <x v="0"/>
    <s v="Brand B"/>
    <s v="LA004"/>
    <x v="12"/>
    <n v="413"/>
    <n v="5.99"/>
    <x v="1"/>
    <n v="0.3"/>
    <n v="4.1929999999999996"/>
    <n v="1731.7089999999998"/>
    <n v="2.5"/>
    <n v="1032.5"/>
    <n v="699.20899999999983"/>
    <n v="0.40376818507035528"/>
    <x v="1"/>
    <n v="742.16099999999994"/>
  </r>
  <r>
    <s v="TX0433"/>
    <x v="432"/>
    <x v="1"/>
    <x v="1"/>
    <x v="1"/>
    <s v="Brand A"/>
    <s v="OR002"/>
    <x v="11"/>
    <n v="770"/>
    <n v="4.99"/>
    <x v="0"/>
    <n v="0"/>
    <n v="4.99"/>
    <n v="3842.3"/>
    <n v="1.8"/>
    <n v="1386"/>
    <n v="2456.3000000000002"/>
    <n v="0.63927855711422843"/>
    <x v="0"/>
    <n v="0"/>
  </r>
  <r>
    <s v="TX0434"/>
    <x v="433"/>
    <x v="1"/>
    <x v="0"/>
    <x v="0"/>
    <s v="Brand C"/>
    <s v="LA002"/>
    <x v="0"/>
    <n v="221"/>
    <n v="11.99"/>
    <x v="0"/>
    <n v="0"/>
    <n v="11.99"/>
    <n v="2649.79"/>
    <n v="5.2"/>
    <n v="1149.2"/>
    <n v="1500.59"/>
    <n v="0.56630525437864887"/>
    <x v="0"/>
    <n v="0"/>
  </r>
  <r>
    <s v="TX0435"/>
    <x v="434"/>
    <x v="1"/>
    <x v="2"/>
    <x v="3"/>
    <s v="Brand C"/>
    <s v="HC006"/>
    <x v="13"/>
    <n v="279"/>
    <n v="6.49"/>
    <x v="0"/>
    <n v="0"/>
    <n v="6.49"/>
    <n v="1810.71"/>
    <n v="2.8"/>
    <n v="781.19999999999993"/>
    <n v="1029.5100000000002"/>
    <n v="0.5685670261941449"/>
    <x v="0"/>
    <n v="0"/>
  </r>
  <r>
    <s v="TX0436"/>
    <x v="435"/>
    <x v="2"/>
    <x v="0"/>
    <x v="0"/>
    <s v="Brand C"/>
    <s v="LA008"/>
    <x v="9"/>
    <n v="244"/>
    <n v="5.49"/>
    <x v="0"/>
    <n v="0"/>
    <n v="5.49"/>
    <n v="1339.56"/>
    <n v="2.4"/>
    <n v="585.6"/>
    <n v="753.95999999999992"/>
    <n v="0.56284153005464477"/>
    <x v="0"/>
    <n v="0"/>
  </r>
  <r>
    <s v="TX0437"/>
    <x v="436"/>
    <x v="0"/>
    <x v="0"/>
    <x v="0"/>
    <s v="Brand C"/>
    <s v="LA008"/>
    <x v="9"/>
    <n v="606"/>
    <n v="5.49"/>
    <x v="1"/>
    <n v="0.1"/>
    <n v="4.9410000000000007"/>
    <n v="2994.2460000000005"/>
    <n v="2.4"/>
    <n v="1454.3999999999999"/>
    <n v="1539.8460000000007"/>
    <n v="0.5142683667273833"/>
    <x v="2"/>
    <n v="332.69400000000002"/>
  </r>
  <r>
    <s v="TX0438"/>
    <x v="437"/>
    <x v="2"/>
    <x v="1"/>
    <x v="0"/>
    <s v="Brand C"/>
    <s v="LA008"/>
    <x v="9"/>
    <n v="388"/>
    <n v="5.49"/>
    <x v="0"/>
    <n v="0"/>
    <n v="5.49"/>
    <n v="2130.12"/>
    <n v="2.4"/>
    <n v="931.19999999999993"/>
    <n v="1198.92"/>
    <n v="0.56284153005464488"/>
    <x v="0"/>
    <n v="0"/>
  </r>
  <r>
    <s v="TX0439"/>
    <x v="438"/>
    <x v="0"/>
    <x v="2"/>
    <x v="0"/>
    <s v="Brand A"/>
    <s v="LA005"/>
    <x v="21"/>
    <n v="1160"/>
    <n v="9.49"/>
    <x v="1"/>
    <n v="0.1"/>
    <n v="8.5410000000000004"/>
    <n v="9907.5600000000013"/>
    <n v="4"/>
    <n v="4640"/>
    <n v="5267.5600000000013"/>
    <n v="0.53167076454747697"/>
    <x v="3"/>
    <n v="1100.8400000000001"/>
  </r>
  <r>
    <s v="TX0440"/>
    <x v="439"/>
    <x v="1"/>
    <x v="1"/>
    <x v="1"/>
    <s v="Brand B"/>
    <s v="OR001"/>
    <x v="19"/>
    <n v="371"/>
    <n v="3.49"/>
    <x v="0"/>
    <n v="0"/>
    <n v="3.49"/>
    <n v="1294.7900000000002"/>
    <n v="1.2"/>
    <n v="445.2"/>
    <n v="849.59000000000015"/>
    <n v="0.65616045845272208"/>
    <x v="0"/>
    <n v="0"/>
  </r>
  <r>
    <s v="TX0441"/>
    <x v="440"/>
    <x v="2"/>
    <x v="2"/>
    <x v="1"/>
    <s v="Brand A"/>
    <s v="OR006"/>
    <x v="24"/>
    <n v="562"/>
    <n v="12.99"/>
    <x v="1"/>
    <n v="0.1"/>
    <n v="11.691000000000001"/>
    <n v="6570.3420000000006"/>
    <n v="5.2"/>
    <n v="2922.4"/>
    <n v="3647.9420000000005"/>
    <n v="0.55521341202634511"/>
    <x v="1"/>
    <n v="730.03800000000012"/>
  </r>
  <r>
    <s v="TX0442"/>
    <x v="441"/>
    <x v="1"/>
    <x v="0"/>
    <x v="0"/>
    <s v="Brand A"/>
    <s v="LA005"/>
    <x v="21"/>
    <n v="255"/>
    <n v="9.49"/>
    <x v="0"/>
    <n v="0"/>
    <n v="9.49"/>
    <n v="2419.9500000000003"/>
    <n v="4"/>
    <n v="1020"/>
    <n v="1399.9500000000003"/>
    <n v="0.57850368809272923"/>
    <x v="0"/>
    <n v="0"/>
  </r>
  <r>
    <s v="TX0443"/>
    <x v="442"/>
    <x v="0"/>
    <x v="1"/>
    <x v="0"/>
    <s v="Brand C"/>
    <s v="LA008"/>
    <x v="9"/>
    <n v="576"/>
    <n v="5.49"/>
    <x v="0"/>
    <n v="0"/>
    <n v="5.49"/>
    <n v="3162.2400000000002"/>
    <n v="2.4"/>
    <n v="1382.3999999999999"/>
    <n v="1779.8400000000004"/>
    <n v="0.56284153005464488"/>
    <x v="0"/>
    <n v="0"/>
  </r>
  <r>
    <s v="TX0444"/>
    <x v="443"/>
    <x v="2"/>
    <x v="2"/>
    <x v="2"/>
    <s v="Brand B"/>
    <s v="SC003"/>
    <x v="26"/>
    <n v="513"/>
    <n v="4.49"/>
    <x v="0"/>
    <n v="0"/>
    <n v="4.49"/>
    <n v="2303.37"/>
    <n v="1.9"/>
    <n v="974.69999999999993"/>
    <n v="1328.67"/>
    <n v="0.57683741648106912"/>
    <x v="0"/>
    <n v="0"/>
  </r>
  <r>
    <s v="TX0445"/>
    <x v="444"/>
    <x v="0"/>
    <x v="2"/>
    <x v="1"/>
    <s v="Brand A"/>
    <s v="OR006"/>
    <x v="24"/>
    <n v="699"/>
    <n v="12.99"/>
    <x v="0"/>
    <n v="0"/>
    <n v="12.99"/>
    <n v="9080.01"/>
    <n v="5.2"/>
    <n v="3634.8"/>
    <n v="5445.21"/>
    <n v="0.59969207082371057"/>
    <x v="0"/>
    <n v="0"/>
  </r>
  <r>
    <s v="TX0446"/>
    <x v="445"/>
    <x v="1"/>
    <x v="1"/>
    <x v="0"/>
    <s v="Brand B"/>
    <s v="LA004"/>
    <x v="12"/>
    <n v="353"/>
    <n v="5.99"/>
    <x v="0"/>
    <n v="0"/>
    <n v="5.99"/>
    <n v="2114.4700000000003"/>
    <n v="2.5"/>
    <n v="882.5"/>
    <n v="1231.9700000000003"/>
    <n v="0.58263772954924875"/>
    <x v="0"/>
    <n v="0"/>
  </r>
  <r>
    <s v="TX0447"/>
    <x v="446"/>
    <x v="1"/>
    <x v="1"/>
    <x v="0"/>
    <s v="Brand C"/>
    <s v="LA008"/>
    <x v="9"/>
    <n v="414"/>
    <n v="5.49"/>
    <x v="0"/>
    <n v="0"/>
    <n v="5.49"/>
    <n v="2272.86"/>
    <n v="2.4"/>
    <n v="993.59999999999991"/>
    <n v="1279.2600000000002"/>
    <n v="0.56284153005464488"/>
    <x v="0"/>
    <n v="0"/>
  </r>
  <r>
    <s v="TX0448"/>
    <x v="447"/>
    <x v="0"/>
    <x v="2"/>
    <x v="0"/>
    <s v="Brand B"/>
    <s v="LA007"/>
    <x v="25"/>
    <n v="365"/>
    <n v="10.49"/>
    <x v="0"/>
    <n v="0"/>
    <n v="10.49"/>
    <n v="3828.85"/>
    <n v="4.5999999999999996"/>
    <n v="1678.9999999999998"/>
    <n v="2149.8500000000004"/>
    <n v="0.56148713060057209"/>
    <x v="0"/>
    <n v="0"/>
  </r>
  <r>
    <s v="TX0449"/>
    <x v="448"/>
    <x v="0"/>
    <x v="0"/>
    <x v="1"/>
    <s v="Brand A"/>
    <s v="OR002"/>
    <x v="11"/>
    <n v="427"/>
    <n v="4.99"/>
    <x v="0"/>
    <n v="0"/>
    <n v="4.99"/>
    <n v="2130.73"/>
    <n v="1.8"/>
    <n v="768.6"/>
    <n v="1362.13"/>
    <n v="0.63927855711422854"/>
    <x v="0"/>
    <n v="0"/>
  </r>
  <r>
    <s v="TX0450"/>
    <x v="449"/>
    <x v="2"/>
    <x v="0"/>
    <x v="1"/>
    <s v="Brand C"/>
    <s v="OR007"/>
    <x v="18"/>
    <n v="875"/>
    <n v="3.29"/>
    <x v="1"/>
    <n v="0.3"/>
    <n v="2.3029999999999999"/>
    <n v="2015.125"/>
    <n v="1.1000000000000001"/>
    <n v="962.50000000000011"/>
    <n v="1052.625"/>
    <n v="0.52236213634389927"/>
    <x v="3"/>
    <n v="863.625"/>
  </r>
  <r>
    <s v="TX0451"/>
    <x v="450"/>
    <x v="2"/>
    <x v="2"/>
    <x v="3"/>
    <s v="Brand B"/>
    <s v="HC008"/>
    <x v="20"/>
    <n v="483"/>
    <n v="4.49"/>
    <x v="1"/>
    <n v="0.1"/>
    <n v="4.0410000000000004"/>
    <n v="1951.8030000000001"/>
    <n v="1.9"/>
    <n v="917.69999999999993"/>
    <n v="1034.1030000000001"/>
    <n v="0.52981935164563232"/>
    <x v="1"/>
    <n v="216.86700000000002"/>
  </r>
  <r>
    <s v="TX0452"/>
    <x v="451"/>
    <x v="2"/>
    <x v="1"/>
    <x v="2"/>
    <s v="Brand B"/>
    <s v="SC006"/>
    <x v="15"/>
    <n v="496"/>
    <n v="4.99"/>
    <x v="0"/>
    <n v="0"/>
    <n v="4.99"/>
    <n v="2475.04"/>
    <n v="2.1"/>
    <n v="1041.6000000000001"/>
    <n v="1433.4399999999998"/>
    <n v="0.57915831663326645"/>
    <x v="0"/>
    <n v="0"/>
  </r>
  <r>
    <s v="TX0453"/>
    <x v="452"/>
    <x v="2"/>
    <x v="1"/>
    <x v="3"/>
    <s v="Brand C"/>
    <s v="HC006"/>
    <x v="13"/>
    <n v="471"/>
    <n v="6.49"/>
    <x v="1"/>
    <n v="0.2"/>
    <n v="5.1920000000000002"/>
    <n v="2445.4320000000002"/>
    <n v="2.8"/>
    <n v="1318.8"/>
    <n v="1126.6320000000003"/>
    <n v="0.46070878274268112"/>
    <x v="3"/>
    <n v="611.35800000000006"/>
  </r>
  <r>
    <s v="TX0454"/>
    <x v="453"/>
    <x v="0"/>
    <x v="0"/>
    <x v="3"/>
    <s v="Brand A"/>
    <s v="HC003"/>
    <x v="17"/>
    <n v="1107"/>
    <n v="5.49"/>
    <x v="1"/>
    <n v="0.3"/>
    <n v="3.843"/>
    <n v="4254.201"/>
    <n v="2.2000000000000002"/>
    <n v="2435.4"/>
    <n v="1818.8009999999999"/>
    <n v="0.42753057507155867"/>
    <x v="2"/>
    <n v="1823.229"/>
  </r>
  <r>
    <s v="TX0455"/>
    <x v="454"/>
    <x v="0"/>
    <x v="1"/>
    <x v="0"/>
    <s v="Brand C"/>
    <s v="LA008"/>
    <x v="9"/>
    <n v="731"/>
    <n v="5.49"/>
    <x v="0"/>
    <n v="0"/>
    <n v="5.49"/>
    <n v="4013.19"/>
    <n v="2.4"/>
    <n v="1754.3999999999999"/>
    <n v="2258.79"/>
    <n v="0.56284153005464477"/>
    <x v="0"/>
    <n v="0"/>
  </r>
  <r>
    <s v="TX0456"/>
    <x v="455"/>
    <x v="0"/>
    <x v="2"/>
    <x v="0"/>
    <s v="Brand B"/>
    <s v="LA007"/>
    <x v="25"/>
    <n v="1121"/>
    <n v="10.49"/>
    <x v="1"/>
    <n v="0.2"/>
    <n v="8.3920000000000012"/>
    <n v="9407.4320000000007"/>
    <n v="4.5999999999999996"/>
    <n v="5156.5999999999995"/>
    <n v="4250.8320000000012"/>
    <n v="0.45185891325071509"/>
    <x v="3"/>
    <n v="2351.8580000000002"/>
  </r>
  <r>
    <s v="TX0457"/>
    <x v="456"/>
    <x v="0"/>
    <x v="2"/>
    <x v="0"/>
    <s v="Brand B"/>
    <s v="LA007"/>
    <x v="25"/>
    <n v="718"/>
    <n v="10.49"/>
    <x v="0"/>
    <n v="0"/>
    <n v="10.49"/>
    <n v="7531.82"/>
    <n v="4.5999999999999996"/>
    <n v="3302.7999999999997"/>
    <n v="4229.0200000000004"/>
    <n v="0.56148713060057209"/>
    <x v="0"/>
    <n v="0"/>
  </r>
  <r>
    <s v="TX0458"/>
    <x v="457"/>
    <x v="1"/>
    <x v="1"/>
    <x v="1"/>
    <s v="Brand B"/>
    <s v="OR001"/>
    <x v="19"/>
    <n v="747"/>
    <n v="3.49"/>
    <x v="0"/>
    <n v="0"/>
    <n v="3.49"/>
    <n v="2607.0300000000002"/>
    <n v="1.2"/>
    <n v="896.4"/>
    <n v="1710.63"/>
    <n v="0.65616045845272208"/>
    <x v="0"/>
    <n v="0"/>
  </r>
  <r>
    <s v="TX0459"/>
    <x v="458"/>
    <x v="2"/>
    <x v="2"/>
    <x v="0"/>
    <s v="Brand C"/>
    <s v="LA006"/>
    <x v="2"/>
    <n v="406"/>
    <n v="8.99"/>
    <x v="0"/>
    <n v="0"/>
    <n v="8.99"/>
    <n v="3649.94"/>
    <n v="4"/>
    <n v="1624"/>
    <n v="2025.94"/>
    <n v="0.55506117908787544"/>
    <x v="0"/>
    <n v="0"/>
  </r>
  <r>
    <s v="TX0460"/>
    <x v="459"/>
    <x v="2"/>
    <x v="0"/>
    <x v="1"/>
    <s v="Brand B"/>
    <s v="OR004"/>
    <x v="3"/>
    <n v="607"/>
    <n v="5.99"/>
    <x v="0"/>
    <n v="0"/>
    <n v="5.99"/>
    <n v="3635.9300000000003"/>
    <n v="2.4"/>
    <n v="1456.8"/>
    <n v="2179.13"/>
    <n v="0.59933222036727873"/>
    <x v="0"/>
    <n v="0"/>
  </r>
  <r>
    <s v="TX0461"/>
    <x v="460"/>
    <x v="0"/>
    <x v="1"/>
    <x v="3"/>
    <s v="Brand C"/>
    <s v="HC007"/>
    <x v="23"/>
    <n v="789"/>
    <n v="7.49"/>
    <x v="0"/>
    <n v="0"/>
    <n v="7.49"/>
    <n v="5909.6100000000006"/>
    <n v="3.1"/>
    <n v="2445.9"/>
    <n v="3463.7100000000005"/>
    <n v="0.58611481975967961"/>
    <x v="0"/>
    <n v="0"/>
  </r>
  <r>
    <s v="TX0462"/>
    <x v="461"/>
    <x v="2"/>
    <x v="0"/>
    <x v="2"/>
    <s v="Brand C"/>
    <s v="SC002"/>
    <x v="8"/>
    <n v="703"/>
    <n v="9.99"/>
    <x v="0"/>
    <n v="0"/>
    <n v="9.99"/>
    <n v="7022.97"/>
    <n v="4.2"/>
    <n v="2952.6"/>
    <n v="4070.3700000000003"/>
    <n v="0.57957957957957962"/>
    <x v="0"/>
    <n v="0"/>
  </r>
  <r>
    <s v="TX0463"/>
    <x v="462"/>
    <x v="2"/>
    <x v="2"/>
    <x v="3"/>
    <s v="Brand A"/>
    <s v="HC001"/>
    <x v="7"/>
    <n v="439"/>
    <n v="5.99"/>
    <x v="0"/>
    <n v="0"/>
    <n v="5.99"/>
    <n v="2629.61"/>
    <n v="2.4"/>
    <n v="1053.5999999999999"/>
    <n v="1576.0100000000002"/>
    <n v="0.59933222036727885"/>
    <x v="0"/>
    <n v="0"/>
  </r>
  <r>
    <s v="TX0464"/>
    <x v="463"/>
    <x v="2"/>
    <x v="1"/>
    <x v="1"/>
    <s v="Brand A"/>
    <s v="OR002"/>
    <x v="11"/>
    <n v="317"/>
    <n v="4.99"/>
    <x v="0"/>
    <n v="0"/>
    <n v="4.99"/>
    <n v="1581.8300000000002"/>
    <n v="1.8"/>
    <n v="570.6"/>
    <n v="1011.2300000000001"/>
    <n v="0.63927855711422843"/>
    <x v="0"/>
    <n v="0"/>
  </r>
  <r>
    <s v="TX0465"/>
    <x v="464"/>
    <x v="1"/>
    <x v="2"/>
    <x v="3"/>
    <s v="Brand A"/>
    <s v="HC001"/>
    <x v="7"/>
    <n v="502"/>
    <n v="5.99"/>
    <x v="0"/>
    <n v="0"/>
    <n v="5.99"/>
    <n v="3006.98"/>
    <n v="2.4"/>
    <n v="1204.8"/>
    <n v="1802.18"/>
    <n v="0.59933222036727885"/>
    <x v="0"/>
    <n v="0"/>
  </r>
  <r>
    <s v="TX0466"/>
    <x v="465"/>
    <x v="0"/>
    <x v="1"/>
    <x v="3"/>
    <s v="Brand C"/>
    <s v="HC006"/>
    <x v="13"/>
    <n v="274"/>
    <n v="6.49"/>
    <x v="0"/>
    <n v="0"/>
    <n v="6.49"/>
    <n v="1778.26"/>
    <n v="2.8"/>
    <n v="767.19999999999993"/>
    <n v="1011.0600000000001"/>
    <n v="0.5685670261941449"/>
    <x v="0"/>
    <n v="0"/>
  </r>
  <r>
    <s v="TX0467"/>
    <x v="466"/>
    <x v="2"/>
    <x v="0"/>
    <x v="2"/>
    <s v="Brand C"/>
    <s v="SC002"/>
    <x v="8"/>
    <n v="272"/>
    <n v="9.99"/>
    <x v="0"/>
    <n v="0"/>
    <n v="9.99"/>
    <n v="2717.28"/>
    <n v="4.2"/>
    <n v="1142.4000000000001"/>
    <n v="1574.88"/>
    <n v="0.57957957957957962"/>
    <x v="0"/>
    <n v="0"/>
  </r>
  <r>
    <s v="TX0468"/>
    <x v="467"/>
    <x v="2"/>
    <x v="2"/>
    <x v="1"/>
    <s v="Brand A"/>
    <s v="OR002"/>
    <x v="11"/>
    <n v="650"/>
    <n v="4.99"/>
    <x v="0"/>
    <n v="0"/>
    <n v="4.99"/>
    <n v="3243.5"/>
    <n v="1.8"/>
    <n v="1170"/>
    <n v="2073.5"/>
    <n v="0.63927855711422843"/>
    <x v="0"/>
    <n v="0"/>
  </r>
  <r>
    <s v="TX0469"/>
    <x v="468"/>
    <x v="1"/>
    <x v="2"/>
    <x v="2"/>
    <s v="Brand B"/>
    <s v="SC006"/>
    <x v="15"/>
    <n v="473"/>
    <n v="4.99"/>
    <x v="0"/>
    <n v="0"/>
    <n v="4.99"/>
    <n v="2360.27"/>
    <n v="2.1"/>
    <n v="993.30000000000007"/>
    <n v="1366.9699999999998"/>
    <n v="0.57915831663326645"/>
    <x v="0"/>
    <n v="0"/>
  </r>
  <r>
    <s v="TX0470"/>
    <x v="469"/>
    <x v="1"/>
    <x v="2"/>
    <x v="3"/>
    <s v="Brand A"/>
    <s v="HC002"/>
    <x v="22"/>
    <n v="571"/>
    <n v="8.99"/>
    <x v="0"/>
    <n v="0"/>
    <n v="8.99"/>
    <n v="5133.29"/>
    <n v="3.6"/>
    <n v="2055.6"/>
    <n v="3077.69"/>
    <n v="0.59955506117908786"/>
    <x v="0"/>
    <n v="0"/>
  </r>
  <r>
    <s v="TX0471"/>
    <x v="470"/>
    <x v="2"/>
    <x v="0"/>
    <x v="0"/>
    <s v="Brand A"/>
    <s v="LA005"/>
    <x v="21"/>
    <n v="370"/>
    <n v="9.49"/>
    <x v="0"/>
    <n v="0"/>
    <n v="9.49"/>
    <n v="3511.3"/>
    <n v="4"/>
    <n v="1480"/>
    <n v="2031.3000000000002"/>
    <n v="0.57850368809272923"/>
    <x v="0"/>
    <n v="0"/>
  </r>
  <r>
    <s v="TX0472"/>
    <x v="471"/>
    <x v="2"/>
    <x v="0"/>
    <x v="0"/>
    <s v="Brand C"/>
    <s v="LA008"/>
    <x v="9"/>
    <n v="674"/>
    <n v="5.49"/>
    <x v="1"/>
    <n v="0.1"/>
    <n v="4.9410000000000007"/>
    <n v="3330.2340000000004"/>
    <n v="2.4"/>
    <n v="1617.6"/>
    <n v="1712.6340000000005"/>
    <n v="0.51426836672738319"/>
    <x v="3"/>
    <n v="370.02600000000001"/>
  </r>
  <r>
    <s v="TX0473"/>
    <x v="472"/>
    <x v="2"/>
    <x v="2"/>
    <x v="0"/>
    <s v="Brand C"/>
    <s v="LA002"/>
    <x v="0"/>
    <n v="430"/>
    <n v="11.99"/>
    <x v="0"/>
    <n v="0"/>
    <n v="11.99"/>
    <n v="5155.7"/>
    <n v="5.2"/>
    <n v="2236"/>
    <n v="2919.7"/>
    <n v="0.56630525437864887"/>
    <x v="0"/>
    <n v="0"/>
  </r>
  <r>
    <s v="TX0474"/>
    <x v="473"/>
    <x v="1"/>
    <x v="2"/>
    <x v="1"/>
    <s v="Brand A"/>
    <s v="OR006"/>
    <x v="24"/>
    <n v="785"/>
    <n v="12.99"/>
    <x v="0"/>
    <n v="0"/>
    <n v="12.99"/>
    <n v="10197.15"/>
    <n v="5.2"/>
    <n v="4082"/>
    <n v="6115.15"/>
    <n v="0.59969207082371057"/>
    <x v="0"/>
    <n v="0"/>
  </r>
  <r>
    <s v="TX0475"/>
    <x v="474"/>
    <x v="0"/>
    <x v="1"/>
    <x v="3"/>
    <s v="Brand A"/>
    <s v="HC002"/>
    <x v="22"/>
    <n v="255"/>
    <n v="8.99"/>
    <x v="0"/>
    <n v="0"/>
    <n v="8.99"/>
    <n v="2292.4500000000003"/>
    <n v="3.6"/>
    <n v="918"/>
    <n v="1374.4500000000003"/>
    <n v="0.59955506117908797"/>
    <x v="0"/>
    <n v="0"/>
  </r>
  <r>
    <s v="TX0476"/>
    <x v="475"/>
    <x v="0"/>
    <x v="0"/>
    <x v="2"/>
    <s v="Brand B"/>
    <s v="SC003"/>
    <x v="26"/>
    <n v="474"/>
    <n v="4.49"/>
    <x v="0"/>
    <n v="0"/>
    <n v="4.49"/>
    <n v="2128.2600000000002"/>
    <n v="1.9"/>
    <n v="900.59999999999991"/>
    <n v="1227.6600000000003"/>
    <n v="0.57683741648106912"/>
    <x v="0"/>
    <n v="0"/>
  </r>
  <r>
    <s v="TX0477"/>
    <x v="476"/>
    <x v="1"/>
    <x v="1"/>
    <x v="2"/>
    <s v="Brand B"/>
    <s v="SC003"/>
    <x v="26"/>
    <n v="597"/>
    <n v="4.49"/>
    <x v="0"/>
    <n v="0"/>
    <n v="4.49"/>
    <n v="2680.53"/>
    <n v="1.9"/>
    <n v="1134.3"/>
    <n v="1546.2300000000002"/>
    <n v="0.57683741648106912"/>
    <x v="0"/>
    <n v="0"/>
  </r>
  <r>
    <s v="TX0478"/>
    <x v="477"/>
    <x v="2"/>
    <x v="0"/>
    <x v="3"/>
    <s v="Brand A"/>
    <s v="HC003"/>
    <x v="17"/>
    <n v="394"/>
    <n v="5.49"/>
    <x v="0"/>
    <n v="0"/>
    <n v="5.49"/>
    <n v="2163.06"/>
    <n v="2.2000000000000002"/>
    <n v="866.80000000000007"/>
    <n v="1296.2599999999998"/>
    <n v="0.59927140255009093"/>
    <x v="0"/>
    <n v="0"/>
  </r>
  <r>
    <s v="TX0479"/>
    <x v="478"/>
    <x v="0"/>
    <x v="0"/>
    <x v="3"/>
    <s v="Brand B"/>
    <s v="HC008"/>
    <x v="20"/>
    <n v="847"/>
    <n v="4.49"/>
    <x v="1"/>
    <n v="0.1"/>
    <n v="4.0410000000000004"/>
    <n v="3422.7270000000003"/>
    <n v="1.9"/>
    <n v="1609.3"/>
    <n v="1813.4270000000004"/>
    <n v="0.52981935164563232"/>
    <x v="2"/>
    <n v="380.30300000000005"/>
  </r>
  <r>
    <s v="TX0480"/>
    <x v="479"/>
    <x v="0"/>
    <x v="1"/>
    <x v="2"/>
    <s v="Brand B"/>
    <s v="SC003"/>
    <x v="26"/>
    <n v="413"/>
    <n v="4.49"/>
    <x v="0"/>
    <n v="0"/>
    <n v="4.49"/>
    <n v="1854.3700000000001"/>
    <n v="1.9"/>
    <n v="784.69999999999993"/>
    <n v="1069.67"/>
    <n v="0.57683741648106901"/>
    <x v="0"/>
    <n v="0"/>
  </r>
  <r>
    <s v="TX0481"/>
    <x v="480"/>
    <x v="2"/>
    <x v="2"/>
    <x v="1"/>
    <s v="Brand A"/>
    <s v="OR006"/>
    <x v="24"/>
    <n v="945"/>
    <n v="12.99"/>
    <x v="1"/>
    <n v="0.3"/>
    <n v="9.093"/>
    <n v="8592.8850000000002"/>
    <n v="5.2"/>
    <n v="4914"/>
    <n v="3678.8850000000002"/>
    <n v="0.42813152974815794"/>
    <x v="1"/>
    <n v="3682.665"/>
  </r>
  <r>
    <s v="TX0482"/>
    <x v="481"/>
    <x v="2"/>
    <x v="1"/>
    <x v="0"/>
    <s v="Brand B"/>
    <s v="LA007"/>
    <x v="25"/>
    <n v="438"/>
    <n v="10.49"/>
    <x v="0"/>
    <n v="0"/>
    <n v="10.49"/>
    <n v="4594.62"/>
    <n v="4.5999999999999996"/>
    <n v="2014.8"/>
    <n v="2579.8199999999997"/>
    <n v="0.56148713060057187"/>
    <x v="0"/>
    <n v="0"/>
  </r>
  <r>
    <s v="TX0483"/>
    <x v="482"/>
    <x v="1"/>
    <x v="1"/>
    <x v="3"/>
    <s v="Brand B"/>
    <s v="HC004"/>
    <x v="7"/>
    <n v="724"/>
    <n v="4.99"/>
    <x v="0"/>
    <n v="0"/>
    <n v="4.99"/>
    <n v="3612.76"/>
    <n v="2.1"/>
    <n v="1520.4"/>
    <n v="2092.36"/>
    <n v="0.57915831663326656"/>
    <x v="0"/>
    <n v="0"/>
  </r>
  <r>
    <s v="TX0484"/>
    <x v="483"/>
    <x v="2"/>
    <x v="2"/>
    <x v="0"/>
    <s v="Brand B"/>
    <s v="LA004"/>
    <x v="12"/>
    <n v="442"/>
    <n v="5.99"/>
    <x v="0"/>
    <n v="0"/>
    <n v="5.99"/>
    <n v="2647.58"/>
    <n v="2.5"/>
    <n v="1105"/>
    <n v="1542.58"/>
    <n v="0.58263772954924875"/>
    <x v="0"/>
    <n v="0"/>
  </r>
  <r>
    <s v="TX0485"/>
    <x v="484"/>
    <x v="2"/>
    <x v="2"/>
    <x v="0"/>
    <s v="Brand A"/>
    <s v="LA003"/>
    <x v="9"/>
    <n v="693"/>
    <n v="6.99"/>
    <x v="0"/>
    <n v="0"/>
    <n v="6.99"/>
    <n v="4844.07"/>
    <n v="2.9"/>
    <n v="2009.7"/>
    <n v="2834.37"/>
    <n v="0.58512160228898424"/>
    <x v="0"/>
    <n v="0"/>
  </r>
  <r>
    <s v="TX0486"/>
    <x v="485"/>
    <x v="1"/>
    <x v="1"/>
    <x v="2"/>
    <s v="Brand B"/>
    <s v="SC006"/>
    <x v="15"/>
    <n v="365"/>
    <n v="4.99"/>
    <x v="0"/>
    <n v="0"/>
    <n v="4.99"/>
    <n v="1821.3500000000001"/>
    <n v="2.1"/>
    <n v="766.5"/>
    <n v="1054.8500000000001"/>
    <n v="0.57915831663326656"/>
    <x v="0"/>
    <n v="0"/>
  </r>
  <r>
    <s v="TX0487"/>
    <x v="486"/>
    <x v="2"/>
    <x v="2"/>
    <x v="3"/>
    <s v="Brand C"/>
    <s v="HC007"/>
    <x v="23"/>
    <n v="245"/>
    <n v="7.49"/>
    <x v="0"/>
    <n v="0"/>
    <n v="7.49"/>
    <n v="1835.05"/>
    <n v="3.1"/>
    <n v="759.5"/>
    <n v="1075.55"/>
    <n v="0.58611481975967961"/>
    <x v="0"/>
    <n v="0"/>
  </r>
  <r>
    <s v="TX0488"/>
    <x v="487"/>
    <x v="2"/>
    <x v="0"/>
    <x v="3"/>
    <s v="Brand B"/>
    <s v="HC005"/>
    <x v="17"/>
    <n v="261"/>
    <n v="4.79"/>
    <x v="0"/>
    <n v="0"/>
    <n v="4.79"/>
    <n v="1250.19"/>
    <n v="2"/>
    <n v="522"/>
    <n v="728.19"/>
    <n v="0.58246346555323592"/>
    <x v="0"/>
    <n v="0"/>
  </r>
  <r>
    <s v="TX0489"/>
    <x v="488"/>
    <x v="0"/>
    <x v="1"/>
    <x v="0"/>
    <s v="Brand C"/>
    <s v="LA002"/>
    <x v="0"/>
    <n v="302"/>
    <n v="11.99"/>
    <x v="0"/>
    <n v="0"/>
    <n v="11.99"/>
    <n v="3620.98"/>
    <n v="5.2"/>
    <n v="1570.4"/>
    <n v="2050.58"/>
    <n v="0.56630525437864887"/>
    <x v="0"/>
    <n v="0"/>
  </r>
  <r>
    <s v="TX0490"/>
    <x v="489"/>
    <x v="1"/>
    <x v="0"/>
    <x v="2"/>
    <s v="Brand C"/>
    <s v="SC002"/>
    <x v="8"/>
    <n v="632"/>
    <n v="9.99"/>
    <x v="0"/>
    <n v="0"/>
    <n v="9.99"/>
    <n v="6313.68"/>
    <n v="4.2"/>
    <n v="2654.4"/>
    <n v="3659.28"/>
    <n v="0.57957957957957962"/>
    <x v="0"/>
    <n v="0"/>
  </r>
  <r>
    <s v="TX0491"/>
    <x v="490"/>
    <x v="1"/>
    <x v="2"/>
    <x v="3"/>
    <s v="Brand B"/>
    <s v="HC005"/>
    <x v="17"/>
    <n v="422"/>
    <n v="4.79"/>
    <x v="0"/>
    <n v="0"/>
    <n v="4.79"/>
    <n v="2021.38"/>
    <n v="2"/>
    <n v="844"/>
    <n v="1177.3800000000001"/>
    <n v="0.58246346555323592"/>
    <x v="0"/>
    <n v="0"/>
  </r>
  <r>
    <s v="TX0492"/>
    <x v="491"/>
    <x v="0"/>
    <x v="0"/>
    <x v="3"/>
    <s v="Brand C"/>
    <s v="HC007"/>
    <x v="23"/>
    <n v="426"/>
    <n v="7.49"/>
    <x v="0"/>
    <n v="0"/>
    <n v="7.49"/>
    <n v="3190.7400000000002"/>
    <n v="3.1"/>
    <n v="1320.6000000000001"/>
    <n v="1870.14"/>
    <n v="0.58611481975967961"/>
    <x v="0"/>
    <n v="0"/>
  </r>
  <r>
    <s v="TX0493"/>
    <x v="492"/>
    <x v="1"/>
    <x v="0"/>
    <x v="1"/>
    <s v="Brand C"/>
    <s v="OR007"/>
    <x v="18"/>
    <n v="746"/>
    <n v="3.29"/>
    <x v="0"/>
    <n v="0"/>
    <n v="3.29"/>
    <n v="2454.34"/>
    <n v="1.1000000000000001"/>
    <n v="820.6"/>
    <n v="1633.7400000000002"/>
    <n v="0.66565349544072949"/>
    <x v="0"/>
    <n v="0"/>
  </r>
  <r>
    <s v="TX0494"/>
    <x v="493"/>
    <x v="0"/>
    <x v="1"/>
    <x v="3"/>
    <s v="Brand C"/>
    <s v="HC006"/>
    <x v="13"/>
    <n v="780"/>
    <n v="6.49"/>
    <x v="1"/>
    <n v="0.3"/>
    <n v="4.5430000000000001"/>
    <n v="3543.54"/>
    <n v="2.8"/>
    <n v="2184"/>
    <n v="1359.54"/>
    <n v="0.38366718027734975"/>
    <x v="1"/>
    <n v="1518.66"/>
  </r>
  <r>
    <s v="TX0495"/>
    <x v="494"/>
    <x v="1"/>
    <x v="0"/>
    <x v="1"/>
    <s v="Brand A"/>
    <s v="OR002"/>
    <x v="11"/>
    <n v="406"/>
    <n v="4.99"/>
    <x v="0"/>
    <n v="0"/>
    <n v="4.99"/>
    <n v="2025.94"/>
    <n v="1.8"/>
    <n v="730.80000000000007"/>
    <n v="1295.1399999999999"/>
    <n v="0.63927855711422843"/>
    <x v="0"/>
    <n v="0"/>
  </r>
  <r>
    <s v="TX0496"/>
    <x v="495"/>
    <x v="1"/>
    <x v="0"/>
    <x v="2"/>
    <s v="Brand C"/>
    <s v="SC007"/>
    <x v="5"/>
    <n v="1142"/>
    <n v="5.49"/>
    <x v="1"/>
    <n v="0.3"/>
    <n v="3.843"/>
    <n v="4388.7060000000001"/>
    <n v="2.2999999999999998"/>
    <n v="2626.6"/>
    <n v="1762.1060000000002"/>
    <n v="0.40150923757481138"/>
    <x v="1"/>
    <n v="1880.874"/>
  </r>
  <r>
    <s v="TX0497"/>
    <x v="496"/>
    <x v="1"/>
    <x v="2"/>
    <x v="3"/>
    <s v="Brand C"/>
    <s v="HC007"/>
    <x v="23"/>
    <n v="365"/>
    <n v="7.49"/>
    <x v="0"/>
    <n v="0"/>
    <n v="7.49"/>
    <n v="2733.85"/>
    <n v="3.1"/>
    <n v="1131.5"/>
    <n v="1602.35"/>
    <n v="0.58611481975967961"/>
    <x v="0"/>
    <n v="0"/>
  </r>
  <r>
    <s v="TX0498"/>
    <x v="497"/>
    <x v="0"/>
    <x v="1"/>
    <x v="1"/>
    <s v="Brand A"/>
    <s v="OR006"/>
    <x v="24"/>
    <n v="579"/>
    <n v="12.99"/>
    <x v="0"/>
    <n v="0"/>
    <n v="12.99"/>
    <n v="7521.21"/>
    <n v="5.2"/>
    <n v="3010.8"/>
    <n v="4510.41"/>
    <n v="0.59969207082371057"/>
    <x v="0"/>
    <n v="0"/>
  </r>
  <r>
    <s v="TX0499"/>
    <x v="498"/>
    <x v="0"/>
    <x v="1"/>
    <x v="1"/>
    <s v="Brand A"/>
    <s v="OR005"/>
    <x v="10"/>
    <n v="1044"/>
    <n v="3.99"/>
    <x v="1"/>
    <n v="0.3"/>
    <n v="2.7930000000000001"/>
    <n v="2915.8920000000003"/>
    <n v="1.5"/>
    <n v="1566"/>
    <n v="1349.8920000000003"/>
    <n v="0.46294307196562839"/>
    <x v="2"/>
    <n v="1249.6680000000001"/>
  </r>
  <r>
    <s v="TX0500"/>
    <x v="499"/>
    <x v="1"/>
    <x v="2"/>
    <x v="0"/>
    <s v="Brand C"/>
    <s v="LA006"/>
    <x v="2"/>
    <n v="440"/>
    <n v="8.99"/>
    <x v="0"/>
    <n v="0"/>
    <n v="8.99"/>
    <n v="3955.6"/>
    <n v="4"/>
    <n v="1760"/>
    <n v="2195.6"/>
    <n v="0.55506117908787544"/>
    <x v="0"/>
    <n v="0"/>
  </r>
  <r>
    <s v="TX0501"/>
    <x v="500"/>
    <x v="2"/>
    <x v="2"/>
    <x v="1"/>
    <s v="Brand B"/>
    <s v="OR004"/>
    <x v="3"/>
    <n v="584"/>
    <n v="5.99"/>
    <x v="0"/>
    <n v="0"/>
    <n v="5.99"/>
    <n v="3498.1600000000003"/>
    <n v="2.4"/>
    <n v="1401.6"/>
    <n v="2096.5600000000004"/>
    <n v="0.59933222036727885"/>
    <x v="0"/>
    <n v="0"/>
  </r>
  <r>
    <s v="TX0502"/>
    <x v="501"/>
    <x v="1"/>
    <x v="2"/>
    <x v="1"/>
    <s v="Brand A"/>
    <s v="OR005"/>
    <x v="10"/>
    <n v="658"/>
    <n v="3.99"/>
    <x v="1"/>
    <n v="0.1"/>
    <n v="3.5910000000000002"/>
    <n v="2362.8780000000002"/>
    <n v="1.5"/>
    <n v="987"/>
    <n v="1375.8780000000002"/>
    <n v="0.58228905597326652"/>
    <x v="1"/>
    <n v="262.54200000000003"/>
  </r>
  <r>
    <s v="TX0503"/>
    <x v="502"/>
    <x v="0"/>
    <x v="1"/>
    <x v="3"/>
    <s v="Brand A"/>
    <s v="HC001"/>
    <x v="7"/>
    <n v="692"/>
    <n v="5.99"/>
    <x v="1"/>
    <n v="0.2"/>
    <n v="4.7920000000000007"/>
    <n v="3316.0640000000003"/>
    <n v="2.4"/>
    <n v="1660.8"/>
    <n v="1655.2640000000004"/>
    <n v="0.49916527545909856"/>
    <x v="3"/>
    <n v="829.01600000000008"/>
  </r>
  <r>
    <s v="TX0504"/>
    <x v="503"/>
    <x v="2"/>
    <x v="2"/>
    <x v="3"/>
    <s v="Brand A"/>
    <s v="HC002"/>
    <x v="22"/>
    <n v="617"/>
    <n v="8.99"/>
    <x v="1"/>
    <n v="0.1"/>
    <n v="8.0910000000000011"/>
    <n v="4992.1470000000008"/>
    <n v="3.6"/>
    <n v="2221.2000000000003"/>
    <n v="2770.9470000000006"/>
    <n v="0.55506117908787544"/>
    <x v="2"/>
    <n v="554.68299999999999"/>
  </r>
  <r>
    <s v="TX0505"/>
    <x v="504"/>
    <x v="0"/>
    <x v="0"/>
    <x v="0"/>
    <s v="Brand C"/>
    <s v="LA002"/>
    <x v="0"/>
    <n v="295"/>
    <n v="11.99"/>
    <x v="0"/>
    <n v="0"/>
    <n v="11.99"/>
    <n v="3537.05"/>
    <n v="5.2"/>
    <n v="1534"/>
    <n v="2003.0500000000002"/>
    <n v="0.56630525437864887"/>
    <x v="0"/>
    <n v="0"/>
  </r>
  <r>
    <s v="TX0506"/>
    <x v="505"/>
    <x v="2"/>
    <x v="1"/>
    <x v="1"/>
    <s v="Brand B"/>
    <s v="OR004"/>
    <x v="3"/>
    <n v="483"/>
    <n v="5.99"/>
    <x v="0"/>
    <n v="0"/>
    <n v="5.99"/>
    <n v="2893.17"/>
    <n v="2.4"/>
    <n v="1159.2"/>
    <n v="1733.97"/>
    <n v="0.59933222036727885"/>
    <x v="0"/>
    <n v="0"/>
  </r>
  <r>
    <s v="TX0507"/>
    <x v="506"/>
    <x v="1"/>
    <x v="0"/>
    <x v="0"/>
    <s v="Brand C"/>
    <s v="LA002"/>
    <x v="0"/>
    <n v="749"/>
    <n v="11.99"/>
    <x v="0"/>
    <n v="0"/>
    <n v="11.99"/>
    <n v="8980.51"/>
    <n v="5.2"/>
    <n v="3894.8"/>
    <n v="5085.71"/>
    <n v="0.56630525437864887"/>
    <x v="0"/>
    <n v="0"/>
  </r>
  <r>
    <s v="TX0508"/>
    <x v="507"/>
    <x v="1"/>
    <x v="1"/>
    <x v="1"/>
    <s v="Brand B"/>
    <s v="OR001"/>
    <x v="19"/>
    <n v="496"/>
    <n v="3.49"/>
    <x v="0"/>
    <n v="0"/>
    <n v="3.49"/>
    <n v="1731.0400000000002"/>
    <n v="1.2"/>
    <n v="595.19999999999993"/>
    <n v="1135.8400000000001"/>
    <n v="0.65616045845272208"/>
    <x v="0"/>
    <n v="0"/>
  </r>
  <r>
    <s v="TX0509"/>
    <x v="508"/>
    <x v="1"/>
    <x v="1"/>
    <x v="0"/>
    <s v="Brand A"/>
    <s v="LA005"/>
    <x v="21"/>
    <n v="624"/>
    <n v="9.49"/>
    <x v="0"/>
    <n v="0"/>
    <n v="9.49"/>
    <n v="5921.76"/>
    <n v="4"/>
    <n v="2496"/>
    <n v="3425.76"/>
    <n v="0.57850368809272923"/>
    <x v="0"/>
    <n v="0"/>
  </r>
  <r>
    <s v="TX0510"/>
    <x v="509"/>
    <x v="2"/>
    <x v="0"/>
    <x v="3"/>
    <s v="Brand A"/>
    <s v="HC002"/>
    <x v="22"/>
    <n v="1107"/>
    <n v="8.99"/>
    <x v="1"/>
    <n v="0.1"/>
    <n v="8.0910000000000011"/>
    <n v="8956.737000000001"/>
    <n v="3.6"/>
    <n v="3985.2000000000003"/>
    <n v="4971.5370000000003"/>
    <n v="0.55506117908787533"/>
    <x v="3"/>
    <n v="995.19299999999998"/>
  </r>
  <r>
    <s v="TX0511"/>
    <x v="510"/>
    <x v="1"/>
    <x v="2"/>
    <x v="3"/>
    <s v="Brand B"/>
    <s v="HC005"/>
    <x v="17"/>
    <n v="497"/>
    <n v="4.79"/>
    <x v="0"/>
    <n v="0"/>
    <n v="4.79"/>
    <n v="2380.63"/>
    <n v="2"/>
    <n v="994"/>
    <n v="1386.63"/>
    <n v="0.58246346555323592"/>
    <x v="0"/>
    <n v="0"/>
  </r>
  <r>
    <s v="TX0512"/>
    <x v="511"/>
    <x v="1"/>
    <x v="2"/>
    <x v="3"/>
    <s v="Brand A"/>
    <s v="HC003"/>
    <x v="17"/>
    <n v="1005"/>
    <n v="5.49"/>
    <x v="1"/>
    <n v="0.2"/>
    <n v="4.3920000000000003"/>
    <n v="4413.96"/>
    <n v="2.2000000000000002"/>
    <n v="2211"/>
    <n v="2202.96"/>
    <n v="0.49908925318761382"/>
    <x v="1"/>
    <n v="1103.49"/>
  </r>
  <r>
    <s v="TX0513"/>
    <x v="512"/>
    <x v="1"/>
    <x v="2"/>
    <x v="3"/>
    <s v="Brand A"/>
    <s v="HC002"/>
    <x v="22"/>
    <n v="772"/>
    <n v="8.99"/>
    <x v="1"/>
    <n v="0.1"/>
    <n v="8.0910000000000011"/>
    <n v="6246.2520000000004"/>
    <n v="3.6"/>
    <n v="2779.2000000000003"/>
    <n v="3467.0520000000001"/>
    <n v="0.55506117908787544"/>
    <x v="2"/>
    <n v="694.02800000000002"/>
  </r>
  <r>
    <s v="TX0514"/>
    <x v="513"/>
    <x v="1"/>
    <x v="0"/>
    <x v="0"/>
    <s v="Brand B"/>
    <s v="LA007"/>
    <x v="25"/>
    <n v="580"/>
    <n v="10.49"/>
    <x v="0"/>
    <n v="0"/>
    <n v="10.49"/>
    <n v="6084.2"/>
    <n v="4.5999999999999996"/>
    <n v="2668"/>
    <n v="3416.2"/>
    <n v="0.56148713060057198"/>
    <x v="0"/>
    <n v="0"/>
  </r>
  <r>
    <s v="TX0515"/>
    <x v="514"/>
    <x v="1"/>
    <x v="0"/>
    <x v="0"/>
    <s v="Brand B"/>
    <s v="LA004"/>
    <x v="12"/>
    <n v="640"/>
    <n v="5.99"/>
    <x v="0"/>
    <n v="0"/>
    <n v="5.99"/>
    <n v="3833.6000000000004"/>
    <n v="2.5"/>
    <n v="1600"/>
    <n v="2233.6000000000004"/>
    <n v="0.58263772954924875"/>
    <x v="0"/>
    <n v="0"/>
  </r>
  <r>
    <s v="TX0516"/>
    <x v="515"/>
    <x v="2"/>
    <x v="2"/>
    <x v="0"/>
    <s v="Brand B"/>
    <s v="LA001"/>
    <x v="1"/>
    <n v="214"/>
    <n v="8.49"/>
    <x v="0"/>
    <n v="0"/>
    <n v="8.49"/>
    <n v="1816.8600000000001"/>
    <n v="3.8"/>
    <n v="813.19999999999993"/>
    <n v="1003.6600000000002"/>
    <n v="0.55241460541813903"/>
    <x v="0"/>
    <n v="0"/>
  </r>
  <r>
    <s v="TX0517"/>
    <x v="516"/>
    <x v="2"/>
    <x v="0"/>
    <x v="1"/>
    <s v="Brand B"/>
    <s v="OR004"/>
    <x v="3"/>
    <n v="491"/>
    <n v="5.99"/>
    <x v="0"/>
    <n v="0"/>
    <n v="5.99"/>
    <n v="2941.09"/>
    <n v="2.4"/>
    <n v="1178.3999999999999"/>
    <n v="1762.6900000000003"/>
    <n v="0.59933222036727885"/>
    <x v="0"/>
    <n v="0"/>
  </r>
  <r>
    <s v="TX0518"/>
    <x v="517"/>
    <x v="2"/>
    <x v="2"/>
    <x v="3"/>
    <s v="Brand C"/>
    <s v="HC006"/>
    <x v="13"/>
    <n v="528"/>
    <n v="6.49"/>
    <x v="0"/>
    <n v="0"/>
    <n v="6.49"/>
    <n v="3426.7200000000003"/>
    <n v="2.8"/>
    <n v="1478.3999999999999"/>
    <n v="1948.3200000000004"/>
    <n v="0.5685670261941449"/>
    <x v="0"/>
    <n v="0"/>
  </r>
  <r>
    <s v="TX0519"/>
    <x v="518"/>
    <x v="2"/>
    <x v="1"/>
    <x v="0"/>
    <s v="Brand B"/>
    <s v="LA007"/>
    <x v="25"/>
    <n v="466"/>
    <n v="10.49"/>
    <x v="0"/>
    <n v="0"/>
    <n v="10.49"/>
    <n v="4888.34"/>
    <n v="4.5999999999999996"/>
    <n v="2143.6"/>
    <n v="2744.7400000000002"/>
    <n v="0.56148713060057198"/>
    <x v="0"/>
    <n v="0"/>
  </r>
  <r>
    <s v="TX0520"/>
    <x v="519"/>
    <x v="1"/>
    <x v="1"/>
    <x v="1"/>
    <s v="Brand A"/>
    <s v="OR005"/>
    <x v="10"/>
    <n v="1054"/>
    <n v="3.99"/>
    <x v="1"/>
    <n v="0.3"/>
    <n v="2.7930000000000001"/>
    <n v="2943.8220000000001"/>
    <n v="1.5"/>
    <n v="1581"/>
    <n v="1362.8220000000001"/>
    <n v="0.46294307196562839"/>
    <x v="1"/>
    <n v="1261.6380000000001"/>
  </r>
  <r>
    <s v="TX0521"/>
    <x v="520"/>
    <x v="2"/>
    <x v="2"/>
    <x v="1"/>
    <s v="Brand A"/>
    <s v="OR005"/>
    <x v="10"/>
    <n v="407"/>
    <n v="3.99"/>
    <x v="1"/>
    <n v="0.3"/>
    <n v="2.7930000000000001"/>
    <n v="1136.751"/>
    <n v="1.5"/>
    <n v="610.5"/>
    <n v="526.25099999999998"/>
    <n v="0.46294307196562834"/>
    <x v="3"/>
    <n v="487.17900000000003"/>
  </r>
  <r>
    <s v="TX0522"/>
    <x v="521"/>
    <x v="1"/>
    <x v="1"/>
    <x v="1"/>
    <s v="Brand A"/>
    <s v="OR006"/>
    <x v="24"/>
    <n v="1105"/>
    <n v="12.99"/>
    <x v="1"/>
    <n v="0.2"/>
    <n v="10.392000000000001"/>
    <n v="11483.160000000002"/>
    <n v="5.2"/>
    <n v="5746"/>
    <n v="5737.1600000000017"/>
    <n v="0.49961508852963826"/>
    <x v="2"/>
    <n v="2870.7900000000004"/>
  </r>
  <r>
    <s v="TX0523"/>
    <x v="522"/>
    <x v="1"/>
    <x v="2"/>
    <x v="2"/>
    <s v="Brand C"/>
    <s v="SC002"/>
    <x v="8"/>
    <n v="730"/>
    <n v="9.99"/>
    <x v="1"/>
    <n v="0.2"/>
    <n v="7.9920000000000009"/>
    <n v="5834.1600000000008"/>
    <n v="4.2"/>
    <n v="3066"/>
    <n v="2768.1600000000008"/>
    <n v="0.47447447447447455"/>
    <x v="2"/>
    <n v="1458.5400000000002"/>
  </r>
  <r>
    <s v="TX0524"/>
    <x v="523"/>
    <x v="2"/>
    <x v="1"/>
    <x v="0"/>
    <s v="Brand B"/>
    <s v="LA001"/>
    <x v="1"/>
    <n v="744"/>
    <n v="8.49"/>
    <x v="1"/>
    <n v="0.3"/>
    <n v="5.9429999999999996"/>
    <n v="4421.5919999999996"/>
    <n v="3.8"/>
    <n v="2827.2"/>
    <n v="1594.3919999999998"/>
    <n v="0.36059229345448424"/>
    <x v="1"/>
    <n v="1894.9680000000001"/>
  </r>
  <r>
    <s v="TX0525"/>
    <x v="524"/>
    <x v="2"/>
    <x v="1"/>
    <x v="1"/>
    <s v="Brand C"/>
    <s v="OR007"/>
    <x v="18"/>
    <n v="970"/>
    <n v="3.29"/>
    <x v="1"/>
    <n v="0.3"/>
    <n v="2.3029999999999999"/>
    <n v="2233.91"/>
    <n v="1.1000000000000001"/>
    <n v="1067"/>
    <n v="1166.9099999999999"/>
    <n v="0.52236213634389927"/>
    <x v="1"/>
    <n v="957.39"/>
  </r>
  <r>
    <s v="TX0526"/>
    <x v="525"/>
    <x v="1"/>
    <x v="2"/>
    <x v="0"/>
    <s v="Brand B"/>
    <s v="LA007"/>
    <x v="25"/>
    <n v="416"/>
    <n v="10.49"/>
    <x v="0"/>
    <n v="0"/>
    <n v="10.49"/>
    <n v="4363.84"/>
    <n v="4.5999999999999996"/>
    <n v="1913.6"/>
    <n v="2450.2400000000002"/>
    <n v="0.56148713060057198"/>
    <x v="0"/>
    <n v="0"/>
  </r>
  <r>
    <s v="TX0527"/>
    <x v="526"/>
    <x v="0"/>
    <x v="1"/>
    <x v="2"/>
    <s v="Brand B"/>
    <s v="SC003"/>
    <x v="26"/>
    <n v="669"/>
    <n v="4.49"/>
    <x v="0"/>
    <n v="0"/>
    <n v="4.49"/>
    <n v="3003.81"/>
    <n v="1.9"/>
    <n v="1271.0999999999999"/>
    <n v="1732.71"/>
    <n v="0.57683741648106901"/>
    <x v="0"/>
    <n v="0"/>
  </r>
  <r>
    <s v="TX0528"/>
    <x v="527"/>
    <x v="2"/>
    <x v="2"/>
    <x v="0"/>
    <s v="Brand A"/>
    <s v="LA003"/>
    <x v="9"/>
    <n v="542"/>
    <n v="6.99"/>
    <x v="1"/>
    <n v="0.3"/>
    <n v="4.8929999999999998"/>
    <n v="2652.0059999999999"/>
    <n v="2.9"/>
    <n v="1571.8"/>
    <n v="1080.2059999999999"/>
    <n v="0.40731657469854893"/>
    <x v="3"/>
    <n v="1136.5740000000001"/>
  </r>
  <r>
    <s v="TX0529"/>
    <x v="528"/>
    <x v="1"/>
    <x v="0"/>
    <x v="0"/>
    <s v="Brand B"/>
    <s v="LA004"/>
    <x v="12"/>
    <n v="548"/>
    <n v="5.99"/>
    <x v="0"/>
    <n v="0"/>
    <n v="5.99"/>
    <n v="3282.52"/>
    <n v="2.5"/>
    <n v="1370"/>
    <n v="1912.52"/>
    <n v="0.58263772954924875"/>
    <x v="0"/>
    <n v="0"/>
  </r>
  <r>
    <s v="TX0530"/>
    <x v="529"/>
    <x v="0"/>
    <x v="0"/>
    <x v="2"/>
    <s v="Brand A"/>
    <s v="SC004"/>
    <x v="4"/>
    <n v="579"/>
    <n v="8.49"/>
    <x v="1"/>
    <n v="0.1"/>
    <n v="7.641"/>
    <n v="4424.1390000000001"/>
    <n v="3.5"/>
    <n v="2026.5"/>
    <n v="2397.6390000000001"/>
    <n v="0.54194477162675048"/>
    <x v="1"/>
    <n v="491.57100000000003"/>
  </r>
  <r>
    <s v="TX0531"/>
    <x v="530"/>
    <x v="0"/>
    <x v="1"/>
    <x v="1"/>
    <s v="Brand A"/>
    <s v="OR005"/>
    <x v="10"/>
    <n v="591"/>
    <n v="3.99"/>
    <x v="0"/>
    <n v="0"/>
    <n v="3.99"/>
    <n v="2358.09"/>
    <n v="1.5"/>
    <n v="886.5"/>
    <n v="1471.5900000000001"/>
    <n v="0.62406015037593987"/>
    <x v="0"/>
    <n v="0"/>
  </r>
  <r>
    <s v="TX0532"/>
    <x v="531"/>
    <x v="1"/>
    <x v="1"/>
    <x v="0"/>
    <s v="Brand C"/>
    <s v="LA008"/>
    <x v="9"/>
    <n v="375"/>
    <n v="5.49"/>
    <x v="0"/>
    <n v="0"/>
    <n v="5.49"/>
    <n v="2058.75"/>
    <n v="2.4"/>
    <n v="900"/>
    <n v="1158.75"/>
    <n v="0.56284153005464477"/>
    <x v="0"/>
    <n v="0"/>
  </r>
  <r>
    <s v="TX0533"/>
    <x v="532"/>
    <x v="1"/>
    <x v="0"/>
    <x v="2"/>
    <s v="Brand C"/>
    <s v="SC007"/>
    <x v="5"/>
    <n v="548"/>
    <n v="5.49"/>
    <x v="0"/>
    <n v="0"/>
    <n v="5.49"/>
    <n v="3008.52"/>
    <n v="2.2999999999999998"/>
    <n v="1260.3999999999999"/>
    <n v="1748.1200000000001"/>
    <n v="0.58105646630236796"/>
    <x v="0"/>
    <n v="0"/>
  </r>
  <r>
    <s v="TX0534"/>
    <x v="533"/>
    <x v="2"/>
    <x v="1"/>
    <x v="3"/>
    <s v="Brand A"/>
    <s v="HC001"/>
    <x v="7"/>
    <n v="201"/>
    <n v="5.99"/>
    <x v="0"/>
    <n v="0"/>
    <n v="5.99"/>
    <n v="1203.99"/>
    <n v="2.4"/>
    <n v="482.4"/>
    <n v="721.59"/>
    <n v="0.59933222036727885"/>
    <x v="0"/>
    <n v="0"/>
  </r>
  <r>
    <s v="TX0535"/>
    <x v="534"/>
    <x v="2"/>
    <x v="2"/>
    <x v="1"/>
    <s v="Brand B"/>
    <s v="OR001"/>
    <x v="19"/>
    <n v="515"/>
    <n v="3.49"/>
    <x v="0"/>
    <n v="0"/>
    <n v="3.49"/>
    <n v="1797.3500000000001"/>
    <n v="1.2"/>
    <n v="618"/>
    <n v="1179.3500000000001"/>
    <n v="0.65616045845272208"/>
    <x v="0"/>
    <n v="0"/>
  </r>
  <r>
    <s v="TX0536"/>
    <x v="535"/>
    <x v="0"/>
    <x v="0"/>
    <x v="2"/>
    <s v="Brand B"/>
    <s v="SC003"/>
    <x v="26"/>
    <n v="747"/>
    <n v="4.49"/>
    <x v="0"/>
    <n v="0"/>
    <n v="4.49"/>
    <n v="3354.03"/>
    <n v="1.9"/>
    <n v="1419.3"/>
    <n v="1934.7300000000002"/>
    <n v="0.57683741648106912"/>
    <x v="0"/>
    <n v="0"/>
  </r>
  <r>
    <s v="TX0537"/>
    <x v="536"/>
    <x v="0"/>
    <x v="1"/>
    <x v="0"/>
    <s v="Brand B"/>
    <s v="LA007"/>
    <x v="25"/>
    <n v="763"/>
    <n v="10.49"/>
    <x v="0"/>
    <n v="0"/>
    <n v="10.49"/>
    <n v="8003.87"/>
    <n v="4.5999999999999996"/>
    <n v="3509.7999999999997"/>
    <n v="4494.07"/>
    <n v="0.56148713060057198"/>
    <x v="0"/>
    <n v="0"/>
  </r>
  <r>
    <s v="TX0538"/>
    <x v="537"/>
    <x v="0"/>
    <x v="0"/>
    <x v="0"/>
    <s v="Brand A"/>
    <s v="LA005"/>
    <x v="21"/>
    <n v="781"/>
    <n v="9.49"/>
    <x v="0"/>
    <n v="0"/>
    <n v="9.49"/>
    <n v="7411.6900000000005"/>
    <n v="4"/>
    <n v="3124"/>
    <n v="4287.6900000000005"/>
    <n v="0.57850368809272923"/>
    <x v="0"/>
    <n v="0"/>
  </r>
  <r>
    <s v="TX0539"/>
    <x v="538"/>
    <x v="0"/>
    <x v="1"/>
    <x v="2"/>
    <s v="Brand B"/>
    <s v="SC003"/>
    <x v="26"/>
    <n v="397"/>
    <n v="4.49"/>
    <x v="0"/>
    <n v="0"/>
    <n v="4.49"/>
    <n v="1782.53"/>
    <n v="1.9"/>
    <n v="754.3"/>
    <n v="1028.23"/>
    <n v="0.57683741648106901"/>
    <x v="0"/>
    <n v="0"/>
  </r>
  <r>
    <s v="TX0540"/>
    <x v="539"/>
    <x v="1"/>
    <x v="1"/>
    <x v="2"/>
    <s v="Brand B"/>
    <s v="SC006"/>
    <x v="15"/>
    <n v="613"/>
    <n v="4.99"/>
    <x v="0"/>
    <n v="0"/>
    <n v="4.99"/>
    <n v="3058.8700000000003"/>
    <n v="2.1"/>
    <n v="1287.3"/>
    <n v="1771.5700000000004"/>
    <n v="0.57915831663326656"/>
    <x v="0"/>
    <n v="0"/>
  </r>
  <r>
    <s v="TX0541"/>
    <x v="540"/>
    <x v="0"/>
    <x v="2"/>
    <x v="1"/>
    <s v="Brand B"/>
    <s v="OR004"/>
    <x v="3"/>
    <n v="623"/>
    <n v="5.99"/>
    <x v="0"/>
    <n v="0"/>
    <n v="5.99"/>
    <n v="3731.77"/>
    <n v="2.4"/>
    <n v="1495.2"/>
    <n v="2236.5699999999997"/>
    <n v="0.59933222036727873"/>
    <x v="0"/>
    <n v="0"/>
  </r>
  <r>
    <s v="TX0542"/>
    <x v="541"/>
    <x v="1"/>
    <x v="1"/>
    <x v="0"/>
    <s v="Brand C"/>
    <s v="LA002"/>
    <x v="0"/>
    <n v="417"/>
    <n v="11.99"/>
    <x v="1"/>
    <n v="0.1"/>
    <n v="10.791"/>
    <n v="4499.8469999999998"/>
    <n v="5.2"/>
    <n v="2168.4"/>
    <n v="2331.4469999999997"/>
    <n v="0.51811694930960983"/>
    <x v="3"/>
    <n v="499.983"/>
  </r>
  <r>
    <s v="TX0543"/>
    <x v="542"/>
    <x v="2"/>
    <x v="0"/>
    <x v="2"/>
    <s v="Brand A"/>
    <s v="SC001"/>
    <x v="6"/>
    <n v="1051"/>
    <n v="7.99"/>
    <x v="1"/>
    <n v="0.1"/>
    <n v="7.1910000000000007"/>
    <n v="7557.7410000000009"/>
    <n v="3.1"/>
    <n v="3258.1"/>
    <n v="4299.6410000000014"/>
    <n v="0.56890557641496331"/>
    <x v="3"/>
    <n v="839.74900000000002"/>
  </r>
  <r>
    <s v="TX0544"/>
    <x v="543"/>
    <x v="2"/>
    <x v="2"/>
    <x v="2"/>
    <s v="Brand A"/>
    <s v="SC001"/>
    <x v="6"/>
    <n v="622"/>
    <n v="7.99"/>
    <x v="1"/>
    <n v="0.3"/>
    <n v="5.593"/>
    <n v="3478.846"/>
    <n v="3.1"/>
    <n v="1928.2"/>
    <n v="1550.646"/>
    <n v="0.44573574110495262"/>
    <x v="2"/>
    <n v="1490.934"/>
  </r>
  <r>
    <s v="TX0545"/>
    <x v="544"/>
    <x v="0"/>
    <x v="1"/>
    <x v="0"/>
    <s v="Brand C"/>
    <s v="LA002"/>
    <x v="0"/>
    <n v="705"/>
    <n v="11.99"/>
    <x v="0"/>
    <n v="0"/>
    <n v="11.99"/>
    <n v="8452.9500000000007"/>
    <n v="5.2"/>
    <n v="3666"/>
    <n v="4786.9500000000007"/>
    <n v="0.56630525437864887"/>
    <x v="0"/>
    <n v="0"/>
  </r>
  <r>
    <s v="TX0546"/>
    <x v="545"/>
    <x v="2"/>
    <x v="1"/>
    <x v="1"/>
    <s v="Brand C"/>
    <s v="OR003"/>
    <x v="14"/>
    <n v="202"/>
    <n v="4.49"/>
    <x v="0"/>
    <n v="0"/>
    <n v="4.49"/>
    <n v="906.98"/>
    <n v="1.7"/>
    <n v="343.4"/>
    <n v="563.58000000000004"/>
    <n v="0.6213808463251671"/>
    <x v="0"/>
    <n v="0"/>
  </r>
  <r>
    <s v="TX0547"/>
    <x v="546"/>
    <x v="0"/>
    <x v="1"/>
    <x v="0"/>
    <s v="Brand A"/>
    <s v="LA003"/>
    <x v="9"/>
    <n v="208"/>
    <n v="6.99"/>
    <x v="0"/>
    <n v="0"/>
    <n v="6.99"/>
    <n v="1453.92"/>
    <n v="2.9"/>
    <n v="603.19999999999993"/>
    <n v="850.72000000000014"/>
    <n v="0.58512160228898435"/>
    <x v="0"/>
    <n v="0"/>
  </r>
  <r>
    <s v="TX0548"/>
    <x v="547"/>
    <x v="0"/>
    <x v="0"/>
    <x v="1"/>
    <s v="Brand C"/>
    <s v="OR003"/>
    <x v="14"/>
    <n v="308"/>
    <n v="4.49"/>
    <x v="0"/>
    <n v="0"/>
    <n v="4.49"/>
    <n v="1382.92"/>
    <n v="1.7"/>
    <n v="523.6"/>
    <n v="859.32"/>
    <n v="0.62138084632516699"/>
    <x v="0"/>
    <n v="0"/>
  </r>
  <r>
    <s v="TX0549"/>
    <x v="548"/>
    <x v="0"/>
    <x v="1"/>
    <x v="1"/>
    <s v="Brand A"/>
    <s v="OR002"/>
    <x v="11"/>
    <n v="732"/>
    <n v="4.99"/>
    <x v="0"/>
    <n v="0"/>
    <n v="4.99"/>
    <n v="3652.6800000000003"/>
    <n v="1.8"/>
    <n v="1317.6000000000001"/>
    <n v="2335.08"/>
    <n v="0.63927855711422843"/>
    <x v="0"/>
    <n v="0"/>
  </r>
  <r>
    <s v="TX0550"/>
    <x v="549"/>
    <x v="0"/>
    <x v="0"/>
    <x v="2"/>
    <s v="Brand B"/>
    <s v="SC006"/>
    <x v="15"/>
    <n v="798"/>
    <n v="4.99"/>
    <x v="0"/>
    <n v="0"/>
    <n v="4.99"/>
    <n v="3982.02"/>
    <n v="2.1"/>
    <n v="1675.8000000000002"/>
    <n v="2306.2199999999998"/>
    <n v="0.57915831663326645"/>
    <x v="0"/>
    <n v="0"/>
  </r>
  <r>
    <s v="TX0551"/>
    <x v="550"/>
    <x v="0"/>
    <x v="0"/>
    <x v="1"/>
    <s v="Brand B"/>
    <s v="OR004"/>
    <x v="3"/>
    <n v="288"/>
    <n v="5.99"/>
    <x v="0"/>
    <n v="0"/>
    <n v="5.99"/>
    <n v="1725.1200000000001"/>
    <n v="2.4"/>
    <n v="691.19999999999993"/>
    <n v="1033.92"/>
    <n v="0.59933222036727885"/>
    <x v="0"/>
    <n v="0"/>
  </r>
  <r>
    <s v="TX0552"/>
    <x v="551"/>
    <x v="2"/>
    <x v="0"/>
    <x v="3"/>
    <s v="Brand A"/>
    <s v="HC003"/>
    <x v="17"/>
    <n v="741"/>
    <n v="5.49"/>
    <x v="1"/>
    <n v="0.3"/>
    <n v="3.843"/>
    <n v="2847.663"/>
    <n v="2.2000000000000002"/>
    <n v="1630.2"/>
    <n v="1217.463"/>
    <n v="0.42753057507155867"/>
    <x v="1"/>
    <n v="1220.4269999999999"/>
  </r>
  <r>
    <s v="TX0553"/>
    <x v="552"/>
    <x v="1"/>
    <x v="2"/>
    <x v="1"/>
    <s v="Brand C"/>
    <s v="OR003"/>
    <x v="14"/>
    <n v="207"/>
    <n v="4.49"/>
    <x v="0"/>
    <n v="0"/>
    <n v="4.49"/>
    <n v="929.43000000000006"/>
    <n v="1.7"/>
    <n v="351.9"/>
    <n v="577.53000000000009"/>
    <n v="0.6213808463251671"/>
    <x v="0"/>
    <n v="0"/>
  </r>
  <r>
    <s v="TX0554"/>
    <x v="553"/>
    <x v="2"/>
    <x v="0"/>
    <x v="2"/>
    <s v="Brand C"/>
    <s v="SC007"/>
    <x v="5"/>
    <n v="580"/>
    <n v="5.49"/>
    <x v="1"/>
    <n v="0.2"/>
    <n v="4.3920000000000003"/>
    <n v="2547.36"/>
    <n v="2.2999999999999998"/>
    <n v="1334"/>
    <n v="1213.3600000000001"/>
    <n v="0.47632058287795997"/>
    <x v="3"/>
    <n v="636.84"/>
  </r>
  <r>
    <s v="TX0555"/>
    <x v="554"/>
    <x v="0"/>
    <x v="2"/>
    <x v="0"/>
    <s v="Brand A"/>
    <s v="LA003"/>
    <x v="9"/>
    <n v="680"/>
    <n v="6.99"/>
    <x v="0"/>
    <n v="0"/>
    <n v="6.99"/>
    <n v="4753.2"/>
    <n v="2.9"/>
    <n v="1972"/>
    <n v="2781.2"/>
    <n v="0.58512160228898424"/>
    <x v="0"/>
    <n v="0"/>
  </r>
  <r>
    <s v="TX0556"/>
    <x v="555"/>
    <x v="2"/>
    <x v="2"/>
    <x v="3"/>
    <s v="Brand A"/>
    <s v="HC001"/>
    <x v="7"/>
    <n v="648"/>
    <n v="5.99"/>
    <x v="0"/>
    <n v="0"/>
    <n v="5.99"/>
    <n v="3881.52"/>
    <n v="2.4"/>
    <n v="1555.2"/>
    <n v="2326.3199999999997"/>
    <n v="0.59933222036727873"/>
    <x v="0"/>
    <n v="0"/>
  </r>
  <r>
    <s v="TX0557"/>
    <x v="556"/>
    <x v="0"/>
    <x v="0"/>
    <x v="2"/>
    <s v="Brand B"/>
    <s v="SC003"/>
    <x v="26"/>
    <n v="797"/>
    <n v="4.49"/>
    <x v="0"/>
    <n v="0"/>
    <n v="4.49"/>
    <n v="3578.53"/>
    <n v="1.9"/>
    <n v="1514.3"/>
    <n v="2064.2300000000005"/>
    <n v="0.57683741648106912"/>
    <x v="0"/>
    <n v="0"/>
  </r>
  <r>
    <s v="TX0558"/>
    <x v="557"/>
    <x v="1"/>
    <x v="0"/>
    <x v="1"/>
    <s v="Brand A"/>
    <s v="OR002"/>
    <x v="11"/>
    <n v="534"/>
    <n v="4.99"/>
    <x v="0"/>
    <n v="0"/>
    <n v="4.99"/>
    <n v="2664.6600000000003"/>
    <n v="1.8"/>
    <n v="961.2"/>
    <n v="1703.4600000000003"/>
    <n v="0.63927855711422843"/>
    <x v="0"/>
    <n v="0"/>
  </r>
  <r>
    <s v="TX0559"/>
    <x v="558"/>
    <x v="0"/>
    <x v="2"/>
    <x v="0"/>
    <s v="Brand C"/>
    <s v="LA006"/>
    <x v="2"/>
    <n v="494"/>
    <n v="8.99"/>
    <x v="1"/>
    <n v="0.2"/>
    <n v="7.1920000000000002"/>
    <n v="3552.848"/>
    <n v="4"/>
    <n v="1976"/>
    <n v="1576.848"/>
    <n v="0.44382647385984425"/>
    <x v="2"/>
    <n v="888.21199999999999"/>
  </r>
  <r>
    <s v="TX0560"/>
    <x v="559"/>
    <x v="2"/>
    <x v="0"/>
    <x v="0"/>
    <s v="Brand C"/>
    <s v="LA008"/>
    <x v="9"/>
    <n v="730"/>
    <n v="5.49"/>
    <x v="1"/>
    <n v="0.3"/>
    <n v="3.843"/>
    <n v="2805.39"/>
    <n v="2.4"/>
    <n v="1752"/>
    <n v="1053.3899999999999"/>
    <n v="0.37548790007806399"/>
    <x v="1"/>
    <n v="1202.31"/>
  </r>
  <r>
    <s v="TX0561"/>
    <x v="560"/>
    <x v="2"/>
    <x v="2"/>
    <x v="0"/>
    <s v="Brand B"/>
    <s v="LA007"/>
    <x v="25"/>
    <n v="912"/>
    <n v="10.49"/>
    <x v="1"/>
    <n v="0.1"/>
    <n v="9.4410000000000007"/>
    <n v="8610.1920000000009"/>
    <n v="4.5999999999999996"/>
    <n v="4195.2"/>
    <n v="4414.9920000000011"/>
    <n v="0.51276347844508008"/>
    <x v="2"/>
    <n v="956.6880000000001"/>
  </r>
  <r>
    <s v="TX0562"/>
    <x v="561"/>
    <x v="0"/>
    <x v="0"/>
    <x v="0"/>
    <s v="Brand C"/>
    <s v="LA006"/>
    <x v="2"/>
    <n v="717"/>
    <n v="8.99"/>
    <x v="1"/>
    <n v="0.2"/>
    <n v="7.1920000000000002"/>
    <n v="5156.6639999999998"/>
    <n v="4"/>
    <n v="2868"/>
    <n v="2288.6639999999998"/>
    <n v="0.44382647385984425"/>
    <x v="3"/>
    <n v="1289.1659999999999"/>
  </r>
  <r>
    <s v="TX0563"/>
    <x v="562"/>
    <x v="0"/>
    <x v="0"/>
    <x v="1"/>
    <s v="Brand C"/>
    <s v="OR007"/>
    <x v="18"/>
    <n v="487"/>
    <n v="3.29"/>
    <x v="0"/>
    <n v="0"/>
    <n v="3.29"/>
    <n v="1602.23"/>
    <n v="1.1000000000000001"/>
    <n v="535.70000000000005"/>
    <n v="1066.53"/>
    <n v="0.66565349544072949"/>
    <x v="0"/>
    <n v="0"/>
  </r>
  <r>
    <s v="TX0564"/>
    <x v="563"/>
    <x v="0"/>
    <x v="1"/>
    <x v="3"/>
    <s v="Brand A"/>
    <s v="HC001"/>
    <x v="7"/>
    <n v="750"/>
    <n v="5.99"/>
    <x v="1"/>
    <n v="0.1"/>
    <n v="5.391"/>
    <n v="4043.25"/>
    <n v="2.4"/>
    <n v="1800"/>
    <n v="2243.25"/>
    <n v="0.5548135781858653"/>
    <x v="1"/>
    <n v="449.25000000000006"/>
  </r>
  <r>
    <s v="TX0565"/>
    <x v="564"/>
    <x v="2"/>
    <x v="2"/>
    <x v="1"/>
    <s v="Brand A"/>
    <s v="OR006"/>
    <x v="24"/>
    <n v="488"/>
    <n v="12.99"/>
    <x v="0"/>
    <n v="0"/>
    <n v="12.99"/>
    <n v="6339.12"/>
    <n v="5.2"/>
    <n v="2537.6"/>
    <n v="3801.52"/>
    <n v="0.59969207082371057"/>
    <x v="0"/>
    <n v="0"/>
  </r>
  <r>
    <s v="TX0566"/>
    <x v="565"/>
    <x v="1"/>
    <x v="1"/>
    <x v="3"/>
    <s v="Brand C"/>
    <s v="HC007"/>
    <x v="23"/>
    <n v="730"/>
    <n v="7.49"/>
    <x v="0"/>
    <n v="0"/>
    <n v="7.49"/>
    <n v="5467.7"/>
    <n v="3.1"/>
    <n v="2263"/>
    <n v="3204.7"/>
    <n v="0.58611481975967961"/>
    <x v="0"/>
    <n v="0"/>
  </r>
  <r>
    <s v="TX0567"/>
    <x v="566"/>
    <x v="2"/>
    <x v="0"/>
    <x v="0"/>
    <s v="Brand B"/>
    <s v="LA004"/>
    <x v="12"/>
    <n v="1120"/>
    <n v="5.99"/>
    <x v="1"/>
    <n v="0.3"/>
    <n v="4.1929999999999996"/>
    <n v="4696.16"/>
    <n v="2.5"/>
    <n v="2800"/>
    <n v="1896.1599999999999"/>
    <n v="0.40376818507035533"/>
    <x v="3"/>
    <n v="2012.6399999999999"/>
  </r>
  <r>
    <s v="TX0568"/>
    <x v="567"/>
    <x v="1"/>
    <x v="0"/>
    <x v="0"/>
    <s v="Brand A"/>
    <s v="LA003"/>
    <x v="9"/>
    <n v="629"/>
    <n v="6.99"/>
    <x v="0"/>
    <n v="0"/>
    <n v="6.99"/>
    <n v="4396.71"/>
    <n v="2.9"/>
    <n v="1824.1"/>
    <n v="2572.61"/>
    <n v="0.58512160228898424"/>
    <x v="0"/>
    <n v="0"/>
  </r>
  <r>
    <s v="TX0569"/>
    <x v="568"/>
    <x v="0"/>
    <x v="1"/>
    <x v="0"/>
    <s v="Brand C"/>
    <s v="LA006"/>
    <x v="2"/>
    <n v="763"/>
    <n v="8.99"/>
    <x v="0"/>
    <n v="0"/>
    <n v="8.99"/>
    <n v="6859.37"/>
    <n v="4"/>
    <n v="3052"/>
    <n v="3807.37"/>
    <n v="0.55506117908787544"/>
    <x v="0"/>
    <n v="0"/>
  </r>
  <r>
    <s v="TX0570"/>
    <x v="569"/>
    <x v="0"/>
    <x v="0"/>
    <x v="3"/>
    <s v="Brand B"/>
    <s v="HC005"/>
    <x v="17"/>
    <n v="255"/>
    <n v="4.79"/>
    <x v="0"/>
    <n v="0"/>
    <n v="4.79"/>
    <n v="1221.45"/>
    <n v="2"/>
    <n v="510"/>
    <n v="711.45"/>
    <n v="0.58246346555323592"/>
    <x v="0"/>
    <n v="0"/>
  </r>
  <r>
    <s v="TX0571"/>
    <x v="570"/>
    <x v="2"/>
    <x v="2"/>
    <x v="3"/>
    <s v="Brand A"/>
    <s v="HC003"/>
    <x v="17"/>
    <n v="620"/>
    <n v="5.49"/>
    <x v="0"/>
    <n v="0"/>
    <n v="5.49"/>
    <n v="3403.8"/>
    <n v="2.2000000000000002"/>
    <n v="1364"/>
    <n v="2039.8000000000002"/>
    <n v="0.59927140255009115"/>
    <x v="0"/>
    <n v="0"/>
  </r>
  <r>
    <s v="TX0572"/>
    <x v="571"/>
    <x v="1"/>
    <x v="1"/>
    <x v="0"/>
    <s v="Brand B"/>
    <s v="LA007"/>
    <x v="25"/>
    <n v="487"/>
    <n v="10.49"/>
    <x v="0"/>
    <n v="0"/>
    <n v="10.49"/>
    <n v="5108.63"/>
    <n v="4.5999999999999996"/>
    <n v="2240.1999999999998"/>
    <n v="2868.4300000000003"/>
    <n v="0.56148713060057198"/>
    <x v="0"/>
    <n v="0"/>
  </r>
  <r>
    <s v="TX0573"/>
    <x v="572"/>
    <x v="0"/>
    <x v="0"/>
    <x v="1"/>
    <s v="Brand A"/>
    <s v="OR005"/>
    <x v="10"/>
    <n v="220"/>
    <n v="3.99"/>
    <x v="0"/>
    <n v="0"/>
    <n v="3.99"/>
    <n v="877.80000000000007"/>
    <n v="1.5"/>
    <n v="330"/>
    <n v="547.80000000000007"/>
    <n v="0.62406015037593987"/>
    <x v="0"/>
    <n v="0"/>
  </r>
  <r>
    <s v="TX0574"/>
    <x v="573"/>
    <x v="1"/>
    <x v="2"/>
    <x v="1"/>
    <s v="Brand A"/>
    <s v="OR002"/>
    <x v="11"/>
    <n v="698"/>
    <n v="4.99"/>
    <x v="1"/>
    <n v="0.3"/>
    <n v="3.4929999999999999"/>
    <n v="2438.114"/>
    <n v="1.8"/>
    <n v="1256.4000000000001"/>
    <n v="1181.7139999999999"/>
    <n v="0.48468365302032634"/>
    <x v="2"/>
    <n v="1044.9060000000002"/>
  </r>
  <r>
    <s v="TX0575"/>
    <x v="574"/>
    <x v="0"/>
    <x v="2"/>
    <x v="1"/>
    <s v="Brand C"/>
    <s v="OR007"/>
    <x v="18"/>
    <n v="408"/>
    <n v="3.29"/>
    <x v="1"/>
    <n v="0.1"/>
    <n v="2.9610000000000003"/>
    <n v="1208.0880000000002"/>
    <n v="1.1000000000000001"/>
    <n v="448.8"/>
    <n v="759.28800000000024"/>
    <n v="0.62850388382303291"/>
    <x v="2"/>
    <n v="134.232"/>
  </r>
  <r>
    <s v="TX0576"/>
    <x v="575"/>
    <x v="2"/>
    <x v="0"/>
    <x v="1"/>
    <s v="Brand C"/>
    <s v="OR003"/>
    <x v="14"/>
    <n v="448"/>
    <n v="4.49"/>
    <x v="0"/>
    <n v="0"/>
    <n v="4.49"/>
    <n v="2011.52"/>
    <n v="1.7"/>
    <n v="761.6"/>
    <n v="1249.92"/>
    <n v="0.6213808463251671"/>
    <x v="0"/>
    <n v="0"/>
  </r>
  <r>
    <s v="TX0577"/>
    <x v="576"/>
    <x v="1"/>
    <x v="0"/>
    <x v="3"/>
    <s v="Brand A"/>
    <s v="HC001"/>
    <x v="7"/>
    <n v="614"/>
    <n v="5.99"/>
    <x v="1"/>
    <n v="0.1"/>
    <n v="5.391"/>
    <n v="3310.0740000000001"/>
    <n v="2.4"/>
    <n v="1473.6"/>
    <n v="1836.4740000000002"/>
    <n v="0.55481357818586541"/>
    <x v="2"/>
    <n v="367.78600000000006"/>
  </r>
  <r>
    <s v="TX0578"/>
    <x v="577"/>
    <x v="1"/>
    <x v="0"/>
    <x v="2"/>
    <s v="Brand B"/>
    <s v="SC003"/>
    <x v="26"/>
    <n v="391"/>
    <n v="4.49"/>
    <x v="0"/>
    <n v="0"/>
    <n v="4.49"/>
    <n v="1755.5900000000001"/>
    <n v="1.9"/>
    <n v="742.9"/>
    <n v="1012.6900000000002"/>
    <n v="0.57683741648106912"/>
    <x v="0"/>
    <n v="0"/>
  </r>
  <r>
    <s v="TX0579"/>
    <x v="578"/>
    <x v="0"/>
    <x v="2"/>
    <x v="2"/>
    <s v="Brand C"/>
    <s v="SC007"/>
    <x v="5"/>
    <n v="460"/>
    <n v="5.49"/>
    <x v="0"/>
    <n v="0"/>
    <n v="5.49"/>
    <n v="2525.4"/>
    <n v="2.2999999999999998"/>
    <n v="1058"/>
    <n v="1467.4"/>
    <n v="0.58105646630236796"/>
    <x v="0"/>
    <n v="0"/>
  </r>
  <r>
    <s v="TX0580"/>
    <x v="579"/>
    <x v="0"/>
    <x v="1"/>
    <x v="3"/>
    <s v="Brand B"/>
    <s v="HC005"/>
    <x v="17"/>
    <n v="1133"/>
    <n v="4.79"/>
    <x v="1"/>
    <n v="0.1"/>
    <n v="4.3109999999999999"/>
    <n v="4884.3630000000003"/>
    <n v="2"/>
    <n v="2266"/>
    <n v="2618.3630000000003"/>
    <n v="0.53607051728137323"/>
    <x v="3"/>
    <n v="542.70699999999999"/>
  </r>
  <r>
    <s v="TX0581"/>
    <x v="580"/>
    <x v="0"/>
    <x v="0"/>
    <x v="1"/>
    <s v="Brand C"/>
    <s v="OR003"/>
    <x v="14"/>
    <n v="467"/>
    <n v="4.49"/>
    <x v="1"/>
    <n v="0.2"/>
    <n v="3.5920000000000005"/>
    <n v="1677.4640000000002"/>
    <n v="1.7"/>
    <n v="793.9"/>
    <n v="883.56400000000019"/>
    <n v="0.52672605790645888"/>
    <x v="2"/>
    <n v="419.36600000000004"/>
  </r>
  <r>
    <s v="TX0582"/>
    <x v="581"/>
    <x v="2"/>
    <x v="2"/>
    <x v="1"/>
    <s v="Brand B"/>
    <s v="OR004"/>
    <x v="3"/>
    <n v="650"/>
    <n v="5.99"/>
    <x v="0"/>
    <n v="0"/>
    <n v="5.99"/>
    <n v="3893.5"/>
    <n v="2.4"/>
    <n v="1560"/>
    <n v="2333.5"/>
    <n v="0.59933222036727885"/>
    <x v="0"/>
    <n v="0"/>
  </r>
  <r>
    <s v="TX0583"/>
    <x v="582"/>
    <x v="1"/>
    <x v="1"/>
    <x v="1"/>
    <s v="Brand B"/>
    <s v="OR004"/>
    <x v="3"/>
    <n v="204"/>
    <n v="5.99"/>
    <x v="0"/>
    <n v="0"/>
    <n v="5.99"/>
    <n v="1221.96"/>
    <n v="2.4"/>
    <n v="489.59999999999997"/>
    <n v="732.36000000000013"/>
    <n v="0.59933222036727885"/>
    <x v="0"/>
    <n v="0"/>
  </r>
  <r>
    <s v="TX0584"/>
    <x v="583"/>
    <x v="0"/>
    <x v="1"/>
    <x v="3"/>
    <s v="Brand B"/>
    <s v="HC004"/>
    <x v="7"/>
    <n v="448"/>
    <n v="4.99"/>
    <x v="1"/>
    <n v="0.3"/>
    <n v="3.4929999999999999"/>
    <n v="1564.864"/>
    <n v="2.1"/>
    <n v="940.80000000000007"/>
    <n v="624.06399999999996"/>
    <n v="0.39879759519038072"/>
    <x v="3"/>
    <n v="670.65600000000006"/>
  </r>
  <r>
    <s v="TX0585"/>
    <x v="584"/>
    <x v="0"/>
    <x v="2"/>
    <x v="2"/>
    <s v="Brand B"/>
    <s v="SC003"/>
    <x v="26"/>
    <n v="659"/>
    <n v="4.49"/>
    <x v="0"/>
    <n v="0"/>
    <n v="4.49"/>
    <n v="2958.9100000000003"/>
    <n v="1.9"/>
    <n v="1252.0999999999999"/>
    <n v="1706.8100000000004"/>
    <n v="0.57683741648106912"/>
    <x v="0"/>
    <n v="0"/>
  </r>
  <r>
    <s v="TX0586"/>
    <x v="585"/>
    <x v="2"/>
    <x v="0"/>
    <x v="2"/>
    <s v="Brand C"/>
    <s v="SC002"/>
    <x v="8"/>
    <n v="545"/>
    <n v="9.99"/>
    <x v="0"/>
    <n v="0"/>
    <n v="9.99"/>
    <n v="5444.55"/>
    <n v="4.2"/>
    <n v="2289"/>
    <n v="3155.55"/>
    <n v="0.57957957957957962"/>
    <x v="0"/>
    <n v="0"/>
  </r>
  <r>
    <s v="TX0587"/>
    <x v="586"/>
    <x v="1"/>
    <x v="0"/>
    <x v="0"/>
    <s v="Brand A"/>
    <s v="LA003"/>
    <x v="9"/>
    <n v="645"/>
    <n v="6.99"/>
    <x v="0"/>
    <n v="0"/>
    <n v="6.99"/>
    <n v="4508.55"/>
    <n v="2.9"/>
    <n v="1870.5"/>
    <n v="2638.05"/>
    <n v="0.58512160228898424"/>
    <x v="0"/>
    <n v="0"/>
  </r>
  <r>
    <s v="TX0588"/>
    <x v="587"/>
    <x v="0"/>
    <x v="0"/>
    <x v="0"/>
    <s v="Brand B"/>
    <s v="LA004"/>
    <x v="12"/>
    <n v="469"/>
    <n v="5.99"/>
    <x v="0"/>
    <n v="0"/>
    <n v="5.99"/>
    <n v="2809.31"/>
    <n v="2.5"/>
    <n v="1172.5"/>
    <n v="1636.81"/>
    <n v="0.58263772954924875"/>
    <x v="0"/>
    <n v="0"/>
  </r>
  <r>
    <s v="TX0589"/>
    <x v="588"/>
    <x v="1"/>
    <x v="1"/>
    <x v="3"/>
    <s v="Brand A"/>
    <s v="HC001"/>
    <x v="7"/>
    <n v="441"/>
    <n v="5.99"/>
    <x v="0"/>
    <n v="0"/>
    <n v="5.99"/>
    <n v="2641.59"/>
    <n v="2.4"/>
    <n v="1058.3999999999999"/>
    <n v="1583.1900000000003"/>
    <n v="0.59933222036727885"/>
    <x v="0"/>
    <n v="0"/>
  </r>
  <r>
    <s v="TX0590"/>
    <x v="589"/>
    <x v="2"/>
    <x v="1"/>
    <x v="1"/>
    <s v="Brand C"/>
    <s v="OR007"/>
    <x v="18"/>
    <n v="782"/>
    <n v="3.29"/>
    <x v="1"/>
    <n v="0.3"/>
    <n v="2.3029999999999999"/>
    <n v="1800.9459999999999"/>
    <n v="1.1000000000000001"/>
    <n v="860.2"/>
    <n v="940.74599999999987"/>
    <n v="0.52236213634389916"/>
    <x v="3"/>
    <n v="771.83399999999995"/>
  </r>
  <r>
    <s v="TX0591"/>
    <x v="590"/>
    <x v="0"/>
    <x v="1"/>
    <x v="1"/>
    <s v="Brand B"/>
    <s v="OR001"/>
    <x v="19"/>
    <n v="494"/>
    <n v="3.49"/>
    <x v="0"/>
    <n v="0"/>
    <n v="3.49"/>
    <n v="1724.0600000000002"/>
    <n v="1.2"/>
    <n v="592.79999999999995"/>
    <n v="1131.2600000000002"/>
    <n v="0.65616045845272208"/>
    <x v="0"/>
    <n v="0"/>
  </r>
  <r>
    <s v="TX0592"/>
    <x v="591"/>
    <x v="2"/>
    <x v="2"/>
    <x v="0"/>
    <s v="Brand C"/>
    <s v="LA008"/>
    <x v="9"/>
    <n v="775"/>
    <n v="5.49"/>
    <x v="0"/>
    <n v="0"/>
    <n v="5.49"/>
    <n v="4254.75"/>
    <n v="2.4"/>
    <n v="1860"/>
    <n v="2394.75"/>
    <n v="0.56284153005464477"/>
    <x v="0"/>
    <n v="0"/>
  </r>
  <r>
    <s v="TX0593"/>
    <x v="592"/>
    <x v="0"/>
    <x v="0"/>
    <x v="3"/>
    <s v="Brand C"/>
    <s v="HC006"/>
    <x v="13"/>
    <n v="633"/>
    <n v="6.49"/>
    <x v="0"/>
    <n v="0"/>
    <n v="6.49"/>
    <n v="4108.17"/>
    <n v="2.8"/>
    <n v="1772.3999999999999"/>
    <n v="2335.7700000000004"/>
    <n v="0.5685670261941449"/>
    <x v="0"/>
    <n v="0"/>
  </r>
  <r>
    <s v="TX0594"/>
    <x v="593"/>
    <x v="1"/>
    <x v="0"/>
    <x v="2"/>
    <s v="Brand B"/>
    <s v="SC006"/>
    <x v="15"/>
    <n v="658"/>
    <n v="4.99"/>
    <x v="0"/>
    <n v="0"/>
    <n v="4.99"/>
    <n v="3283.42"/>
    <n v="2.1"/>
    <n v="1381.8"/>
    <n v="1901.6200000000001"/>
    <n v="0.57915831663326656"/>
    <x v="0"/>
    <n v="0"/>
  </r>
  <r>
    <s v="TX0595"/>
    <x v="594"/>
    <x v="1"/>
    <x v="2"/>
    <x v="0"/>
    <s v="Brand C"/>
    <s v="LA008"/>
    <x v="9"/>
    <n v="627"/>
    <n v="5.49"/>
    <x v="0"/>
    <n v="0"/>
    <n v="5.49"/>
    <n v="3442.23"/>
    <n v="2.4"/>
    <n v="1504.8"/>
    <n v="1937.43"/>
    <n v="0.56284153005464488"/>
    <x v="0"/>
    <n v="0"/>
  </r>
  <r>
    <s v="TX0596"/>
    <x v="595"/>
    <x v="1"/>
    <x v="1"/>
    <x v="0"/>
    <s v="Brand A"/>
    <s v="LA005"/>
    <x v="21"/>
    <n v="380"/>
    <n v="9.49"/>
    <x v="0"/>
    <n v="0"/>
    <n v="9.49"/>
    <n v="3606.2000000000003"/>
    <n v="4"/>
    <n v="1520"/>
    <n v="2086.2000000000003"/>
    <n v="0.57850368809272923"/>
    <x v="0"/>
    <n v="0"/>
  </r>
  <r>
    <s v="TX0597"/>
    <x v="596"/>
    <x v="0"/>
    <x v="1"/>
    <x v="1"/>
    <s v="Brand B"/>
    <s v="OR001"/>
    <x v="19"/>
    <n v="351"/>
    <n v="3.49"/>
    <x v="0"/>
    <n v="0"/>
    <n v="3.49"/>
    <n v="1224.99"/>
    <n v="1.2"/>
    <n v="421.2"/>
    <n v="803.79"/>
    <n v="0.65616045845272197"/>
    <x v="0"/>
    <n v="0"/>
  </r>
  <r>
    <s v="TX0598"/>
    <x v="597"/>
    <x v="2"/>
    <x v="0"/>
    <x v="1"/>
    <s v="Brand C"/>
    <s v="OR003"/>
    <x v="14"/>
    <n v="390"/>
    <n v="4.49"/>
    <x v="0"/>
    <n v="0"/>
    <n v="4.49"/>
    <n v="1751.1000000000001"/>
    <n v="1.7"/>
    <n v="663"/>
    <n v="1088.1000000000001"/>
    <n v="0.6213808463251671"/>
    <x v="0"/>
    <n v="0"/>
  </r>
  <r>
    <s v="TX0599"/>
    <x v="598"/>
    <x v="0"/>
    <x v="1"/>
    <x v="1"/>
    <s v="Brand B"/>
    <s v="OR001"/>
    <x v="19"/>
    <n v="458"/>
    <n v="3.49"/>
    <x v="0"/>
    <n v="0"/>
    <n v="3.49"/>
    <n v="1598.42"/>
    <n v="1.2"/>
    <n v="549.6"/>
    <n v="1048.8200000000002"/>
    <n v="0.65616045845272208"/>
    <x v="0"/>
    <n v="0"/>
  </r>
  <r>
    <s v="TX0600"/>
    <x v="599"/>
    <x v="1"/>
    <x v="0"/>
    <x v="2"/>
    <s v="Brand A"/>
    <s v="SC004"/>
    <x v="4"/>
    <n v="277"/>
    <n v="8.49"/>
    <x v="0"/>
    <n v="0"/>
    <n v="8.49"/>
    <n v="2351.73"/>
    <n v="3.5"/>
    <n v="969.5"/>
    <n v="1382.23"/>
    <n v="0.58775029446407534"/>
    <x v="0"/>
    <n v="0"/>
  </r>
  <r>
    <s v="TX0601"/>
    <x v="600"/>
    <x v="1"/>
    <x v="2"/>
    <x v="3"/>
    <s v="Brand A"/>
    <s v="HC003"/>
    <x v="17"/>
    <n v="780"/>
    <n v="5.49"/>
    <x v="0"/>
    <n v="0"/>
    <n v="5.49"/>
    <n v="4282.2"/>
    <n v="2.2000000000000002"/>
    <n v="1716.0000000000002"/>
    <n v="2566.1999999999998"/>
    <n v="0.59927140255009104"/>
    <x v="0"/>
    <n v="0"/>
  </r>
  <r>
    <s v="TX0602"/>
    <x v="601"/>
    <x v="1"/>
    <x v="2"/>
    <x v="3"/>
    <s v="Brand B"/>
    <s v="HC008"/>
    <x v="20"/>
    <n v="748"/>
    <n v="4.49"/>
    <x v="0"/>
    <n v="0"/>
    <n v="4.49"/>
    <n v="3358.52"/>
    <n v="1.9"/>
    <n v="1421.2"/>
    <n v="1937.32"/>
    <n v="0.57683741648106901"/>
    <x v="0"/>
    <n v="0"/>
  </r>
  <r>
    <s v="TX0603"/>
    <x v="602"/>
    <x v="0"/>
    <x v="1"/>
    <x v="0"/>
    <s v="Brand B"/>
    <s v="LA007"/>
    <x v="25"/>
    <n v="356"/>
    <n v="10.49"/>
    <x v="0"/>
    <n v="0"/>
    <n v="10.49"/>
    <n v="3734.44"/>
    <n v="4.5999999999999996"/>
    <n v="1637.6"/>
    <n v="2096.84"/>
    <n v="0.56148713060057198"/>
    <x v="0"/>
    <n v="0"/>
  </r>
  <r>
    <s v="TX0604"/>
    <x v="603"/>
    <x v="2"/>
    <x v="0"/>
    <x v="0"/>
    <s v="Brand B"/>
    <s v="LA007"/>
    <x v="25"/>
    <n v="698"/>
    <n v="10.49"/>
    <x v="0"/>
    <n v="0"/>
    <n v="10.49"/>
    <n v="7322.02"/>
    <n v="4.5999999999999996"/>
    <n v="3210.7999999999997"/>
    <n v="4111.2200000000012"/>
    <n v="0.56148713060057209"/>
    <x v="0"/>
    <n v="0"/>
  </r>
  <r>
    <s v="TX0605"/>
    <x v="604"/>
    <x v="2"/>
    <x v="2"/>
    <x v="0"/>
    <s v="Brand C"/>
    <s v="LA006"/>
    <x v="2"/>
    <n v="408"/>
    <n v="8.99"/>
    <x v="0"/>
    <n v="0"/>
    <n v="8.99"/>
    <n v="3667.92"/>
    <n v="4"/>
    <n v="1632"/>
    <n v="2035.92"/>
    <n v="0.55506117908787544"/>
    <x v="0"/>
    <n v="0"/>
  </r>
  <r>
    <s v="TX0606"/>
    <x v="605"/>
    <x v="1"/>
    <x v="1"/>
    <x v="1"/>
    <s v="Brand B"/>
    <s v="OR004"/>
    <x v="3"/>
    <n v="1061"/>
    <n v="5.99"/>
    <x v="1"/>
    <n v="0.2"/>
    <n v="4.7920000000000007"/>
    <n v="5084.3120000000008"/>
    <n v="2.4"/>
    <n v="2546.4"/>
    <n v="2537.9120000000007"/>
    <n v="0.49916527545909856"/>
    <x v="3"/>
    <n v="1271.0780000000002"/>
  </r>
  <r>
    <s v="TX0607"/>
    <x v="606"/>
    <x v="1"/>
    <x v="2"/>
    <x v="0"/>
    <s v="Brand A"/>
    <s v="LA005"/>
    <x v="21"/>
    <n v="407"/>
    <n v="9.49"/>
    <x v="0"/>
    <n v="0"/>
    <n v="9.49"/>
    <n v="3862.4300000000003"/>
    <n v="4"/>
    <n v="1628"/>
    <n v="2234.4300000000003"/>
    <n v="0.57850368809272923"/>
    <x v="0"/>
    <n v="0"/>
  </r>
  <r>
    <s v="TX0608"/>
    <x v="607"/>
    <x v="1"/>
    <x v="0"/>
    <x v="0"/>
    <s v="Brand C"/>
    <s v="LA006"/>
    <x v="2"/>
    <n v="864"/>
    <n v="8.99"/>
    <x v="1"/>
    <n v="0.3"/>
    <n v="6.2930000000000001"/>
    <n v="5437.152"/>
    <n v="4"/>
    <n v="3456"/>
    <n v="1981.152"/>
    <n v="0.36437311298267916"/>
    <x v="2"/>
    <n v="2330.2080000000001"/>
  </r>
  <r>
    <s v="TX0609"/>
    <x v="608"/>
    <x v="1"/>
    <x v="2"/>
    <x v="0"/>
    <s v="Brand C"/>
    <s v="LA006"/>
    <x v="2"/>
    <n v="224"/>
    <n v="8.99"/>
    <x v="0"/>
    <n v="0"/>
    <n v="8.99"/>
    <n v="2013.76"/>
    <n v="4"/>
    <n v="896"/>
    <n v="1117.76"/>
    <n v="0.55506117908787544"/>
    <x v="0"/>
    <n v="0"/>
  </r>
  <r>
    <s v="TX0610"/>
    <x v="609"/>
    <x v="1"/>
    <x v="1"/>
    <x v="1"/>
    <s v="Brand C"/>
    <s v="OR007"/>
    <x v="18"/>
    <n v="1199"/>
    <n v="3.29"/>
    <x v="1"/>
    <n v="0.3"/>
    <n v="2.3029999999999999"/>
    <n v="2761.297"/>
    <n v="1.1000000000000001"/>
    <n v="1318.9"/>
    <n v="1442.3969999999999"/>
    <n v="0.52236213634389927"/>
    <x v="3"/>
    <n v="1183.413"/>
  </r>
  <r>
    <s v="TX0611"/>
    <x v="610"/>
    <x v="1"/>
    <x v="1"/>
    <x v="2"/>
    <s v="Brand B"/>
    <s v="SC003"/>
    <x v="26"/>
    <n v="630"/>
    <n v="4.49"/>
    <x v="1"/>
    <n v="0.3"/>
    <n v="3.1429999999999998"/>
    <n v="1980.09"/>
    <n v="1.9"/>
    <n v="1197"/>
    <n v="783.08999999999992"/>
    <n v="0.39548202354438433"/>
    <x v="3"/>
    <n v="848.61"/>
  </r>
  <r>
    <s v="TX0612"/>
    <x v="611"/>
    <x v="2"/>
    <x v="0"/>
    <x v="1"/>
    <s v="Brand A"/>
    <s v="OR005"/>
    <x v="10"/>
    <n v="293"/>
    <n v="3.99"/>
    <x v="0"/>
    <n v="0"/>
    <n v="3.99"/>
    <n v="1169.0700000000002"/>
    <n v="1.5"/>
    <n v="439.5"/>
    <n v="729.57000000000016"/>
    <n v="0.62406015037593987"/>
    <x v="0"/>
    <n v="0"/>
  </r>
  <r>
    <s v="TX0613"/>
    <x v="612"/>
    <x v="2"/>
    <x v="0"/>
    <x v="0"/>
    <s v="Brand A"/>
    <s v="LA005"/>
    <x v="21"/>
    <n v="699"/>
    <n v="9.49"/>
    <x v="0"/>
    <n v="0"/>
    <n v="9.49"/>
    <n v="6633.51"/>
    <n v="4"/>
    <n v="2796"/>
    <n v="3837.51"/>
    <n v="0.57850368809272923"/>
    <x v="0"/>
    <n v="0"/>
  </r>
  <r>
    <s v="TX0614"/>
    <x v="613"/>
    <x v="0"/>
    <x v="1"/>
    <x v="2"/>
    <s v="Brand B"/>
    <s v="SC006"/>
    <x v="15"/>
    <n v="267"/>
    <n v="4.99"/>
    <x v="0"/>
    <n v="0"/>
    <n v="4.99"/>
    <n v="1332.3300000000002"/>
    <n v="2.1"/>
    <n v="560.70000000000005"/>
    <n v="771.63000000000011"/>
    <n v="0.57915831663326656"/>
    <x v="0"/>
    <n v="0"/>
  </r>
  <r>
    <s v="TX0615"/>
    <x v="614"/>
    <x v="0"/>
    <x v="2"/>
    <x v="3"/>
    <s v="Brand A"/>
    <s v="HC003"/>
    <x v="17"/>
    <n v="358"/>
    <n v="5.49"/>
    <x v="0"/>
    <n v="0"/>
    <n v="5.49"/>
    <n v="1965.42"/>
    <n v="2.2000000000000002"/>
    <n v="787.6"/>
    <n v="1177.8200000000002"/>
    <n v="0.59927140255009115"/>
    <x v="0"/>
    <n v="0"/>
  </r>
  <r>
    <s v="TX0616"/>
    <x v="615"/>
    <x v="2"/>
    <x v="1"/>
    <x v="2"/>
    <s v="Brand C"/>
    <s v="SC007"/>
    <x v="5"/>
    <n v="327"/>
    <n v="5.49"/>
    <x v="0"/>
    <n v="0"/>
    <n v="5.49"/>
    <n v="1795.23"/>
    <n v="2.2999999999999998"/>
    <n v="752.09999999999991"/>
    <n v="1043.1300000000001"/>
    <n v="0.58105646630236796"/>
    <x v="0"/>
    <n v="0"/>
  </r>
  <r>
    <s v="TX0617"/>
    <x v="616"/>
    <x v="1"/>
    <x v="2"/>
    <x v="0"/>
    <s v="Brand A"/>
    <s v="LA003"/>
    <x v="9"/>
    <n v="575"/>
    <n v="6.99"/>
    <x v="0"/>
    <n v="0"/>
    <n v="6.99"/>
    <n v="4019.25"/>
    <n v="2.9"/>
    <n v="1667.5"/>
    <n v="2351.75"/>
    <n v="0.58512160228898424"/>
    <x v="0"/>
    <n v="0"/>
  </r>
  <r>
    <s v="TX0618"/>
    <x v="617"/>
    <x v="1"/>
    <x v="1"/>
    <x v="0"/>
    <s v="Brand A"/>
    <s v="LA005"/>
    <x v="21"/>
    <n v="1186"/>
    <n v="9.49"/>
    <x v="1"/>
    <n v="0.3"/>
    <n v="6.6429999999999998"/>
    <n v="7878.598"/>
    <n v="4"/>
    <n v="4744"/>
    <n v="3134.598"/>
    <n v="0.39786241156104168"/>
    <x v="1"/>
    <n v="3376.5419999999999"/>
  </r>
  <r>
    <s v="TX0619"/>
    <x v="618"/>
    <x v="1"/>
    <x v="2"/>
    <x v="1"/>
    <s v="Brand B"/>
    <s v="OR004"/>
    <x v="3"/>
    <n v="205"/>
    <n v="5.99"/>
    <x v="0"/>
    <n v="0"/>
    <n v="5.99"/>
    <n v="1227.95"/>
    <n v="2.4"/>
    <n v="492"/>
    <n v="735.95"/>
    <n v="0.59933222036727885"/>
    <x v="0"/>
    <n v="0"/>
  </r>
  <r>
    <s v="TX0620"/>
    <x v="619"/>
    <x v="1"/>
    <x v="1"/>
    <x v="1"/>
    <s v="Brand C"/>
    <s v="OR007"/>
    <x v="18"/>
    <n v="803"/>
    <n v="3.29"/>
    <x v="1"/>
    <n v="0.2"/>
    <n v="2.6320000000000001"/>
    <n v="2113.4960000000001"/>
    <n v="1.1000000000000001"/>
    <n v="883.30000000000007"/>
    <n v="1230.1959999999999"/>
    <n v="0.58206686930091178"/>
    <x v="3"/>
    <n v="528.37400000000002"/>
  </r>
  <r>
    <s v="TX0621"/>
    <x v="620"/>
    <x v="0"/>
    <x v="0"/>
    <x v="3"/>
    <s v="Brand C"/>
    <s v="HC006"/>
    <x v="13"/>
    <n v="359"/>
    <n v="6.49"/>
    <x v="0"/>
    <n v="0"/>
    <n v="6.49"/>
    <n v="2329.91"/>
    <n v="2.8"/>
    <n v="1005.1999999999999"/>
    <n v="1324.71"/>
    <n v="0.5685670261941449"/>
    <x v="0"/>
    <n v="0"/>
  </r>
  <r>
    <s v="TX0622"/>
    <x v="621"/>
    <x v="0"/>
    <x v="0"/>
    <x v="1"/>
    <s v="Brand A"/>
    <s v="OR002"/>
    <x v="11"/>
    <n v="264"/>
    <n v="4.99"/>
    <x v="0"/>
    <n v="0"/>
    <n v="4.99"/>
    <n v="1317.3600000000001"/>
    <n v="1.8"/>
    <n v="475.2"/>
    <n v="842.16000000000008"/>
    <n v="0.63927855711422843"/>
    <x v="0"/>
    <n v="0"/>
  </r>
  <r>
    <s v="TX0623"/>
    <x v="622"/>
    <x v="1"/>
    <x v="0"/>
    <x v="3"/>
    <s v="Brand B"/>
    <s v="HC004"/>
    <x v="7"/>
    <n v="766"/>
    <n v="4.99"/>
    <x v="0"/>
    <n v="0"/>
    <n v="4.99"/>
    <n v="3822.34"/>
    <n v="2.1"/>
    <n v="1608.6000000000001"/>
    <n v="2213.7399999999998"/>
    <n v="0.57915831663326645"/>
    <x v="0"/>
    <n v="0"/>
  </r>
  <r>
    <s v="TX0624"/>
    <x v="623"/>
    <x v="1"/>
    <x v="0"/>
    <x v="1"/>
    <s v="Brand B"/>
    <s v="OR001"/>
    <x v="19"/>
    <n v="274"/>
    <n v="3.49"/>
    <x v="0"/>
    <n v="0"/>
    <n v="3.49"/>
    <n v="956.2600000000001"/>
    <n v="1.2"/>
    <n v="328.8"/>
    <n v="627.46"/>
    <n v="0.65616045845272208"/>
    <x v="0"/>
    <n v="0"/>
  </r>
  <r>
    <s v="TX0625"/>
    <x v="624"/>
    <x v="0"/>
    <x v="1"/>
    <x v="0"/>
    <s v="Brand B"/>
    <s v="LA001"/>
    <x v="1"/>
    <n v="689"/>
    <n v="8.49"/>
    <x v="0"/>
    <n v="0"/>
    <n v="8.49"/>
    <n v="5849.6100000000006"/>
    <n v="3.8"/>
    <n v="2618.1999999999998"/>
    <n v="3231.4100000000008"/>
    <n v="0.55241460541813903"/>
    <x v="0"/>
    <n v="0"/>
  </r>
  <r>
    <s v="TX0626"/>
    <x v="625"/>
    <x v="1"/>
    <x v="1"/>
    <x v="0"/>
    <s v="Brand B"/>
    <s v="LA001"/>
    <x v="1"/>
    <n v="647"/>
    <n v="8.49"/>
    <x v="0"/>
    <n v="0"/>
    <n v="8.49"/>
    <n v="5493.03"/>
    <n v="3.8"/>
    <n v="2458.6"/>
    <n v="3034.43"/>
    <n v="0.55241460541813903"/>
    <x v="0"/>
    <n v="0"/>
  </r>
  <r>
    <s v="TX0627"/>
    <x v="626"/>
    <x v="1"/>
    <x v="0"/>
    <x v="3"/>
    <s v="Brand A"/>
    <s v="HC002"/>
    <x v="22"/>
    <n v="455"/>
    <n v="8.99"/>
    <x v="1"/>
    <n v="0.3"/>
    <n v="6.2930000000000001"/>
    <n v="2863.3150000000001"/>
    <n v="3.6"/>
    <n v="1638"/>
    <n v="1225.3150000000001"/>
    <n v="0.42793580168441125"/>
    <x v="2"/>
    <n v="1227.135"/>
  </r>
  <r>
    <s v="TX0628"/>
    <x v="627"/>
    <x v="0"/>
    <x v="1"/>
    <x v="1"/>
    <s v="Brand B"/>
    <s v="OR004"/>
    <x v="3"/>
    <n v="233"/>
    <n v="5.99"/>
    <x v="0"/>
    <n v="0"/>
    <n v="5.99"/>
    <n v="1395.67"/>
    <n v="2.4"/>
    <n v="559.19999999999993"/>
    <n v="836.47000000000014"/>
    <n v="0.59933222036727885"/>
    <x v="0"/>
    <n v="0"/>
  </r>
  <r>
    <s v="TX0629"/>
    <x v="628"/>
    <x v="2"/>
    <x v="0"/>
    <x v="1"/>
    <s v="Brand A"/>
    <s v="OR005"/>
    <x v="10"/>
    <n v="216"/>
    <n v="3.99"/>
    <x v="0"/>
    <n v="0"/>
    <n v="3.99"/>
    <n v="861.84"/>
    <n v="1.5"/>
    <n v="324"/>
    <n v="537.84"/>
    <n v="0.62406015037593987"/>
    <x v="0"/>
    <n v="0"/>
  </r>
  <r>
    <s v="TX0630"/>
    <x v="629"/>
    <x v="0"/>
    <x v="2"/>
    <x v="3"/>
    <s v="Brand C"/>
    <s v="HC007"/>
    <x v="23"/>
    <n v="1182"/>
    <n v="7.49"/>
    <x v="1"/>
    <n v="0.1"/>
    <n v="6.7410000000000005"/>
    <n v="7967.862000000001"/>
    <n v="3.1"/>
    <n v="3664.2000000000003"/>
    <n v="4303.6620000000003"/>
    <n v="0.54012757751075502"/>
    <x v="1"/>
    <n v="885.3180000000001"/>
  </r>
  <r>
    <s v="TX0631"/>
    <x v="630"/>
    <x v="0"/>
    <x v="0"/>
    <x v="2"/>
    <s v="Brand B"/>
    <s v="SC006"/>
    <x v="15"/>
    <n v="549"/>
    <n v="4.99"/>
    <x v="1"/>
    <n v="0.1"/>
    <n v="4.4910000000000005"/>
    <n v="2465.5590000000002"/>
    <n v="2.1"/>
    <n v="1152.9000000000001"/>
    <n v="1312.6590000000001"/>
    <n v="0.53239812959251842"/>
    <x v="1"/>
    <n v="273.95100000000002"/>
  </r>
  <r>
    <s v="TX0632"/>
    <x v="631"/>
    <x v="2"/>
    <x v="1"/>
    <x v="1"/>
    <s v="Brand A"/>
    <s v="OR006"/>
    <x v="24"/>
    <n v="756"/>
    <n v="12.99"/>
    <x v="1"/>
    <n v="0.3"/>
    <n v="9.093"/>
    <n v="6874.308"/>
    <n v="5.2"/>
    <n v="3931.2000000000003"/>
    <n v="2943.1079999999997"/>
    <n v="0.42813152974815788"/>
    <x v="3"/>
    <n v="2946.1320000000001"/>
  </r>
  <r>
    <s v="TX0633"/>
    <x v="632"/>
    <x v="1"/>
    <x v="2"/>
    <x v="3"/>
    <s v="Brand C"/>
    <s v="HC006"/>
    <x v="13"/>
    <n v="429"/>
    <n v="6.49"/>
    <x v="0"/>
    <n v="0"/>
    <n v="6.49"/>
    <n v="2784.21"/>
    <n v="2.8"/>
    <n v="1201.1999999999998"/>
    <n v="1583.0100000000002"/>
    <n v="0.5685670261941449"/>
    <x v="0"/>
    <n v="0"/>
  </r>
  <r>
    <s v="TX0634"/>
    <x v="633"/>
    <x v="2"/>
    <x v="1"/>
    <x v="3"/>
    <s v="Brand A"/>
    <s v="HC002"/>
    <x v="22"/>
    <n v="782"/>
    <n v="8.99"/>
    <x v="0"/>
    <n v="0"/>
    <n v="8.99"/>
    <n v="7030.18"/>
    <n v="3.6"/>
    <n v="2815.2000000000003"/>
    <n v="4214.9799999999996"/>
    <n v="0.59955506117908774"/>
    <x v="0"/>
    <n v="0"/>
  </r>
  <r>
    <s v="TX0635"/>
    <x v="634"/>
    <x v="0"/>
    <x v="0"/>
    <x v="3"/>
    <s v="Brand C"/>
    <s v="HC006"/>
    <x v="13"/>
    <n v="346"/>
    <n v="6.49"/>
    <x v="0"/>
    <n v="0"/>
    <n v="6.49"/>
    <n v="2245.54"/>
    <n v="2.8"/>
    <n v="968.8"/>
    <n v="1276.74"/>
    <n v="0.5685670261941449"/>
    <x v="0"/>
    <n v="0"/>
  </r>
  <r>
    <s v="TX0636"/>
    <x v="635"/>
    <x v="2"/>
    <x v="2"/>
    <x v="2"/>
    <s v="Brand C"/>
    <s v="SC007"/>
    <x v="5"/>
    <n v="777"/>
    <n v="5.49"/>
    <x v="0"/>
    <n v="0"/>
    <n v="5.49"/>
    <n v="4265.7300000000005"/>
    <n v="2.2999999999999998"/>
    <n v="1787.1"/>
    <n v="2478.6300000000006"/>
    <n v="0.58105646630236796"/>
    <x v="0"/>
    <n v="0"/>
  </r>
  <r>
    <s v="TX0637"/>
    <x v="636"/>
    <x v="1"/>
    <x v="0"/>
    <x v="3"/>
    <s v="Brand C"/>
    <s v="HC006"/>
    <x v="13"/>
    <n v="668"/>
    <n v="6.49"/>
    <x v="0"/>
    <n v="0"/>
    <n v="6.49"/>
    <n v="4335.32"/>
    <n v="2.8"/>
    <n v="1870.3999999999999"/>
    <n v="2464.92"/>
    <n v="0.5685670261941449"/>
    <x v="0"/>
    <n v="0"/>
  </r>
  <r>
    <s v="TX0638"/>
    <x v="637"/>
    <x v="1"/>
    <x v="2"/>
    <x v="3"/>
    <s v="Brand A"/>
    <s v="HC001"/>
    <x v="7"/>
    <n v="420"/>
    <n v="5.99"/>
    <x v="0"/>
    <n v="0"/>
    <n v="5.99"/>
    <n v="2515.8000000000002"/>
    <n v="2.4"/>
    <n v="1008"/>
    <n v="1507.8000000000002"/>
    <n v="0.59933222036727885"/>
    <x v="0"/>
    <n v="0"/>
  </r>
  <r>
    <s v="TX0639"/>
    <x v="638"/>
    <x v="2"/>
    <x v="0"/>
    <x v="0"/>
    <s v="Brand C"/>
    <s v="LA006"/>
    <x v="2"/>
    <n v="421"/>
    <n v="8.99"/>
    <x v="0"/>
    <n v="0"/>
    <n v="8.99"/>
    <n v="3784.79"/>
    <n v="4"/>
    <n v="1684"/>
    <n v="2100.79"/>
    <n v="0.55506117908787544"/>
    <x v="0"/>
    <n v="0"/>
  </r>
  <r>
    <s v="TX0640"/>
    <x v="639"/>
    <x v="1"/>
    <x v="1"/>
    <x v="0"/>
    <s v="Brand B"/>
    <s v="LA001"/>
    <x v="1"/>
    <n v="472"/>
    <n v="8.49"/>
    <x v="0"/>
    <n v="0"/>
    <n v="8.49"/>
    <n v="4007.28"/>
    <n v="3.8"/>
    <n v="1793.6"/>
    <n v="2213.6800000000003"/>
    <n v="0.55241460541813903"/>
    <x v="0"/>
    <n v="0"/>
  </r>
  <r>
    <s v="TX0641"/>
    <x v="640"/>
    <x v="0"/>
    <x v="1"/>
    <x v="1"/>
    <s v="Brand C"/>
    <s v="OR007"/>
    <x v="18"/>
    <n v="482"/>
    <n v="3.29"/>
    <x v="1"/>
    <n v="0.2"/>
    <n v="2.6320000000000001"/>
    <n v="1268.624"/>
    <n v="1.1000000000000001"/>
    <n v="530.20000000000005"/>
    <n v="738.42399999999998"/>
    <n v="0.58206686930091178"/>
    <x v="2"/>
    <n v="317.15600000000001"/>
  </r>
  <r>
    <s v="TX0642"/>
    <x v="641"/>
    <x v="1"/>
    <x v="1"/>
    <x v="0"/>
    <s v="Brand B"/>
    <s v="LA001"/>
    <x v="1"/>
    <n v="500"/>
    <n v="8.49"/>
    <x v="0"/>
    <n v="0"/>
    <n v="8.49"/>
    <n v="4245"/>
    <n v="3.8"/>
    <n v="1900"/>
    <n v="2345"/>
    <n v="0.55241460541813903"/>
    <x v="0"/>
    <n v="0"/>
  </r>
  <r>
    <s v="TX0643"/>
    <x v="642"/>
    <x v="0"/>
    <x v="2"/>
    <x v="2"/>
    <s v="Brand A"/>
    <s v="SC001"/>
    <x v="6"/>
    <n v="313"/>
    <n v="7.99"/>
    <x v="0"/>
    <n v="0"/>
    <n v="7.99"/>
    <n v="2500.87"/>
    <n v="3.1"/>
    <n v="970.30000000000007"/>
    <n v="1530.5699999999997"/>
    <n v="0.61201501877346676"/>
    <x v="0"/>
    <n v="0"/>
  </r>
  <r>
    <s v="TX0644"/>
    <x v="643"/>
    <x v="1"/>
    <x v="2"/>
    <x v="0"/>
    <s v="Brand C"/>
    <s v="LA006"/>
    <x v="2"/>
    <n v="411"/>
    <n v="8.99"/>
    <x v="0"/>
    <n v="0"/>
    <n v="8.99"/>
    <n v="3694.89"/>
    <n v="4"/>
    <n v="1644"/>
    <n v="2050.89"/>
    <n v="0.55506117908787544"/>
    <x v="0"/>
    <n v="0"/>
  </r>
  <r>
    <s v="TX0645"/>
    <x v="644"/>
    <x v="0"/>
    <x v="2"/>
    <x v="1"/>
    <s v="Brand C"/>
    <s v="OR007"/>
    <x v="18"/>
    <n v="536"/>
    <n v="3.29"/>
    <x v="1"/>
    <n v="0.1"/>
    <n v="2.9610000000000003"/>
    <n v="1587.0960000000002"/>
    <n v="1.1000000000000001"/>
    <n v="589.6"/>
    <n v="997.49600000000021"/>
    <n v="0.62850388382303279"/>
    <x v="3"/>
    <n v="176.34399999999999"/>
  </r>
  <r>
    <s v="TX0646"/>
    <x v="645"/>
    <x v="1"/>
    <x v="2"/>
    <x v="1"/>
    <s v="Brand C"/>
    <s v="OR007"/>
    <x v="18"/>
    <n v="377"/>
    <n v="3.29"/>
    <x v="0"/>
    <n v="0"/>
    <n v="3.29"/>
    <n v="1240.33"/>
    <n v="1.1000000000000001"/>
    <n v="414.70000000000005"/>
    <n v="825.62999999999988"/>
    <n v="0.66565349544072938"/>
    <x v="0"/>
    <n v="0"/>
  </r>
  <r>
    <s v="TX0647"/>
    <x v="646"/>
    <x v="2"/>
    <x v="0"/>
    <x v="2"/>
    <s v="Brand B"/>
    <s v="SC006"/>
    <x v="15"/>
    <n v="1088"/>
    <n v="4.99"/>
    <x v="1"/>
    <n v="0.3"/>
    <n v="3.4929999999999999"/>
    <n v="3800.384"/>
    <n v="2.1"/>
    <n v="2284.8000000000002"/>
    <n v="1515.5839999999998"/>
    <n v="0.39879759519038072"/>
    <x v="1"/>
    <n v="1628.7360000000001"/>
  </r>
  <r>
    <s v="TX0648"/>
    <x v="647"/>
    <x v="1"/>
    <x v="0"/>
    <x v="2"/>
    <s v="Brand C"/>
    <s v="SC002"/>
    <x v="8"/>
    <n v="361"/>
    <n v="9.99"/>
    <x v="0"/>
    <n v="0"/>
    <n v="9.99"/>
    <n v="3606.39"/>
    <n v="4.2"/>
    <n v="1516.2"/>
    <n v="2090.1899999999996"/>
    <n v="0.57957957957957951"/>
    <x v="0"/>
    <n v="0"/>
  </r>
  <r>
    <s v="TX0649"/>
    <x v="648"/>
    <x v="0"/>
    <x v="1"/>
    <x v="2"/>
    <s v="Brand A"/>
    <s v="SC005"/>
    <x v="16"/>
    <n v="447"/>
    <n v="10.99"/>
    <x v="0"/>
    <n v="0"/>
    <n v="10.99"/>
    <n v="4912.53"/>
    <n v="4.5999999999999996"/>
    <n v="2056.1999999999998"/>
    <n v="2856.33"/>
    <n v="0.58143767060964513"/>
    <x v="0"/>
    <n v="0"/>
  </r>
  <r>
    <s v="TX0650"/>
    <x v="649"/>
    <x v="1"/>
    <x v="0"/>
    <x v="3"/>
    <s v="Brand C"/>
    <s v="HC007"/>
    <x v="23"/>
    <n v="622"/>
    <n v="7.49"/>
    <x v="0"/>
    <n v="0"/>
    <n v="7.49"/>
    <n v="4658.78"/>
    <n v="3.1"/>
    <n v="1928.2"/>
    <n v="2730.58"/>
    <n v="0.58611481975967961"/>
    <x v="0"/>
    <n v="0"/>
  </r>
  <r>
    <s v="TX0651"/>
    <x v="650"/>
    <x v="1"/>
    <x v="2"/>
    <x v="2"/>
    <s v="Brand C"/>
    <s v="SC002"/>
    <x v="8"/>
    <n v="547"/>
    <n v="9.99"/>
    <x v="0"/>
    <n v="0"/>
    <n v="9.99"/>
    <n v="5464.53"/>
    <n v="4.2"/>
    <n v="2297.4"/>
    <n v="3167.1299999999997"/>
    <n v="0.57957957957957951"/>
    <x v="0"/>
    <n v="0"/>
  </r>
  <r>
    <s v="TX0652"/>
    <x v="651"/>
    <x v="2"/>
    <x v="0"/>
    <x v="0"/>
    <s v="Brand B"/>
    <s v="LA004"/>
    <x v="12"/>
    <n v="1191"/>
    <n v="5.99"/>
    <x v="1"/>
    <n v="0.3"/>
    <n v="4.1929999999999996"/>
    <n v="4993.8629999999994"/>
    <n v="2.5"/>
    <n v="2977.5"/>
    <n v="2016.3629999999994"/>
    <n v="0.40376818507035528"/>
    <x v="2"/>
    <n v="2140.2269999999999"/>
  </r>
  <r>
    <s v="TX0653"/>
    <x v="652"/>
    <x v="0"/>
    <x v="2"/>
    <x v="3"/>
    <s v="Brand A"/>
    <s v="HC001"/>
    <x v="7"/>
    <n v="929"/>
    <n v="5.99"/>
    <x v="1"/>
    <n v="0.3"/>
    <n v="4.1929999999999996"/>
    <n v="3895.2969999999996"/>
    <n v="2.4"/>
    <n v="2229.6"/>
    <n v="1665.6969999999997"/>
    <n v="0.42761745766754111"/>
    <x v="3"/>
    <n v="1669.413"/>
  </r>
  <r>
    <s v="TX0654"/>
    <x v="653"/>
    <x v="1"/>
    <x v="0"/>
    <x v="0"/>
    <s v="Brand C"/>
    <s v="LA008"/>
    <x v="9"/>
    <n v="582"/>
    <n v="5.49"/>
    <x v="0"/>
    <n v="0"/>
    <n v="5.49"/>
    <n v="3195.1800000000003"/>
    <n v="2.4"/>
    <n v="1396.8"/>
    <n v="1798.3800000000003"/>
    <n v="0.56284153005464488"/>
    <x v="0"/>
    <n v="0"/>
  </r>
  <r>
    <s v="TX0655"/>
    <x v="654"/>
    <x v="0"/>
    <x v="0"/>
    <x v="0"/>
    <s v="Brand C"/>
    <s v="LA002"/>
    <x v="0"/>
    <n v="302"/>
    <n v="11.99"/>
    <x v="0"/>
    <n v="0"/>
    <n v="11.99"/>
    <n v="3620.98"/>
    <n v="5.2"/>
    <n v="1570.4"/>
    <n v="2050.58"/>
    <n v="0.56630525437864887"/>
    <x v="0"/>
    <n v="0"/>
  </r>
  <r>
    <s v="TX0656"/>
    <x v="655"/>
    <x v="0"/>
    <x v="0"/>
    <x v="2"/>
    <s v="Brand B"/>
    <s v="SC006"/>
    <x v="15"/>
    <n v="885"/>
    <n v="4.99"/>
    <x v="1"/>
    <n v="0.1"/>
    <n v="4.4910000000000005"/>
    <n v="3974.5350000000003"/>
    <n v="2.1"/>
    <n v="1858.5"/>
    <n v="2116.0350000000003"/>
    <n v="0.53239812959251842"/>
    <x v="3"/>
    <n v="441.61500000000007"/>
  </r>
  <r>
    <s v="TX0657"/>
    <x v="656"/>
    <x v="2"/>
    <x v="1"/>
    <x v="1"/>
    <s v="Brand A"/>
    <s v="OR005"/>
    <x v="10"/>
    <n v="1030"/>
    <n v="3.99"/>
    <x v="1"/>
    <n v="0.1"/>
    <n v="3.5910000000000002"/>
    <n v="3698.73"/>
    <n v="1.5"/>
    <n v="1545"/>
    <n v="2153.73"/>
    <n v="0.58228905597326652"/>
    <x v="3"/>
    <n v="410.97"/>
  </r>
  <r>
    <s v="TX0658"/>
    <x v="657"/>
    <x v="1"/>
    <x v="2"/>
    <x v="3"/>
    <s v="Brand B"/>
    <s v="HC008"/>
    <x v="20"/>
    <n v="764"/>
    <n v="4.49"/>
    <x v="1"/>
    <n v="0.2"/>
    <n v="3.5920000000000005"/>
    <n v="2744.2880000000005"/>
    <n v="1.9"/>
    <n v="1451.6"/>
    <n v="1292.6880000000006"/>
    <n v="0.47104677060133643"/>
    <x v="2"/>
    <n v="686.07200000000012"/>
  </r>
  <r>
    <s v="TX0659"/>
    <x v="658"/>
    <x v="1"/>
    <x v="2"/>
    <x v="3"/>
    <s v="Brand B"/>
    <s v="HC005"/>
    <x v="17"/>
    <n v="385"/>
    <n v="4.79"/>
    <x v="0"/>
    <n v="0"/>
    <n v="4.79"/>
    <n v="1844.15"/>
    <n v="2"/>
    <n v="770"/>
    <n v="1074.1500000000001"/>
    <n v="0.58246346555323592"/>
    <x v="0"/>
    <n v="0"/>
  </r>
  <r>
    <s v="TX0660"/>
    <x v="659"/>
    <x v="1"/>
    <x v="0"/>
    <x v="2"/>
    <s v="Brand A"/>
    <s v="SC001"/>
    <x v="6"/>
    <n v="797"/>
    <n v="7.99"/>
    <x v="0"/>
    <n v="0"/>
    <n v="7.99"/>
    <n v="6368.03"/>
    <n v="3.1"/>
    <n v="2470.7000000000003"/>
    <n v="3897.3299999999995"/>
    <n v="0.61201501877346676"/>
    <x v="0"/>
    <n v="0"/>
  </r>
  <r>
    <s v="TX0661"/>
    <x v="660"/>
    <x v="1"/>
    <x v="0"/>
    <x v="2"/>
    <s v="Brand B"/>
    <s v="SC003"/>
    <x v="26"/>
    <n v="1120"/>
    <n v="4.49"/>
    <x v="1"/>
    <n v="0.1"/>
    <n v="4.0410000000000004"/>
    <n v="4525.92"/>
    <n v="1.9"/>
    <n v="2128"/>
    <n v="2397.92"/>
    <n v="0.52981935164563232"/>
    <x v="2"/>
    <n v="502.88000000000005"/>
  </r>
  <r>
    <s v="TX0662"/>
    <x v="661"/>
    <x v="2"/>
    <x v="0"/>
    <x v="1"/>
    <s v="Brand C"/>
    <s v="OR003"/>
    <x v="14"/>
    <n v="738"/>
    <n v="4.49"/>
    <x v="1"/>
    <n v="0.3"/>
    <n v="3.1429999999999998"/>
    <n v="2319.5339999999997"/>
    <n v="1.7"/>
    <n v="1254.5999999999999"/>
    <n v="1064.9339999999997"/>
    <n v="0.45911549475023861"/>
    <x v="3"/>
    <n v="994.08600000000001"/>
  </r>
  <r>
    <s v="TX0663"/>
    <x v="662"/>
    <x v="1"/>
    <x v="0"/>
    <x v="3"/>
    <s v="Brand C"/>
    <s v="HC006"/>
    <x v="13"/>
    <n v="768"/>
    <n v="6.49"/>
    <x v="0"/>
    <n v="0"/>
    <n v="6.49"/>
    <n v="4984.32"/>
    <n v="2.8"/>
    <n v="2150.3999999999996"/>
    <n v="2833.92"/>
    <n v="0.5685670261941449"/>
    <x v="0"/>
    <n v="0"/>
  </r>
  <r>
    <s v="TX0664"/>
    <x v="663"/>
    <x v="0"/>
    <x v="0"/>
    <x v="1"/>
    <s v="Brand C"/>
    <s v="OR007"/>
    <x v="18"/>
    <n v="777"/>
    <n v="3.29"/>
    <x v="0"/>
    <n v="0"/>
    <n v="3.29"/>
    <n v="2556.33"/>
    <n v="1.1000000000000001"/>
    <n v="854.7"/>
    <n v="1701.6299999999999"/>
    <n v="0.66565349544072949"/>
    <x v="0"/>
    <n v="0"/>
  </r>
  <r>
    <s v="TX0665"/>
    <x v="664"/>
    <x v="1"/>
    <x v="0"/>
    <x v="3"/>
    <s v="Brand A"/>
    <s v="HC001"/>
    <x v="7"/>
    <n v="469"/>
    <n v="5.99"/>
    <x v="0"/>
    <n v="0"/>
    <n v="5.99"/>
    <n v="2809.31"/>
    <n v="2.4"/>
    <n v="1125.5999999999999"/>
    <n v="1683.71"/>
    <n v="0.59933222036727885"/>
    <x v="0"/>
    <n v="0"/>
  </r>
  <r>
    <s v="TX0666"/>
    <x v="665"/>
    <x v="1"/>
    <x v="2"/>
    <x v="1"/>
    <s v="Brand C"/>
    <s v="OR007"/>
    <x v="18"/>
    <n v="406"/>
    <n v="3.29"/>
    <x v="0"/>
    <n v="0"/>
    <n v="3.29"/>
    <n v="1335.74"/>
    <n v="1.1000000000000001"/>
    <n v="446.6"/>
    <n v="889.14"/>
    <n v="0.66565349544072949"/>
    <x v="0"/>
    <n v="0"/>
  </r>
  <r>
    <s v="TX0667"/>
    <x v="666"/>
    <x v="2"/>
    <x v="2"/>
    <x v="0"/>
    <s v="Brand A"/>
    <s v="LA003"/>
    <x v="9"/>
    <n v="523"/>
    <n v="6.99"/>
    <x v="0"/>
    <n v="0"/>
    <n v="6.99"/>
    <n v="3655.77"/>
    <n v="2.9"/>
    <n v="1516.7"/>
    <n v="2139.0699999999997"/>
    <n v="0.58512160228898413"/>
    <x v="0"/>
    <n v="0"/>
  </r>
  <r>
    <s v="TX0668"/>
    <x v="667"/>
    <x v="1"/>
    <x v="1"/>
    <x v="3"/>
    <s v="Brand A"/>
    <s v="HC002"/>
    <x v="22"/>
    <n v="224"/>
    <n v="8.99"/>
    <x v="0"/>
    <n v="0"/>
    <n v="8.99"/>
    <n v="2013.76"/>
    <n v="3.6"/>
    <n v="806.4"/>
    <n v="1207.3600000000001"/>
    <n v="0.59955506117908797"/>
    <x v="0"/>
    <n v="0"/>
  </r>
  <r>
    <s v="TX0669"/>
    <x v="668"/>
    <x v="2"/>
    <x v="1"/>
    <x v="2"/>
    <s v="Brand A"/>
    <s v="SC005"/>
    <x v="16"/>
    <n v="972"/>
    <n v="10.99"/>
    <x v="1"/>
    <n v="0.3"/>
    <n v="7.6929999999999996"/>
    <n v="7477.5959999999995"/>
    <n v="4.5999999999999996"/>
    <n v="4471.2"/>
    <n v="3006.3959999999997"/>
    <n v="0.40205381515663591"/>
    <x v="1"/>
    <n v="3204.6840000000002"/>
  </r>
  <r>
    <s v="TX0670"/>
    <x v="669"/>
    <x v="1"/>
    <x v="0"/>
    <x v="2"/>
    <s v="Brand B"/>
    <s v="SC006"/>
    <x v="15"/>
    <n v="326"/>
    <n v="4.99"/>
    <x v="0"/>
    <n v="0"/>
    <n v="4.99"/>
    <n v="1626.74"/>
    <n v="2.1"/>
    <n v="684.6"/>
    <n v="942.14"/>
    <n v="0.57915831663326656"/>
    <x v="0"/>
    <n v="0"/>
  </r>
  <r>
    <s v="TX0671"/>
    <x v="670"/>
    <x v="2"/>
    <x v="1"/>
    <x v="1"/>
    <s v="Brand C"/>
    <s v="OR007"/>
    <x v="18"/>
    <n v="646"/>
    <n v="3.29"/>
    <x v="0"/>
    <n v="0"/>
    <n v="3.29"/>
    <n v="2125.34"/>
    <n v="1.1000000000000001"/>
    <n v="710.6"/>
    <n v="1414.7400000000002"/>
    <n v="0.6656534954407296"/>
    <x v="0"/>
    <n v="0"/>
  </r>
  <r>
    <s v="TX0672"/>
    <x v="671"/>
    <x v="2"/>
    <x v="2"/>
    <x v="3"/>
    <s v="Brand B"/>
    <s v="HC005"/>
    <x v="17"/>
    <n v="596"/>
    <n v="4.79"/>
    <x v="1"/>
    <n v="0.3"/>
    <n v="3.3529999999999998"/>
    <n v="1998.3879999999999"/>
    <n v="2"/>
    <n v="1192"/>
    <n v="806.38799999999992"/>
    <n v="0.40351923650462268"/>
    <x v="3"/>
    <n v="856.452"/>
  </r>
  <r>
    <s v="TX0673"/>
    <x v="672"/>
    <x v="1"/>
    <x v="0"/>
    <x v="0"/>
    <s v="Brand A"/>
    <s v="LA005"/>
    <x v="21"/>
    <n v="408"/>
    <n v="9.49"/>
    <x v="1"/>
    <n v="0.1"/>
    <n v="8.5410000000000004"/>
    <n v="3484.7280000000001"/>
    <n v="4"/>
    <n v="1632"/>
    <n v="1852.7280000000001"/>
    <n v="0.53167076454747686"/>
    <x v="3"/>
    <n v="387.19200000000001"/>
  </r>
  <r>
    <s v="TX0674"/>
    <x v="673"/>
    <x v="2"/>
    <x v="1"/>
    <x v="3"/>
    <s v="Brand C"/>
    <s v="HC007"/>
    <x v="23"/>
    <n v="694"/>
    <n v="7.49"/>
    <x v="0"/>
    <n v="0"/>
    <n v="7.49"/>
    <n v="5198.0600000000004"/>
    <n v="3.1"/>
    <n v="2151.4"/>
    <n v="3046.6600000000003"/>
    <n v="0.58611481975967961"/>
    <x v="0"/>
    <n v="0"/>
  </r>
  <r>
    <s v="TX0675"/>
    <x v="674"/>
    <x v="1"/>
    <x v="2"/>
    <x v="0"/>
    <s v="Brand B"/>
    <s v="LA007"/>
    <x v="25"/>
    <n v="784"/>
    <n v="10.49"/>
    <x v="0"/>
    <n v="0"/>
    <n v="10.49"/>
    <n v="8224.16"/>
    <n v="4.5999999999999996"/>
    <n v="3606.3999999999996"/>
    <n v="4617.76"/>
    <n v="0.56148713060057198"/>
    <x v="0"/>
    <n v="0"/>
  </r>
  <r>
    <s v="TX0676"/>
    <x v="675"/>
    <x v="0"/>
    <x v="1"/>
    <x v="2"/>
    <s v="Brand B"/>
    <s v="SC006"/>
    <x v="15"/>
    <n v="632"/>
    <n v="4.99"/>
    <x v="0"/>
    <n v="0"/>
    <n v="4.99"/>
    <n v="3153.6800000000003"/>
    <n v="2.1"/>
    <n v="1327.2"/>
    <n v="1826.4800000000002"/>
    <n v="0.57915831663326656"/>
    <x v="0"/>
    <n v="0"/>
  </r>
  <r>
    <s v="TX0677"/>
    <x v="676"/>
    <x v="0"/>
    <x v="0"/>
    <x v="3"/>
    <s v="Brand A"/>
    <s v="HC001"/>
    <x v="7"/>
    <n v="411"/>
    <n v="5.99"/>
    <x v="0"/>
    <n v="0"/>
    <n v="5.99"/>
    <n v="2461.89"/>
    <n v="2.4"/>
    <n v="986.4"/>
    <n v="1475.4899999999998"/>
    <n v="0.59933222036727873"/>
    <x v="0"/>
    <n v="0"/>
  </r>
  <r>
    <s v="TX0678"/>
    <x v="677"/>
    <x v="2"/>
    <x v="1"/>
    <x v="0"/>
    <s v="Brand B"/>
    <s v="LA004"/>
    <x v="12"/>
    <n v="471"/>
    <n v="5.99"/>
    <x v="0"/>
    <n v="0"/>
    <n v="5.99"/>
    <n v="2821.29"/>
    <n v="2.5"/>
    <n v="1177.5"/>
    <n v="1643.79"/>
    <n v="0.58263772954924875"/>
    <x v="0"/>
    <n v="0"/>
  </r>
  <r>
    <s v="TX0679"/>
    <x v="678"/>
    <x v="2"/>
    <x v="2"/>
    <x v="1"/>
    <s v="Brand C"/>
    <s v="OR007"/>
    <x v="18"/>
    <n v="716"/>
    <n v="3.29"/>
    <x v="1"/>
    <n v="0.3"/>
    <n v="2.3029999999999999"/>
    <n v="1648.9479999999999"/>
    <n v="1.1000000000000001"/>
    <n v="787.6"/>
    <n v="861.34799999999984"/>
    <n v="0.52236213634389916"/>
    <x v="2"/>
    <n v="706.69200000000001"/>
  </r>
  <r>
    <s v="TX0680"/>
    <x v="679"/>
    <x v="0"/>
    <x v="0"/>
    <x v="1"/>
    <s v="Brand C"/>
    <s v="OR003"/>
    <x v="14"/>
    <n v="285"/>
    <n v="4.49"/>
    <x v="0"/>
    <n v="0"/>
    <n v="4.49"/>
    <n v="1279.6500000000001"/>
    <n v="1.7"/>
    <n v="484.5"/>
    <n v="795.15000000000009"/>
    <n v="0.6213808463251671"/>
    <x v="0"/>
    <n v="0"/>
  </r>
  <r>
    <s v="TX0681"/>
    <x v="680"/>
    <x v="1"/>
    <x v="1"/>
    <x v="2"/>
    <s v="Brand C"/>
    <s v="SC002"/>
    <x v="8"/>
    <n v="552"/>
    <n v="9.99"/>
    <x v="0"/>
    <n v="0"/>
    <n v="9.99"/>
    <n v="5514.4800000000005"/>
    <n v="4.2"/>
    <n v="2318.4"/>
    <n v="3196.0800000000004"/>
    <n v="0.57957957957957962"/>
    <x v="0"/>
    <n v="0"/>
  </r>
  <r>
    <s v="TX0682"/>
    <x v="681"/>
    <x v="1"/>
    <x v="1"/>
    <x v="1"/>
    <s v="Brand B"/>
    <s v="OR004"/>
    <x v="3"/>
    <n v="592"/>
    <n v="5.99"/>
    <x v="1"/>
    <n v="0.1"/>
    <n v="5.391"/>
    <n v="3191.4720000000002"/>
    <n v="2.4"/>
    <n v="1420.8"/>
    <n v="1770.6720000000003"/>
    <n v="0.55481357818586541"/>
    <x v="1"/>
    <n v="354.60800000000006"/>
  </r>
  <r>
    <s v="TX0683"/>
    <x v="682"/>
    <x v="0"/>
    <x v="0"/>
    <x v="3"/>
    <s v="Brand C"/>
    <s v="HC006"/>
    <x v="13"/>
    <n v="773"/>
    <n v="6.49"/>
    <x v="1"/>
    <n v="0.1"/>
    <n v="5.8410000000000002"/>
    <n v="4515.0929999999998"/>
    <n v="2.8"/>
    <n v="2164.3999999999996"/>
    <n v="2350.6930000000002"/>
    <n v="0.52063002910460543"/>
    <x v="2"/>
    <n v="501.67700000000002"/>
  </r>
  <r>
    <s v="TX0684"/>
    <x v="683"/>
    <x v="0"/>
    <x v="0"/>
    <x v="1"/>
    <s v="Brand A"/>
    <s v="OR005"/>
    <x v="10"/>
    <n v="603"/>
    <n v="3.99"/>
    <x v="0"/>
    <n v="0"/>
    <n v="3.99"/>
    <n v="2405.9700000000003"/>
    <n v="1.5"/>
    <n v="904.5"/>
    <n v="1501.4700000000003"/>
    <n v="0.62406015037593987"/>
    <x v="0"/>
    <n v="0"/>
  </r>
  <r>
    <s v="TX0685"/>
    <x v="684"/>
    <x v="1"/>
    <x v="2"/>
    <x v="2"/>
    <s v="Brand C"/>
    <s v="SC007"/>
    <x v="5"/>
    <n v="1119"/>
    <n v="5.49"/>
    <x v="1"/>
    <n v="0.1"/>
    <n v="4.9410000000000007"/>
    <n v="5528.9790000000012"/>
    <n v="2.2999999999999998"/>
    <n v="2573.6999999999998"/>
    <n v="2955.2790000000014"/>
    <n v="0.53450718478040893"/>
    <x v="1"/>
    <n v="614.33100000000002"/>
  </r>
  <r>
    <s v="TX0686"/>
    <x v="685"/>
    <x v="2"/>
    <x v="2"/>
    <x v="3"/>
    <s v="Brand B"/>
    <s v="HC005"/>
    <x v="17"/>
    <n v="345"/>
    <n v="4.79"/>
    <x v="0"/>
    <n v="0"/>
    <n v="4.79"/>
    <n v="1652.55"/>
    <n v="2"/>
    <n v="690"/>
    <n v="962.55"/>
    <n v="0.58246346555323592"/>
    <x v="0"/>
    <n v="0"/>
  </r>
  <r>
    <s v="TX0687"/>
    <x v="686"/>
    <x v="0"/>
    <x v="0"/>
    <x v="1"/>
    <s v="Brand B"/>
    <s v="OR001"/>
    <x v="19"/>
    <n v="523"/>
    <n v="3.49"/>
    <x v="0"/>
    <n v="0"/>
    <n v="3.49"/>
    <n v="1825.2700000000002"/>
    <n v="1.2"/>
    <n v="627.6"/>
    <n v="1197.67"/>
    <n v="0.65616045845272197"/>
    <x v="0"/>
    <n v="0"/>
  </r>
  <r>
    <s v="TX0688"/>
    <x v="687"/>
    <x v="2"/>
    <x v="1"/>
    <x v="1"/>
    <s v="Brand C"/>
    <s v="OR007"/>
    <x v="18"/>
    <n v="737"/>
    <n v="3.29"/>
    <x v="0"/>
    <n v="0"/>
    <n v="3.29"/>
    <n v="2424.73"/>
    <n v="1.1000000000000001"/>
    <n v="810.7"/>
    <n v="1614.03"/>
    <n v="0.66565349544072949"/>
    <x v="0"/>
    <n v="0"/>
  </r>
  <r>
    <s v="TX0689"/>
    <x v="688"/>
    <x v="1"/>
    <x v="1"/>
    <x v="3"/>
    <s v="Brand B"/>
    <s v="HC008"/>
    <x v="20"/>
    <n v="405"/>
    <n v="4.49"/>
    <x v="0"/>
    <n v="0"/>
    <n v="4.49"/>
    <n v="1818.45"/>
    <n v="1.9"/>
    <n v="769.5"/>
    <n v="1048.95"/>
    <n v="0.57683741648106901"/>
    <x v="0"/>
    <n v="0"/>
  </r>
  <r>
    <s v="TX0690"/>
    <x v="689"/>
    <x v="1"/>
    <x v="0"/>
    <x v="0"/>
    <s v="Brand C"/>
    <s v="LA002"/>
    <x v="0"/>
    <n v="669"/>
    <n v="11.99"/>
    <x v="1"/>
    <n v="0.3"/>
    <n v="8.3929999999999989"/>
    <n v="5614.9169999999995"/>
    <n v="5.2"/>
    <n v="3478.8"/>
    <n v="2136.1169999999993"/>
    <n v="0.38043607768378401"/>
    <x v="1"/>
    <n v="2406.393"/>
  </r>
  <r>
    <s v="TX0691"/>
    <x v="690"/>
    <x v="0"/>
    <x v="0"/>
    <x v="0"/>
    <s v="Brand B"/>
    <s v="LA007"/>
    <x v="25"/>
    <n v="533"/>
    <n v="10.49"/>
    <x v="0"/>
    <n v="0"/>
    <n v="10.49"/>
    <n v="5591.17"/>
    <n v="4.5999999999999996"/>
    <n v="2451.7999999999997"/>
    <n v="3139.3700000000003"/>
    <n v="0.56148713060057198"/>
    <x v="0"/>
    <n v="0"/>
  </r>
  <r>
    <s v="TX0692"/>
    <x v="691"/>
    <x v="1"/>
    <x v="0"/>
    <x v="0"/>
    <s v="Brand C"/>
    <s v="LA002"/>
    <x v="0"/>
    <n v="255"/>
    <n v="11.99"/>
    <x v="0"/>
    <n v="0"/>
    <n v="11.99"/>
    <n v="3057.4500000000003"/>
    <n v="5.2"/>
    <n v="1326"/>
    <n v="1731.4500000000003"/>
    <n v="0.56630525437864887"/>
    <x v="0"/>
    <n v="0"/>
  </r>
  <r>
    <s v="TX0693"/>
    <x v="692"/>
    <x v="1"/>
    <x v="1"/>
    <x v="1"/>
    <s v="Brand B"/>
    <s v="OR004"/>
    <x v="3"/>
    <n v="655"/>
    <n v="5.99"/>
    <x v="0"/>
    <n v="0"/>
    <n v="5.99"/>
    <n v="3923.4500000000003"/>
    <n v="2.4"/>
    <n v="1572"/>
    <n v="2351.4500000000003"/>
    <n v="0.59933222036727885"/>
    <x v="0"/>
    <n v="0"/>
  </r>
  <r>
    <s v="TX0694"/>
    <x v="693"/>
    <x v="2"/>
    <x v="2"/>
    <x v="1"/>
    <s v="Brand A"/>
    <s v="OR005"/>
    <x v="10"/>
    <n v="796"/>
    <n v="3.99"/>
    <x v="0"/>
    <n v="0"/>
    <n v="3.99"/>
    <n v="3176.04"/>
    <n v="1.5"/>
    <n v="1194"/>
    <n v="1982.04"/>
    <n v="0.62406015037593987"/>
    <x v="0"/>
    <n v="0"/>
  </r>
  <r>
    <s v="TX0695"/>
    <x v="694"/>
    <x v="1"/>
    <x v="0"/>
    <x v="1"/>
    <s v="Brand A"/>
    <s v="OR002"/>
    <x v="11"/>
    <n v="767"/>
    <n v="4.99"/>
    <x v="0"/>
    <n v="0"/>
    <n v="4.99"/>
    <n v="3827.3300000000004"/>
    <n v="1.8"/>
    <n v="1380.6000000000001"/>
    <n v="2446.7300000000005"/>
    <n v="0.63927855711422854"/>
    <x v="0"/>
    <n v="0"/>
  </r>
  <r>
    <s v="TX0696"/>
    <x v="695"/>
    <x v="0"/>
    <x v="2"/>
    <x v="2"/>
    <s v="Brand C"/>
    <s v="SC002"/>
    <x v="8"/>
    <n v="521"/>
    <n v="9.99"/>
    <x v="0"/>
    <n v="0"/>
    <n v="9.99"/>
    <n v="5204.79"/>
    <n v="4.2"/>
    <n v="2188.2000000000003"/>
    <n v="3016.5899999999997"/>
    <n v="0.57957957957957951"/>
    <x v="0"/>
    <n v="0"/>
  </r>
  <r>
    <s v="TX0697"/>
    <x v="696"/>
    <x v="1"/>
    <x v="2"/>
    <x v="0"/>
    <s v="Brand B"/>
    <s v="LA004"/>
    <x v="12"/>
    <n v="645"/>
    <n v="5.99"/>
    <x v="0"/>
    <n v="0"/>
    <n v="5.99"/>
    <n v="3863.55"/>
    <n v="2.5"/>
    <n v="1612.5"/>
    <n v="2251.0500000000002"/>
    <n v="0.58263772954924875"/>
    <x v="0"/>
    <n v="0"/>
  </r>
  <r>
    <s v="TX0698"/>
    <x v="697"/>
    <x v="0"/>
    <x v="2"/>
    <x v="0"/>
    <s v="Brand C"/>
    <s v="LA002"/>
    <x v="0"/>
    <n v="558"/>
    <n v="11.99"/>
    <x v="0"/>
    <n v="0"/>
    <n v="11.99"/>
    <n v="6690.42"/>
    <n v="5.2"/>
    <n v="2901.6"/>
    <n v="3788.82"/>
    <n v="0.56630525437864887"/>
    <x v="0"/>
    <n v="0"/>
  </r>
  <r>
    <s v="TX0699"/>
    <x v="698"/>
    <x v="2"/>
    <x v="1"/>
    <x v="2"/>
    <s v="Brand B"/>
    <s v="SC006"/>
    <x v="15"/>
    <n v="245"/>
    <n v="4.99"/>
    <x v="0"/>
    <n v="0"/>
    <n v="4.99"/>
    <n v="1222.55"/>
    <n v="2.1"/>
    <n v="514.5"/>
    <n v="708.05"/>
    <n v="0.57915831663326656"/>
    <x v="0"/>
    <n v="0"/>
  </r>
  <r>
    <s v="TX0700"/>
    <x v="699"/>
    <x v="1"/>
    <x v="1"/>
    <x v="2"/>
    <s v="Brand A"/>
    <s v="SC005"/>
    <x v="16"/>
    <n v="325"/>
    <n v="10.99"/>
    <x v="0"/>
    <n v="0"/>
    <n v="10.99"/>
    <n v="3571.75"/>
    <n v="4.5999999999999996"/>
    <n v="1494.9999999999998"/>
    <n v="2076.75"/>
    <n v="0.58143767060964513"/>
    <x v="0"/>
    <n v="0"/>
  </r>
  <r>
    <s v="TX0701"/>
    <x v="700"/>
    <x v="2"/>
    <x v="2"/>
    <x v="1"/>
    <s v="Brand C"/>
    <s v="OR003"/>
    <x v="14"/>
    <n v="461"/>
    <n v="4.49"/>
    <x v="0"/>
    <n v="0"/>
    <n v="4.49"/>
    <n v="2069.89"/>
    <n v="1.7"/>
    <n v="783.69999999999993"/>
    <n v="1286.19"/>
    <n v="0.6213808463251671"/>
    <x v="0"/>
    <n v="0"/>
  </r>
  <r>
    <s v="TX0702"/>
    <x v="701"/>
    <x v="2"/>
    <x v="2"/>
    <x v="2"/>
    <s v="Brand A"/>
    <s v="SC001"/>
    <x v="6"/>
    <n v="439"/>
    <n v="7.99"/>
    <x v="0"/>
    <n v="0"/>
    <n v="7.99"/>
    <n v="3507.61"/>
    <n v="3.1"/>
    <n v="1360.9"/>
    <n v="2146.71"/>
    <n v="0.61201501877346687"/>
    <x v="0"/>
    <n v="0"/>
  </r>
  <r>
    <s v="TX0703"/>
    <x v="702"/>
    <x v="0"/>
    <x v="0"/>
    <x v="1"/>
    <s v="Brand B"/>
    <s v="OR004"/>
    <x v="3"/>
    <n v="460"/>
    <n v="5.99"/>
    <x v="0"/>
    <n v="0"/>
    <n v="5.99"/>
    <n v="2755.4"/>
    <n v="2.4"/>
    <n v="1104"/>
    <n v="1651.4"/>
    <n v="0.59933222036727885"/>
    <x v="0"/>
    <n v="0"/>
  </r>
  <r>
    <s v="TX0704"/>
    <x v="703"/>
    <x v="2"/>
    <x v="2"/>
    <x v="0"/>
    <s v="Brand B"/>
    <s v="LA001"/>
    <x v="1"/>
    <n v="441"/>
    <n v="8.49"/>
    <x v="0"/>
    <n v="0"/>
    <n v="8.49"/>
    <n v="3744.09"/>
    <n v="3.8"/>
    <n v="1675.8"/>
    <n v="2068.29"/>
    <n v="0.55241460541813892"/>
    <x v="0"/>
    <n v="0"/>
  </r>
  <r>
    <s v="TX0705"/>
    <x v="704"/>
    <x v="2"/>
    <x v="0"/>
    <x v="1"/>
    <s v="Brand A"/>
    <s v="OR006"/>
    <x v="24"/>
    <n v="474"/>
    <n v="12.99"/>
    <x v="0"/>
    <n v="0"/>
    <n v="12.99"/>
    <n v="6157.26"/>
    <n v="5.2"/>
    <n v="2464.8000000000002"/>
    <n v="3692.46"/>
    <n v="0.59969207082371057"/>
    <x v="0"/>
    <n v="0"/>
  </r>
  <r>
    <s v="TX0706"/>
    <x v="705"/>
    <x v="0"/>
    <x v="2"/>
    <x v="3"/>
    <s v="Brand C"/>
    <s v="HC007"/>
    <x v="23"/>
    <n v="1079"/>
    <n v="7.49"/>
    <x v="1"/>
    <n v="0.1"/>
    <n v="6.7410000000000005"/>
    <n v="7273.5390000000007"/>
    <n v="3.1"/>
    <n v="3344.9"/>
    <n v="3928.6390000000006"/>
    <n v="0.54012757751075513"/>
    <x v="3"/>
    <n v="808.17100000000016"/>
  </r>
  <r>
    <s v="TX0707"/>
    <x v="706"/>
    <x v="2"/>
    <x v="2"/>
    <x v="2"/>
    <s v="Brand A"/>
    <s v="SC001"/>
    <x v="6"/>
    <n v="794"/>
    <n v="7.99"/>
    <x v="0"/>
    <n v="0"/>
    <n v="7.99"/>
    <n v="6344.06"/>
    <n v="3.1"/>
    <n v="2461.4"/>
    <n v="3882.6600000000003"/>
    <n v="0.61201501877346687"/>
    <x v="0"/>
    <n v="0"/>
  </r>
  <r>
    <s v="TX0708"/>
    <x v="707"/>
    <x v="2"/>
    <x v="2"/>
    <x v="3"/>
    <s v="Brand B"/>
    <s v="HC005"/>
    <x v="17"/>
    <n v="445"/>
    <n v="4.79"/>
    <x v="0"/>
    <n v="0"/>
    <n v="4.79"/>
    <n v="2131.5500000000002"/>
    <n v="2"/>
    <n v="890"/>
    <n v="1241.5500000000002"/>
    <n v="0.58246346555323592"/>
    <x v="0"/>
    <n v="0"/>
  </r>
  <r>
    <s v="TX0709"/>
    <x v="708"/>
    <x v="1"/>
    <x v="1"/>
    <x v="1"/>
    <s v="Brand B"/>
    <s v="OR004"/>
    <x v="3"/>
    <n v="212"/>
    <n v="5.99"/>
    <x v="0"/>
    <n v="0"/>
    <n v="5.99"/>
    <n v="1269.8800000000001"/>
    <n v="2.4"/>
    <n v="508.79999999999995"/>
    <n v="761.08000000000015"/>
    <n v="0.59933222036727885"/>
    <x v="0"/>
    <n v="0"/>
  </r>
  <r>
    <s v="TX0710"/>
    <x v="709"/>
    <x v="0"/>
    <x v="2"/>
    <x v="0"/>
    <s v="Brand B"/>
    <s v="LA001"/>
    <x v="1"/>
    <n v="421"/>
    <n v="8.49"/>
    <x v="0"/>
    <n v="0"/>
    <n v="8.49"/>
    <n v="3574.29"/>
    <n v="3.8"/>
    <n v="1599.8"/>
    <n v="1974.49"/>
    <n v="0.55241460541813903"/>
    <x v="0"/>
    <n v="0"/>
  </r>
  <r>
    <s v="TX0711"/>
    <x v="710"/>
    <x v="1"/>
    <x v="2"/>
    <x v="1"/>
    <s v="Brand B"/>
    <s v="OR004"/>
    <x v="3"/>
    <n v="1184"/>
    <n v="5.99"/>
    <x v="1"/>
    <n v="0.3"/>
    <n v="4.1929999999999996"/>
    <n v="4964.5119999999997"/>
    <n v="2.4"/>
    <n v="2841.6"/>
    <n v="2122.9119999999998"/>
    <n v="0.42761745766754111"/>
    <x v="1"/>
    <n v="2127.6480000000001"/>
  </r>
  <r>
    <s v="TX0712"/>
    <x v="711"/>
    <x v="0"/>
    <x v="2"/>
    <x v="2"/>
    <s v="Brand C"/>
    <s v="SC002"/>
    <x v="8"/>
    <n v="763"/>
    <n v="9.99"/>
    <x v="0"/>
    <n v="0"/>
    <n v="9.99"/>
    <n v="7622.37"/>
    <n v="4.2"/>
    <n v="3204.6"/>
    <n v="4417.7700000000004"/>
    <n v="0.57957957957957962"/>
    <x v="0"/>
    <n v="0"/>
  </r>
  <r>
    <s v="TX0713"/>
    <x v="712"/>
    <x v="2"/>
    <x v="2"/>
    <x v="0"/>
    <s v="Brand C"/>
    <s v="LA008"/>
    <x v="9"/>
    <n v="737"/>
    <n v="5.49"/>
    <x v="1"/>
    <n v="0.1"/>
    <n v="4.9410000000000007"/>
    <n v="3641.5170000000007"/>
    <n v="2.4"/>
    <n v="1768.8"/>
    <n v="1872.7170000000008"/>
    <n v="0.51426836672738319"/>
    <x v="2"/>
    <n v="404.61300000000006"/>
  </r>
  <r>
    <s v="TX0714"/>
    <x v="713"/>
    <x v="1"/>
    <x v="1"/>
    <x v="3"/>
    <s v="Brand A"/>
    <s v="HC002"/>
    <x v="22"/>
    <n v="426"/>
    <n v="8.99"/>
    <x v="0"/>
    <n v="0"/>
    <n v="8.99"/>
    <n v="3829.7400000000002"/>
    <n v="3.6"/>
    <n v="1533.6000000000001"/>
    <n v="2296.1400000000003"/>
    <n v="0.59955506117908797"/>
    <x v="0"/>
    <n v="0"/>
  </r>
  <r>
    <s v="TX0715"/>
    <x v="714"/>
    <x v="1"/>
    <x v="2"/>
    <x v="0"/>
    <s v="Brand A"/>
    <s v="LA005"/>
    <x v="21"/>
    <n v="753"/>
    <n v="9.49"/>
    <x v="0"/>
    <n v="0"/>
    <n v="9.49"/>
    <n v="7145.97"/>
    <n v="4"/>
    <n v="3012"/>
    <n v="4133.97"/>
    <n v="0.57850368809272923"/>
    <x v="0"/>
    <n v="0"/>
  </r>
  <r>
    <s v="TX0716"/>
    <x v="715"/>
    <x v="2"/>
    <x v="2"/>
    <x v="1"/>
    <s v="Brand C"/>
    <s v="OR003"/>
    <x v="14"/>
    <n v="709"/>
    <n v="4.49"/>
    <x v="0"/>
    <n v="0"/>
    <n v="4.49"/>
    <n v="3183.4100000000003"/>
    <n v="1.7"/>
    <n v="1205.3"/>
    <n v="1978.1100000000004"/>
    <n v="0.6213808463251671"/>
    <x v="0"/>
    <n v="0"/>
  </r>
  <r>
    <s v="TX0717"/>
    <x v="716"/>
    <x v="1"/>
    <x v="2"/>
    <x v="3"/>
    <s v="Brand A"/>
    <s v="HC001"/>
    <x v="7"/>
    <n v="410"/>
    <n v="5.99"/>
    <x v="0"/>
    <n v="0"/>
    <n v="5.99"/>
    <n v="2455.9"/>
    <n v="2.4"/>
    <n v="984"/>
    <n v="1471.9"/>
    <n v="0.59933222036727885"/>
    <x v="0"/>
    <n v="0"/>
  </r>
  <r>
    <s v="TX0718"/>
    <x v="717"/>
    <x v="1"/>
    <x v="0"/>
    <x v="3"/>
    <s v="Brand A"/>
    <s v="HC001"/>
    <x v="7"/>
    <n v="311"/>
    <n v="5.99"/>
    <x v="0"/>
    <n v="0"/>
    <n v="5.99"/>
    <n v="1862.89"/>
    <n v="2.4"/>
    <n v="746.4"/>
    <n v="1116.4900000000002"/>
    <n v="0.59933222036727885"/>
    <x v="0"/>
    <n v="0"/>
  </r>
  <r>
    <s v="TX0719"/>
    <x v="718"/>
    <x v="0"/>
    <x v="2"/>
    <x v="0"/>
    <s v="Brand B"/>
    <s v="LA004"/>
    <x v="12"/>
    <n v="609"/>
    <n v="5.99"/>
    <x v="0"/>
    <n v="0"/>
    <n v="5.99"/>
    <n v="3647.9100000000003"/>
    <n v="2.5"/>
    <n v="1522.5"/>
    <n v="2125.4100000000003"/>
    <n v="0.58263772954924875"/>
    <x v="0"/>
    <n v="0"/>
  </r>
  <r>
    <s v="TX0720"/>
    <x v="719"/>
    <x v="2"/>
    <x v="1"/>
    <x v="1"/>
    <s v="Brand C"/>
    <s v="OR003"/>
    <x v="14"/>
    <n v="555"/>
    <n v="4.49"/>
    <x v="0"/>
    <n v="0"/>
    <n v="4.49"/>
    <n v="2491.9500000000003"/>
    <n v="1.7"/>
    <n v="943.5"/>
    <n v="1548.4500000000003"/>
    <n v="0.6213808463251671"/>
    <x v="0"/>
    <n v="0"/>
  </r>
  <r>
    <s v="TX0721"/>
    <x v="720"/>
    <x v="2"/>
    <x v="2"/>
    <x v="1"/>
    <s v="Brand B"/>
    <s v="OR001"/>
    <x v="19"/>
    <n v="821"/>
    <n v="3.49"/>
    <x v="1"/>
    <n v="0.1"/>
    <n v="3.1410000000000005"/>
    <n v="2578.7610000000004"/>
    <n v="1.2"/>
    <n v="985.19999999999993"/>
    <n v="1593.5610000000006"/>
    <n v="0.61795606494746913"/>
    <x v="1"/>
    <n v="286.52900000000005"/>
  </r>
  <r>
    <s v="TX0722"/>
    <x v="721"/>
    <x v="1"/>
    <x v="0"/>
    <x v="1"/>
    <s v="Brand C"/>
    <s v="OR003"/>
    <x v="14"/>
    <n v="515"/>
    <n v="4.49"/>
    <x v="0"/>
    <n v="0"/>
    <n v="4.49"/>
    <n v="2312.35"/>
    <n v="1.7"/>
    <n v="875.5"/>
    <n v="1436.85"/>
    <n v="0.62138084632516699"/>
    <x v="0"/>
    <n v="0"/>
  </r>
  <r>
    <s v="TX0723"/>
    <x v="722"/>
    <x v="2"/>
    <x v="0"/>
    <x v="1"/>
    <s v="Brand B"/>
    <s v="OR001"/>
    <x v="19"/>
    <n v="511"/>
    <n v="3.49"/>
    <x v="0"/>
    <n v="0"/>
    <n v="3.49"/>
    <n v="1783.39"/>
    <n v="1.2"/>
    <n v="613.19999999999993"/>
    <n v="1170.19"/>
    <n v="0.65616045845272208"/>
    <x v="0"/>
    <n v="0"/>
  </r>
  <r>
    <s v="TX0724"/>
    <x v="723"/>
    <x v="2"/>
    <x v="0"/>
    <x v="0"/>
    <s v="Brand B"/>
    <s v="LA004"/>
    <x v="12"/>
    <n v="309"/>
    <n v="5.99"/>
    <x v="0"/>
    <n v="0"/>
    <n v="5.99"/>
    <n v="1850.91"/>
    <n v="2.5"/>
    <n v="772.5"/>
    <n v="1078.4100000000001"/>
    <n v="0.58263772954924875"/>
    <x v="0"/>
    <n v="0"/>
  </r>
  <r>
    <s v="TX0725"/>
    <x v="724"/>
    <x v="1"/>
    <x v="1"/>
    <x v="3"/>
    <s v="Brand B"/>
    <s v="HC004"/>
    <x v="7"/>
    <n v="268"/>
    <n v="4.99"/>
    <x v="0"/>
    <n v="0"/>
    <n v="4.99"/>
    <n v="1337.3200000000002"/>
    <n v="2.1"/>
    <n v="562.80000000000007"/>
    <n v="774.5200000000001"/>
    <n v="0.57915831663326656"/>
    <x v="0"/>
    <n v="0"/>
  </r>
  <r>
    <s v="TX0726"/>
    <x v="725"/>
    <x v="1"/>
    <x v="1"/>
    <x v="2"/>
    <s v="Brand B"/>
    <s v="SC003"/>
    <x v="26"/>
    <n v="851"/>
    <n v="4.49"/>
    <x v="1"/>
    <n v="0.3"/>
    <n v="3.1429999999999998"/>
    <n v="2674.6929999999998"/>
    <n v="1.9"/>
    <n v="1616.8999999999999"/>
    <n v="1057.7929999999999"/>
    <n v="0.39548202354438433"/>
    <x v="1"/>
    <n v="1146.297"/>
  </r>
  <r>
    <s v="TX0727"/>
    <x v="726"/>
    <x v="0"/>
    <x v="2"/>
    <x v="0"/>
    <s v="Brand B"/>
    <s v="LA001"/>
    <x v="1"/>
    <n v="617"/>
    <n v="8.49"/>
    <x v="1"/>
    <n v="0.2"/>
    <n v="6.7920000000000007"/>
    <n v="4190.6640000000007"/>
    <n v="3.8"/>
    <n v="2344.6"/>
    <n v="1846.0640000000008"/>
    <n v="0.44051825677267387"/>
    <x v="2"/>
    <n v="1047.6660000000002"/>
  </r>
  <r>
    <s v="TX0728"/>
    <x v="727"/>
    <x v="1"/>
    <x v="2"/>
    <x v="0"/>
    <s v="Brand C"/>
    <s v="LA002"/>
    <x v="0"/>
    <n v="662"/>
    <n v="11.99"/>
    <x v="0"/>
    <n v="0"/>
    <n v="11.99"/>
    <n v="7937.38"/>
    <n v="5.2"/>
    <n v="3442.4"/>
    <n v="4494.9799999999996"/>
    <n v="0.56630525437864876"/>
    <x v="0"/>
    <n v="0"/>
  </r>
  <r>
    <s v="TX0729"/>
    <x v="728"/>
    <x v="2"/>
    <x v="0"/>
    <x v="2"/>
    <s v="Brand A"/>
    <s v="SC005"/>
    <x v="16"/>
    <n v="375"/>
    <n v="10.99"/>
    <x v="0"/>
    <n v="0"/>
    <n v="10.99"/>
    <n v="4121.25"/>
    <n v="4.5999999999999996"/>
    <n v="1724.9999999999998"/>
    <n v="2396.25"/>
    <n v="0.58143767060964513"/>
    <x v="0"/>
    <n v="0"/>
  </r>
  <r>
    <s v="TX0730"/>
    <x v="729"/>
    <x v="0"/>
    <x v="2"/>
    <x v="1"/>
    <s v="Brand B"/>
    <s v="OR004"/>
    <x v="3"/>
    <n v="227"/>
    <n v="5.99"/>
    <x v="0"/>
    <n v="0"/>
    <n v="5.99"/>
    <n v="1359.73"/>
    <n v="2.4"/>
    <n v="544.79999999999995"/>
    <n v="814.93000000000006"/>
    <n v="0.59933222036727885"/>
    <x v="0"/>
    <n v="0"/>
  </r>
  <r>
    <s v="TX0731"/>
    <x v="730"/>
    <x v="2"/>
    <x v="0"/>
    <x v="3"/>
    <s v="Brand A"/>
    <s v="HC002"/>
    <x v="22"/>
    <n v="898"/>
    <n v="8.99"/>
    <x v="1"/>
    <n v="0.2"/>
    <n v="7.1920000000000002"/>
    <n v="6458.4160000000002"/>
    <n v="3.6"/>
    <n v="3232.8"/>
    <n v="3225.616"/>
    <n v="0.49944382647385982"/>
    <x v="1"/>
    <n v="1614.604"/>
  </r>
  <r>
    <s v="TX0732"/>
    <x v="731"/>
    <x v="0"/>
    <x v="0"/>
    <x v="3"/>
    <s v="Brand C"/>
    <s v="HC007"/>
    <x v="23"/>
    <n v="328"/>
    <n v="7.49"/>
    <x v="0"/>
    <n v="0"/>
    <n v="7.49"/>
    <n v="2456.7200000000003"/>
    <n v="3.1"/>
    <n v="1016.8000000000001"/>
    <n v="1439.92"/>
    <n v="0.5861148197596795"/>
    <x v="0"/>
    <n v="0"/>
  </r>
  <r>
    <s v="TX0733"/>
    <x v="732"/>
    <x v="1"/>
    <x v="2"/>
    <x v="1"/>
    <s v="Brand A"/>
    <s v="OR006"/>
    <x v="24"/>
    <n v="597"/>
    <n v="12.99"/>
    <x v="0"/>
    <n v="0"/>
    <n v="12.99"/>
    <n v="7755.03"/>
    <n v="5.2"/>
    <n v="3104.4"/>
    <n v="4650.6299999999992"/>
    <n v="0.59969207082371045"/>
    <x v="0"/>
    <n v="0"/>
  </r>
  <r>
    <s v="TX0734"/>
    <x v="733"/>
    <x v="0"/>
    <x v="0"/>
    <x v="3"/>
    <s v="Brand A"/>
    <s v="HC003"/>
    <x v="17"/>
    <n v="1135"/>
    <n v="5.49"/>
    <x v="1"/>
    <n v="0.2"/>
    <n v="4.3920000000000003"/>
    <n v="4984.92"/>
    <n v="2.2000000000000002"/>
    <n v="2497"/>
    <n v="2487.92"/>
    <n v="0.49908925318761382"/>
    <x v="3"/>
    <n v="1246.23"/>
  </r>
  <r>
    <s v="TX0735"/>
    <x v="734"/>
    <x v="1"/>
    <x v="2"/>
    <x v="2"/>
    <s v="Brand B"/>
    <s v="SC003"/>
    <x v="26"/>
    <n v="303"/>
    <n v="4.49"/>
    <x v="0"/>
    <n v="0"/>
    <n v="4.49"/>
    <n v="1360.47"/>
    <n v="1.9"/>
    <n v="575.69999999999993"/>
    <n v="784.7700000000001"/>
    <n v="0.57683741648106912"/>
    <x v="0"/>
    <n v="0"/>
  </r>
  <r>
    <s v="TX0736"/>
    <x v="735"/>
    <x v="2"/>
    <x v="1"/>
    <x v="2"/>
    <s v="Brand B"/>
    <s v="SC003"/>
    <x v="26"/>
    <n v="417"/>
    <n v="4.49"/>
    <x v="0"/>
    <n v="0"/>
    <n v="4.49"/>
    <n v="1872.3300000000002"/>
    <n v="1.9"/>
    <n v="792.3"/>
    <n v="1080.0300000000002"/>
    <n v="0.57683741648106912"/>
    <x v="0"/>
    <n v="0"/>
  </r>
  <r>
    <s v="TX0737"/>
    <x v="736"/>
    <x v="2"/>
    <x v="1"/>
    <x v="1"/>
    <s v="Brand C"/>
    <s v="OR003"/>
    <x v="14"/>
    <n v="520"/>
    <n v="4.49"/>
    <x v="1"/>
    <n v="0.1"/>
    <n v="4.0410000000000004"/>
    <n v="2101.3200000000002"/>
    <n v="1.7"/>
    <n v="884"/>
    <n v="1217.3200000000002"/>
    <n v="0.57931205147240783"/>
    <x v="2"/>
    <n v="233.48000000000005"/>
  </r>
  <r>
    <s v="TX0738"/>
    <x v="737"/>
    <x v="1"/>
    <x v="1"/>
    <x v="3"/>
    <s v="Brand C"/>
    <s v="HC006"/>
    <x v="13"/>
    <n v="274"/>
    <n v="6.49"/>
    <x v="0"/>
    <n v="0"/>
    <n v="6.49"/>
    <n v="1778.26"/>
    <n v="2.8"/>
    <n v="767.19999999999993"/>
    <n v="1011.0600000000001"/>
    <n v="0.5685670261941449"/>
    <x v="0"/>
    <n v="0"/>
  </r>
  <r>
    <s v="TX0739"/>
    <x v="738"/>
    <x v="1"/>
    <x v="2"/>
    <x v="3"/>
    <s v="Brand C"/>
    <s v="HC007"/>
    <x v="23"/>
    <n v="385"/>
    <n v="7.49"/>
    <x v="0"/>
    <n v="0"/>
    <n v="7.49"/>
    <n v="2883.65"/>
    <n v="3.1"/>
    <n v="1193.5"/>
    <n v="1690.15"/>
    <n v="0.58611481975967961"/>
    <x v="0"/>
    <n v="0"/>
  </r>
  <r>
    <s v="TX0740"/>
    <x v="739"/>
    <x v="0"/>
    <x v="1"/>
    <x v="2"/>
    <s v="Brand C"/>
    <s v="SC007"/>
    <x v="5"/>
    <n v="478"/>
    <n v="5.49"/>
    <x v="0"/>
    <n v="0"/>
    <n v="5.49"/>
    <n v="2624.2200000000003"/>
    <n v="2.2999999999999998"/>
    <n v="1099.3999999999999"/>
    <n v="1524.8200000000004"/>
    <n v="0.58105646630236807"/>
    <x v="0"/>
    <n v="0"/>
  </r>
  <r>
    <s v="TX0741"/>
    <x v="740"/>
    <x v="0"/>
    <x v="2"/>
    <x v="0"/>
    <s v="Brand B"/>
    <s v="LA004"/>
    <x v="12"/>
    <n v="594"/>
    <n v="5.99"/>
    <x v="1"/>
    <n v="0.3"/>
    <n v="4.1929999999999996"/>
    <n v="2490.6419999999998"/>
    <n v="2.5"/>
    <n v="1485"/>
    <n v="1005.6419999999998"/>
    <n v="0.40376818507035533"/>
    <x v="2"/>
    <n v="1067.4179999999999"/>
  </r>
  <r>
    <s v="TX0742"/>
    <x v="741"/>
    <x v="1"/>
    <x v="0"/>
    <x v="1"/>
    <s v="Brand B"/>
    <s v="OR004"/>
    <x v="3"/>
    <n v="530"/>
    <n v="5.99"/>
    <x v="1"/>
    <n v="0.2"/>
    <n v="4.7920000000000007"/>
    <n v="2539.7600000000002"/>
    <n v="2.4"/>
    <n v="1272"/>
    <n v="1267.7600000000002"/>
    <n v="0.49916527545909856"/>
    <x v="3"/>
    <n v="634.94000000000005"/>
  </r>
  <r>
    <s v="TX0743"/>
    <x v="742"/>
    <x v="1"/>
    <x v="2"/>
    <x v="1"/>
    <s v="Brand C"/>
    <s v="OR003"/>
    <x v="14"/>
    <n v="776"/>
    <n v="4.49"/>
    <x v="0"/>
    <n v="0"/>
    <n v="4.49"/>
    <n v="3484.2400000000002"/>
    <n v="1.7"/>
    <n v="1319.2"/>
    <n v="2165.04"/>
    <n v="0.62138084632516699"/>
    <x v="0"/>
    <n v="0"/>
  </r>
  <r>
    <s v="TX0744"/>
    <x v="743"/>
    <x v="2"/>
    <x v="1"/>
    <x v="3"/>
    <s v="Brand A"/>
    <s v="HC003"/>
    <x v="17"/>
    <n v="317"/>
    <n v="5.49"/>
    <x v="0"/>
    <n v="0"/>
    <n v="5.49"/>
    <n v="1740.3300000000002"/>
    <n v="2.2000000000000002"/>
    <n v="697.40000000000009"/>
    <n v="1042.93"/>
    <n v="0.59927140255009104"/>
    <x v="0"/>
    <n v="0"/>
  </r>
  <r>
    <s v="TX0745"/>
    <x v="744"/>
    <x v="1"/>
    <x v="0"/>
    <x v="0"/>
    <s v="Brand C"/>
    <s v="LA002"/>
    <x v="0"/>
    <n v="625"/>
    <n v="11.99"/>
    <x v="0"/>
    <n v="0"/>
    <n v="11.99"/>
    <n v="7493.75"/>
    <n v="5.2"/>
    <n v="3250"/>
    <n v="4243.75"/>
    <n v="0.56630525437864887"/>
    <x v="0"/>
    <n v="0"/>
  </r>
  <r>
    <s v="TX0746"/>
    <x v="745"/>
    <x v="1"/>
    <x v="1"/>
    <x v="0"/>
    <s v="Brand A"/>
    <s v="LA003"/>
    <x v="9"/>
    <n v="699"/>
    <n v="6.99"/>
    <x v="0"/>
    <n v="0"/>
    <n v="6.99"/>
    <n v="4886.01"/>
    <n v="2.9"/>
    <n v="2027.1"/>
    <n v="2858.9100000000003"/>
    <n v="0.58512160228898435"/>
    <x v="0"/>
    <n v="0"/>
  </r>
  <r>
    <s v="TX0747"/>
    <x v="746"/>
    <x v="2"/>
    <x v="2"/>
    <x v="3"/>
    <s v="Brand B"/>
    <s v="HC004"/>
    <x v="7"/>
    <n v="515"/>
    <n v="4.99"/>
    <x v="0"/>
    <n v="0"/>
    <n v="4.99"/>
    <n v="2569.85"/>
    <n v="2.1"/>
    <n v="1081.5"/>
    <n v="1488.35"/>
    <n v="0.57915831663326656"/>
    <x v="0"/>
    <n v="0"/>
  </r>
  <r>
    <s v="TX0748"/>
    <x v="747"/>
    <x v="0"/>
    <x v="1"/>
    <x v="3"/>
    <s v="Brand C"/>
    <s v="HC006"/>
    <x v="13"/>
    <n v="733"/>
    <n v="6.49"/>
    <x v="0"/>
    <n v="0"/>
    <n v="6.49"/>
    <n v="4757.17"/>
    <n v="2.8"/>
    <n v="2052.4"/>
    <n v="2704.77"/>
    <n v="0.56856702619414479"/>
    <x v="0"/>
    <n v="0"/>
  </r>
  <r>
    <s v="TX0749"/>
    <x v="748"/>
    <x v="1"/>
    <x v="0"/>
    <x v="0"/>
    <s v="Brand C"/>
    <s v="LA006"/>
    <x v="2"/>
    <n v="298"/>
    <n v="8.99"/>
    <x v="0"/>
    <n v="0"/>
    <n v="8.99"/>
    <n v="2679.02"/>
    <n v="4"/>
    <n v="1192"/>
    <n v="1487.02"/>
    <n v="0.55506117908787544"/>
    <x v="0"/>
    <n v="0"/>
  </r>
  <r>
    <s v="TX0750"/>
    <x v="749"/>
    <x v="1"/>
    <x v="0"/>
    <x v="1"/>
    <s v="Brand B"/>
    <s v="OR004"/>
    <x v="3"/>
    <n v="396"/>
    <n v="5.99"/>
    <x v="0"/>
    <n v="0"/>
    <n v="5.99"/>
    <n v="2372.04"/>
    <n v="2.4"/>
    <n v="950.4"/>
    <n v="1421.6399999999999"/>
    <n v="0.59933222036727873"/>
    <x v="0"/>
    <n v="0"/>
  </r>
  <r>
    <s v="TX0751"/>
    <x v="750"/>
    <x v="1"/>
    <x v="2"/>
    <x v="2"/>
    <s v="Brand B"/>
    <s v="SC006"/>
    <x v="15"/>
    <n v="1131"/>
    <n v="4.99"/>
    <x v="1"/>
    <n v="0.1"/>
    <n v="4.4910000000000005"/>
    <n v="5079.3210000000008"/>
    <n v="2.1"/>
    <n v="2375.1"/>
    <n v="2704.2210000000009"/>
    <n v="0.53239812959251842"/>
    <x v="2"/>
    <n v="564.36900000000003"/>
  </r>
  <r>
    <s v="TX0752"/>
    <x v="751"/>
    <x v="0"/>
    <x v="0"/>
    <x v="1"/>
    <s v="Brand C"/>
    <s v="OR007"/>
    <x v="18"/>
    <n v="785"/>
    <n v="3.29"/>
    <x v="0"/>
    <n v="0"/>
    <n v="3.29"/>
    <n v="2582.65"/>
    <n v="1.1000000000000001"/>
    <n v="863.50000000000011"/>
    <n v="1719.15"/>
    <n v="0.66565349544072949"/>
    <x v="0"/>
    <n v="0"/>
  </r>
  <r>
    <s v="TX0753"/>
    <x v="752"/>
    <x v="0"/>
    <x v="2"/>
    <x v="2"/>
    <s v="Brand A"/>
    <s v="SC005"/>
    <x v="16"/>
    <n v="459"/>
    <n v="10.99"/>
    <x v="1"/>
    <n v="0.1"/>
    <n v="9.891"/>
    <n v="4539.9690000000001"/>
    <n v="4.5999999999999996"/>
    <n v="2111.3999999999996"/>
    <n v="2428.5690000000004"/>
    <n v="0.53493074512182803"/>
    <x v="1"/>
    <n v="504.44099999999997"/>
  </r>
  <r>
    <s v="TX0754"/>
    <x v="753"/>
    <x v="2"/>
    <x v="0"/>
    <x v="0"/>
    <s v="Brand C"/>
    <s v="LA002"/>
    <x v="0"/>
    <n v="449"/>
    <n v="11.99"/>
    <x v="0"/>
    <n v="0"/>
    <n v="11.99"/>
    <n v="5383.51"/>
    <n v="5.2"/>
    <n v="2334.8000000000002"/>
    <n v="3048.71"/>
    <n v="0.56630525437864887"/>
    <x v="0"/>
    <n v="0"/>
  </r>
  <r>
    <s v="TX0755"/>
    <x v="754"/>
    <x v="0"/>
    <x v="2"/>
    <x v="1"/>
    <s v="Brand A"/>
    <s v="OR002"/>
    <x v="11"/>
    <n v="447"/>
    <n v="4.99"/>
    <x v="0"/>
    <n v="0"/>
    <n v="4.99"/>
    <n v="2230.5300000000002"/>
    <n v="1.8"/>
    <n v="804.6"/>
    <n v="1425.9300000000003"/>
    <n v="0.63927855711422854"/>
    <x v="0"/>
    <n v="0"/>
  </r>
  <r>
    <s v="TX0756"/>
    <x v="755"/>
    <x v="1"/>
    <x v="1"/>
    <x v="3"/>
    <s v="Brand A"/>
    <s v="HC001"/>
    <x v="7"/>
    <n v="466"/>
    <n v="5.99"/>
    <x v="1"/>
    <n v="0.3"/>
    <n v="4.1929999999999996"/>
    <n v="1953.9379999999999"/>
    <n v="2.4"/>
    <n v="1118.3999999999999"/>
    <n v="835.53800000000001"/>
    <n v="0.42761745766754117"/>
    <x v="3"/>
    <n v="837.40199999999993"/>
  </r>
  <r>
    <s v="TX0757"/>
    <x v="756"/>
    <x v="2"/>
    <x v="0"/>
    <x v="1"/>
    <s v="Brand A"/>
    <s v="OR005"/>
    <x v="10"/>
    <n v="579"/>
    <n v="3.99"/>
    <x v="1"/>
    <n v="0.2"/>
    <n v="3.1920000000000002"/>
    <n v="1848.1680000000001"/>
    <n v="1.5"/>
    <n v="868.5"/>
    <n v="979.66800000000012"/>
    <n v="0.53007518796992481"/>
    <x v="1"/>
    <n v="462.04200000000003"/>
  </r>
  <r>
    <s v="TX0758"/>
    <x v="757"/>
    <x v="2"/>
    <x v="2"/>
    <x v="2"/>
    <s v="Brand A"/>
    <s v="SC004"/>
    <x v="4"/>
    <n v="837"/>
    <n v="8.49"/>
    <x v="1"/>
    <n v="0.1"/>
    <n v="7.641"/>
    <n v="6395.5169999999998"/>
    <n v="3.5"/>
    <n v="2929.5"/>
    <n v="3466.0169999999998"/>
    <n v="0.54194477162675037"/>
    <x v="3"/>
    <n v="710.61300000000006"/>
  </r>
  <r>
    <s v="TX0759"/>
    <x v="758"/>
    <x v="0"/>
    <x v="2"/>
    <x v="0"/>
    <s v="Brand B"/>
    <s v="LA001"/>
    <x v="1"/>
    <n v="615"/>
    <n v="8.49"/>
    <x v="0"/>
    <n v="0"/>
    <n v="8.49"/>
    <n v="5221.3500000000004"/>
    <n v="3.8"/>
    <n v="2337"/>
    <n v="2884.3500000000004"/>
    <n v="0.55241460541813903"/>
    <x v="0"/>
    <n v="0"/>
  </r>
  <r>
    <s v="TX0760"/>
    <x v="759"/>
    <x v="2"/>
    <x v="0"/>
    <x v="0"/>
    <s v="Brand A"/>
    <s v="LA003"/>
    <x v="9"/>
    <n v="491"/>
    <n v="6.99"/>
    <x v="1"/>
    <n v="0.3"/>
    <n v="4.8929999999999998"/>
    <n v="2402.4629999999997"/>
    <n v="2.9"/>
    <n v="1423.8999999999999"/>
    <n v="978.56299999999987"/>
    <n v="0.40731657469854893"/>
    <x v="1"/>
    <n v="1029.627"/>
  </r>
  <r>
    <s v="TX0761"/>
    <x v="760"/>
    <x v="0"/>
    <x v="0"/>
    <x v="0"/>
    <s v="Brand C"/>
    <s v="LA002"/>
    <x v="0"/>
    <n v="1127"/>
    <n v="11.99"/>
    <x v="1"/>
    <n v="0.3"/>
    <n v="8.3929999999999989"/>
    <n v="9458.9109999999982"/>
    <n v="5.2"/>
    <n v="5860.4000000000005"/>
    <n v="3598.5109999999977"/>
    <n v="0.38043607768378396"/>
    <x v="2"/>
    <n v="4053.819"/>
  </r>
  <r>
    <s v="TX0762"/>
    <x v="761"/>
    <x v="0"/>
    <x v="2"/>
    <x v="0"/>
    <s v="Brand A"/>
    <s v="LA005"/>
    <x v="21"/>
    <n v="978"/>
    <n v="9.49"/>
    <x v="1"/>
    <n v="0.3"/>
    <n v="6.6429999999999998"/>
    <n v="6496.8539999999994"/>
    <n v="4"/>
    <n v="3912"/>
    <n v="2584.8539999999994"/>
    <n v="0.39786241156104163"/>
    <x v="3"/>
    <n v="2784.366"/>
  </r>
  <r>
    <s v="TX0763"/>
    <x v="762"/>
    <x v="2"/>
    <x v="1"/>
    <x v="0"/>
    <s v="Brand B"/>
    <s v="LA007"/>
    <x v="25"/>
    <n v="740"/>
    <n v="10.49"/>
    <x v="1"/>
    <n v="0.2"/>
    <n v="8.3920000000000012"/>
    <n v="6210.0800000000008"/>
    <n v="4.5999999999999996"/>
    <n v="3403.9999999999995"/>
    <n v="2806.0800000000013"/>
    <n v="0.45185891325071509"/>
    <x v="2"/>
    <n v="1552.5200000000002"/>
  </r>
  <r>
    <s v="TX0764"/>
    <x v="763"/>
    <x v="1"/>
    <x v="2"/>
    <x v="0"/>
    <s v="Brand A"/>
    <s v="LA005"/>
    <x v="21"/>
    <n v="697"/>
    <n v="9.49"/>
    <x v="0"/>
    <n v="0"/>
    <n v="9.49"/>
    <n v="6614.53"/>
    <n v="4"/>
    <n v="2788"/>
    <n v="3826.5299999999997"/>
    <n v="0.57850368809272912"/>
    <x v="0"/>
    <n v="0"/>
  </r>
  <r>
    <s v="TX0765"/>
    <x v="764"/>
    <x v="1"/>
    <x v="2"/>
    <x v="2"/>
    <s v="Brand A"/>
    <s v="SC004"/>
    <x v="4"/>
    <n v="994"/>
    <n v="8.49"/>
    <x v="1"/>
    <n v="0.2"/>
    <n v="6.7920000000000007"/>
    <n v="6751.2480000000005"/>
    <n v="3.5"/>
    <n v="3479"/>
    <n v="3272.2480000000005"/>
    <n v="0.48468786808009429"/>
    <x v="3"/>
    <n v="1687.8120000000001"/>
  </r>
  <r>
    <s v="TX0766"/>
    <x v="765"/>
    <x v="2"/>
    <x v="2"/>
    <x v="2"/>
    <s v="Brand A"/>
    <s v="SC001"/>
    <x v="6"/>
    <n v="549"/>
    <n v="7.99"/>
    <x v="1"/>
    <n v="0.2"/>
    <n v="6.3920000000000003"/>
    <n v="3509.2080000000001"/>
    <n v="3.1"/>
    <n v="1701.9"/>
    <n v="1807.308"/>
    <n v="0.51501877346683356"/>
    <x v="3"/>
    <n v="877.30200000000002"/>
  </r>
  <r>
    <s v="TX0767"/>
    <x v="766"/>
    <x v="0"/>
    <x v="0"/>
    <x v="0"/>
    <s v="Brand B"/>
    <s v="LA004"/>
    <x v="12"/>
    <n v="818"/>
    <n v="5.99"/>
    <x v="1"/>
    <n v="0.2"/>
    <n v="4.7920000000000007"/>
    <n v="3919.8560000000007"/>
    <n v="2.5"/>
    <n v="2045"/>
    <n v="1874.8560000000007"/>
    <n v="0.47829716193656102"/>
    <x v="2"/>
    <n v="979.96400000000017"/>
  </r>
  <r>
    <s v="TX0768"/>
    <x v="767"/>
    <x v="2"/>
    <x v="2"/>
    <x v="0"/>
    <s v="Brand B"/>
    <s v="LA004"/>
    <x v="12"/>
    <n v="501"/>
    <n v="5.99"/>
    <x v="0"/>
    <n v="0"/>
    <n v="5.99"/>
    <n v="3000.9900000000002"/>
    <n v="2.5"/>
    <n v="1252.5"/>
    <n v="1748.4900000000002"/>
    <n v="0.58263772954924875"/>
    <x v="0"/>
    <n v="0"/>
  </r>
  <r>
    <s v="TX0769"/>
    <x v="768"/>
    <x v="2"/>
    <x v="0"/>
    <x v="1"/>
    <s v="Brand C"/>
    <s v="OR003"/>
    <x v="14"/>
    <n v="615"/>
    <n v="4.49"/>
    <x v="1"/>
    <n v="0.1"/>
    <n v="4.0410000000000004"/>
    <n v="2485.2150000000001"/>
    <n v="1.7"/>
    <n v="1045.5"/>
    <n v="1439.7150000000001"/>
    <n v="0.57931205147240783"/>
    <x v="2"/>
    <n v="276.13500000000005"/>
  </r>
  <r>
    <s v="TX0770"/>
    <x v="769"/>
    <x v="0"/>
    <x v="0"/>
    <x v="0"/>
    <s v="Brand B"/>
    <s v="LA001"/>
    <x v="1"/>
    <n v="447"/>
    <n v="8.49"/>
    <x v="0"/>
    <n v="0"/>
    <n v="8.49"/>
    <n v="3795.03"/>
    <n v="3.8"/>
    <n v="1698.6"/>
    <n v="2096.4300000000003"/>
    <n v="0.55241460541813903"/>
    <x v="0"/>
    <n v="0"/>
  </r>
  <r>
    <s v="TX0771"/>
    <x v="770"/>
    <x v="1"/>
    <x v="1"/>
    <x v="0"/>
    <s v="Brand C"/>
    <s v="LA002"/>
    <x v="0"/>
    <n v="885"/>
    <n v="11.99"/>
    <x v="1"/>
    <n v="0.3"/>
    <n v="8.3929999999999989"/>
    <n v="7427.8049999999994"/>
    <n v="5.2"/>
    <n v="4602"/>
    <n v="2825.8049999999994"/>
    <n v="0.38043607768378407"/>
    <x v="3"/>
    <n v="3183.3449999999998"/>
  </r>
  <r>
    <s v="TX0772"/>
    <x v="771"/>
    <x v="2"/>
    <x v="1"/>
    <x v="0"/>
    <s v="Brand C"/>
    <s v="LA002"/>
    <x v="0"/>
    <n v="435"/>
    <n v="11.99"/>
    <x v="1"/>
    <n v="0.2"/>
    <n v="9.5920000000000005"/>
    <n v="4172.5200000000004"/>
    <n v="5.2"/>
    <n v="2262"/>
    <n v="1910.5200000000004"/>
    <n v="0.45788156797331114"/>
    <x v="1"/>
    <n v="1043.1300000000001"/>
  </r>
  <r>
    <s v="TX0773"/>
    <x v="772"/>
    <x v="2"/>
    <x v="2"/>
    <x v="0"/>
    <s v="Brand A"/>
    <s v="LA003"/>
    <x v="9"/>
    <n v="394"/>
    <n v="6.99"/>
    <x v="0"/>
    <n v="0"/>
    <n v="6.99"/>
    <n v="2754.06"/>
    <n v="2.9"/>
    <n v="1142.5999999999999"/>
    <n v="1611.46"/>
    <n v="0.58512160228898424"/>
    <x v="0"/>
    <n v="0"/>
  </r>
  <r>
    <s v="TX0774"/>
    <x v="773"/>
    <x v="0"/>
    <x v="2"/>
    <x v="2"/>
    <s v="Brand C"/>
    <s v="SC002"/>
    <x v="8"/>
    <n v="260"/>
    <n v="9.99"/>
    <x v="0"/>
    <n v="0"/>
    <n v="9.99"/>
    <n v="2597.4"/>
    <n v="4.2"/>
    <n v="1092"/>
    <n v="1505.4"/>
    <n v="0.57957957957957962"/>
    <x v="0"/>
    <n v="0"/>
  </r>
  <r>
    <s v="TX0775"/>
    <x v="774"/>
    <x v="2"/>
    <x v="1"/>
    <x v="0"/>
    <s v="Brand C"/>
    <s v="LA002"/>
    <x v="0"/>
    <n v="665"/>
    <n v="11.99"/>
    <x v="0"/>
    <n v="0"/>
    <n v="11.99"/>
    <n v="7973.35"/>
    <n v="5.2"/>
    <n v="3458"/>
    <n v="4515.3500000000004"/>
    <n v="0.56630525437864887"/>
    <x v="0"/>
    <n v="0"/>
  </r>
  <r>
    <s v="TX0776"/>
    <x v="775"/>
    <x v="1"/>
    <x v="1"/>
    <x v="0"/>
    <s v="Brand B"/>
    <s v="LA001"/>
    <x v="1"/>
    <n v="401"/>
    <n v="8.49"/>
    <x v="0"/>
    <n v="0"/>
    <n v="8.49"/>
    <n v="3404.4900000000002"/>
    <n v="3.8"/>
    <n v="1523.8"/>
    <n v="1880.6900000000003"/>
    <n v="0.55241460541813903"/>
    <x v="0"/>
    <n v="0"/>
  </r>
  <r>
    <s v="TX0777"/>
    <x v="776"/>
    <x v="0"/>
    <x v="0"/>
    <x v="0"/>
    <s v="Brand A"/>
    <s v="LA003"/>
    <x v="9"/>
    <n v="737"/>
    <n v="6.99"/>
    <x v="0"/>
    <n v="0"/>
    <n v="6.99"/>
    <n v="5151.63"/>
    <n v="2.9"/>
    <n v="2137.2999999999997"/>
    <n v="3014.3300000000004"/>
    <n v="0.58512160228898435"/>
    <x v="0"/>
    <n v="0"/>
  </r>
  <r>
    <s v="TX0778"/>
    <x v="777"/>
    <x v="2"/>
    <x v="0"/>
    <x v="3"/>
    <s v="Brand C"/>
    <s v="HC006"/>
    <x v="13"/>
    <n v="803"/>
    <n v="6.49"/>
    <x v="1"/>
    <n v="0.2"/>
    <n v="5.1920000000000002"/>
    <n v="4169.1760000000004"/>
    <n v="2.8"/>
    <n v="2248.3999999999996"/>
    <n v="1920.7760000000007"/>
    <n v="0.46070878274268118"/>
    <x v="3"/>
    <n v="1042.2940000000001"/>
  </r>
  <r>
    <s v="TX0779"/>
    <x v="778"/>
    <x v="1"/>
    <x v="1"/>
    <x v="2"/>
    <s v="Brand C"/>
    <s v="SC007"/>
    <x v="5"/>
    <n v="401"/>
    <n v="5.49"/>
    <x v="0"/>
    <n v="0"/>
    <n v="5.49"/>
    <n v="2201.4900000000002"/>
    <n v="2.2999999999999998"/>
    <n v="922.3"/>
    <n v="1279.1900000000003"/>
    <n v="0.58105646630236796"/>
    <x v="0"/>
    <n v="0"/>
  </r>
  <r>
    <s v="TX0780"/>
    <x v="779"/>
    <x v="0"/>
    <x v="0"/>
    <x v="3"/>
    <s v="Brand A"/>
    <s v="HC003"/>
    <x v="17"/>
    <n v="836"/>
    <n v="5.49"/>
    <x v="1"/>
    <n v="0.3"/>
    <n v="3.843"/>
    <n v="3212.748"/>
    <n v="2.2000000000000002"/>
    <n v="1839.2"/>
    <n v="1373.548"/>
    <n v="0.42753057507155867"/>
    <x v="3"/>
    <n v="1376.8920000000001"/>
  </r>
  <r>
    <s v="TX0781"/>
    <x v="780"/>
    <x v="1"/>
    <x v="0"/>
    <x v="3"/>
    <s v="Brand C"/>
    <s v="HC007"/>
    <x v="23"/>
    <n v="403"/>
    <n v="7.49"/>
    <x v="0"/>
    <n v="0"/>
    <n v="7.49"/>
    <n v="3018.4700000000003"/>
    <n v="3.1"/>
    <n v="1249.3"/>
    <n v="1769.1700000000003"/>
    <n v="0.58611481975967961"/>
    <x v="0"/>
    <n v="0"/>
  </r>
  <r>
    <s v="TX0782"/>
    <x v="781"/>
    <x v="1"/>
    <x v="0"/>
    <x v="0"/>
    <s v="Brand A"/>
    <s v="LA005"/>
    <x v="21"/>
    <n v="676"/>
    <n v="9.49"/>
    <x v="0"/>
    <n v="0"/>
    <n v="9.49"/>
    <n v="6415.24"/>
    <n v="4"/>
    <n v="2704"/>
    <n v="3711.24"/>
    <n v="0.57850368809272923"/>
    <x v="0"/>
    <n v="0"/>
  </r>
  <r>
    <s v="TX0783"/>
    <x v="782"/>
    <x v="1"/>
    <x v="1"/>
    <x v="3"/>
    <s v="Brand A"/>
    <s v="HC002"/>
    <x v="22"/>
    <n v="422"/>
    <n v="8.99"/>
    <x v="0"/>
    <n v="0"/>
    <n v="8.99"/>
    <n v="3793.78"/>
    <n v="3.6"/>
    <n v="1519.2"/>
    <n v="2274.58"/>
    <n v="0.59955506117908786"/>
    <x v="0"/>
    <n v="0"/>
  </r>
  <r>
    <s v="TX0784"/>
    <x v="783"/>
    <x v="0"/>
    <x v="2"/>
    <x v="1"/>
    <s v="Brand C"/>
    <s v="OR007"/>
    <x v="18"/>
    <n v="553"/>
    <n v="3.29"/>
    <x v="0"/>
    <n v="0"/>
    <n v="3.29"/>
    <n v="1819.3700000000001"/>
    <n v="1.1000000000000001"/>
    <n v="608.30000000000007"/>
    <n v="1211.0700000000002"/>
    <n v="0.66565349544072949"/>
    <x v="0"/>
    <n v="0"/>
  </r>
  <r>
    <s v="TX0785"/>
    <x v="784"/>
    <x v="0"/>
    <x v="2"/>
    <x v="3"/>
    <s v="Brand B"/>
    <s v="HC004"/>
    <x v="7"/>
    <n v="615"/>
    <n v="4.99"/>
    <x v="0"/>
    <n v="0"/>
    <n v="4.99"/>
    <n v="3068.85"/>
    <n v="2.1"/>
    <n v="1291.5"/>
    <n v="1777.35"/>
    <n v="0.57915831663326656"/>
    <x v="0"/>
    <n v="0"/>
  </r>
  <r>
    <s v="TX0786"/>
    <x v="785"/>
    <x v="0"/>
    <x v="2"/>
    <x v="1"/>
    <s v="Brand A"/>
    <s v="OR002"/>
    <x v="11"/>
    <n v="719"/>
    <n v="4.99"/>
    <x v="1"/>
    <n v="0.3"/>
    <n v="3.4929999999999999"/>
    <n v="2511.4670000000001"/>
    <n v="1.8"/>
    <n v="1294.2"/>
    <n v="1217.2670000000001"/>
    <n v="0.48468365302032634"/>
    <x v="1"/>
    <n v="1076.3430000000001"/>
  </r>
  <r>
    <s v="TX0787"/>
    <x v="786"/>
    <x v="2"/>
    <x v="0"/>
    <x v="1"/>
    <s v="Brand A"/>
    <s v="OR005"/>
    <x v="10"/>
    <n v="527"/>
    <n v="3.99"/>
    <x v="0"/>
    <n v="0"/>
    <n v="3.99"/>
    <n v="2102.73"/>
    <n v="1.5"/>
    <n v="790.5"/>
    <n v="1312.23"/>
    <n v="0.62406015037593987"/>
    <x v="0"/>
    <n v="0"/>
  </r>
  <r>
    <s v="TX0788"/>
    <x v="787"/>
    <x v="1"/>
    <x v="0"/>
    <x v="1"/>
    <s v="Brand C"/>
    <s v="OR003"/>
    <x v="14"/>
    <n v="1067"/>
    <n v="4.49"/>
    <x v="1"/>
    <n v="0.2"/>
    <n v="3.5920000000000005"/>
    <n v="3832.6640000000007"/>
    <n v="1.7"/>
    <n v="1813.8999999999999"/>
    <n v="2018.7640000000008"/>
    <n v="0.52672605790645888"/>
    <x v="1"/>
    <n v="958.16600000000017"/>
  </r>
  <r>
    <s v="TX0789"/>
    <x v="788"/>
    <x v="2"/>
    <x v="0"/>
    <x v="1"/>
    <s v="Brand C"/>
    <s v="OR003"/>
    <x v="14"/>
    <n v="575"/>
    <n v="4.49"/>
    <x v="0"/>
    <n v="0"/>
    <n v="4.49"/>
    <n v="2581.75"/>
    <n v="1.7"/>
    <n v="977.5"/>
    <n v="1604.25"/>
    <n v="0.62138084632516699"/>
    <x v="0"/>
    <n v="0"/>
  </r>
  <r>
    <s v="TX0790"/>
    <x v="789"/>
    <x v="2"/>
    <x v="2"/>
    <x v="1"/>
    <s v="Brand B"/>
    <s v="OR001"/>
    <x v="19"/>
    <n v="890"/>
    <n v="3.49"/>
    <x v="1"/>
    <n v="0.2"/>
    <n v="2.7920000000000003"/>
    <n v="2484.88"/>
    <n v="1.2"/>
    <n v="1068"/>
    <n v="1416.88"/>
    <n v="0.57020057306590255"/>
    <x v="1"/>
    <n v="621.22"/>
  </r>
  <r>
    <s v="TX0791"/>
    <x v="790"/>
    <x v="0"/>
    <x v="2"/>
    <x v="0"/>
    <s v="Brand A"/>
    <s v="LA005"/>
    <x v="21"/>
    <n v="279"/>
    <n v="9.49"/>
    <x v="0"/>
    <n v="0"/>
    <n v="9.49"/>
    <n v="2647.71"/>
    <n v="4"/>
    <n v="1116"/>
    <n v="1531.71"/>
    <n v="0.57850368809272923"/>
    <x v="0"/>
    <n v="0"/>
  </r>
  <r>
    <s v="TX0792"/>
    <x v="791"/>
    <x v="2"/>
    <x v="1"/>
    <x v="2"/>
    <s v="Brand B"/>
    <s v="SC006"/>
    <x v="15"/>
    <n v="210"/>
    <n v="4.99"/>
    <x v="0"/>
    <n v="0"/>
    <n v="4.99"/>
    <n v="1047.9000000000001"/>
    <n v="2.1"/>
    <n v="441"/>
    <n v="606.90000000000009"/>
    <n v="0.57915831663326656"/>
    <x v="0"/>
    <n v="0"/>
  </r>
  <r>
    <s v="TX0793"/>
    <x v="792"/>
    <x v="1"/>
    <x v="0"/>
    <x v="3"/>
    <s v="Brand A"/>
    <s v="HC002"/>
    <x v="22"/>
    <n v="594"/>
    <n v="8.99"/>
    <x v="0"/>
    <n v="0"/>
    <n v="8.99"/>
    <n v="5340.06"/>
    <n v="3.6"/>
    <n v="2138.4"/>
    <n v="3201.6600000000003"/>
    <n v="0.59955506117908786"/>
    <x v="0"/>
    <n v="0"/>
  </r>
  <r>
    <s v="TX0794"/>
    <x v="793"/>
    <x v="1"/>
    <x v="1"/>
    <x v="1"/>
    <s v="Brand B"/>
    <s v="OR004"/>
    <x v="3"/>
    <n v="381"/>
    <n v="5.99"/>
    <x v="0"/>
    <n v="0"/>
    <n v="5.99"/>
    <n v="2282.19"/>
    <n v="2.4"/>
    <n v="914.4"/>
    <n v="1367.79"/>
    <n v="0.59933222036727873"/>
    <x v="0"/>
    <n v="0"/>
  </r>
  <r>
    <s v="TX0795"/>
    <x v="794"/>
    <x v="1"/>
    <x v="0"/>
    <x v="3"/>
    <s v="Brand B"/>
    <s v="HC004"/>
    <x v="7"/>
    <n v="301"/>
    <n v="4.99"/>
    <x v="0"/>
    <n v="0"/>
    <n v="4.99"/>
    <n v="1501.99"/>
    <n v="2.1"/>
    <n v="632.1"/>
    <n v="869.89"/>
    <n v="0.57915831663326656"/>
    <x v="0"/>
    <n v="0"/>
  </r>
  <r>
    <s v="TX0796"/>
    <x v="795"/>
    <x v="1"/>
    <x v="1"/>
    <x v="3"/>
    <s v="Brand A"/>
    <s v="HC003"/>
    <x v="17"/>
    <n v="433"/>
    <n v="5.49"/>
    <x v="1"/>
    <n v="0.3"/>
    <n v="3.843"/>
    <n v="1664.019"/>
    <n v="2.2000000000000002"/>
    <n v="952.6"/>
    <n v="711.41899999999998"/>
    <n v="0.42753057507155867"/>
    <x v="1"/>
    <n v="713.15099999999995"/>
  </r>
  <r>
    <s v="TX0797"/>
    <x v="796"/>
    <x v="0"/>
    <x v="2"/>
    <x v="0"/>
    <s v="Brand C"/>
    <s v="LA002"/>
    <x v="0"/>
    <n v="628"/>
    <n v="11.99"/>
    <x v="0"/>
    <n v="0"/>
    <n v="11.99"/>
    <n v="7529.72"/>
    <n v="5.2"/>
    <n v="3265.6"/>
    <n v="4264.1200000000008"/>
    <n v="0.56630525437864898"/>
    <x v="0"/>
    <n v="0"/>
  </r>
  <r>
    <s v="TX0798"/>
    <x v="797"/>
    <x v="1"/>
    <x v="0"/>
    <x v="3"/>
    <s v="Brand C"/>
    <s v="HC006"/>
    <x v="13"/>
    <n v="437"/>
    <n v="6.49"/>
    <x v="0"/>
    <n v="0"/>
    <n v="6.49"/>
    <n v="2836.13"/>
    <n v="2.8"/>
    <n v="1223.5999999999999"/>
    <n v="1612.5300000000002"/>
    <n v="0.5685670261941449"/>
    <x v="0"/>
    <n v="0"/>
  </r>
  <r>
    <s v="TX0799"/>
    <x v="798"/>
    <x v="0"/>
    <x v="1"/>
    <x v="3"/>
    <s v="Brand C"/>
    <s v="HC006"/>
    <x v="13"/>
    <n v="989"/>
    <n v="6.49"/>
    <x v="1"/>
    <n v="0.2"/>
    <n v="5.1920000000000002"/>
    <n v="5134.8879999999999"/>
    <n v="2.8"/>
    <n v="2769.2"/>
    <n v="2365.6880000000001"/>
    <n v="0.46070878274268107"/>
    <x v="2"/>
    <n v="1283.722"/>
  </r>
  <r>
    <s v="TX0800"/>
    <x v="799"/>
    <x v="2"/>
    <x v="2"/>
    <x v="2"/>
    <s v="Brand C"/>
    <s v="SC007"/>
    <x v="5"/>
    <n v="1012"/>
    <n v="5.49"/>
    <x v="1"/>
    <n v="0.3"/>
    <n v="3.843"/>
    <n v="3889.116"/>
    <n v="2.2999999999999998"/>
    <n v="2327.6"/>
    <n v="1561.5160000000001"/>
    <n v="0.40150923757481138"/>
    <x v="2"/>
    <n v="1666.7640000000001"/>
  </r>
  <r>
    <s v="TX0801"/>
    <x v="800"/>
    <x v="0"/>
    <x v="2"/>
    <x v="2"/>
    <s v="Brand B"/>
    <s v="SC006"/>
    <x v="15"/>
    <n v="759"/>
    <n v="4.99"/>
    <x v="0"/>
    <n v="0"/>
    <n v="4.99"/>
    <n v="3787.4100000000003"/>
    <n v="2.1"/>
    <n v="1593.9"/>
    <n v="2193.5100000000002"/>
    <n v="0.57915831663326656"/>
    <x v="0"/>
    <n v="0"/>
  </r>
  <r>
    <s v="TX0802"/>
    <x v="801"/>
    <x v="0"/>
    <x v="2"/>
    <x v="1"/>
    <s v="Brand B"/>
    <s v="OR004"/>
    <x v="3"/>
    <n v="385"/>
    <n v="5.99"/>
    <x v="0"/>
    <n v="0"/>
    <n v="5.99"/>
    <n v="2306.15"/>
    <n v="2.4"/>
    <n v="924"/>
    <n v="1382.15"/>
    <n v="0.59933222036727885"/>
    <x v="0"/>
    <n v="0"/>
  </r>
  <r>
    <s v="TX0803"/>
    <x v="802"/>
    <x v="1"/>
    <x v="1"/>
    <x v="3"/>
    <s v="Brand B"/>
    <s v="HC008"/>
    <x v="20"/>
    <n v="568"/>
    <n v="4.49"/>
    <x v="0"/>
    <n v="0"/>
    <n v="4.49"/>
    <n v="2550.3200000000002"/>
    <n v="1.9"/>
    <n v="1079.2"/>
    <n v="1471.1200000000001"/>
    <n v="0.57683741648106901"/>
    <x v="0"/>
    <n v="0"/>
  </r>
  <r>
    <s v="TX0804"/>
    <x v="803"/>
    <x v="2"/>
    <x v="1"/>
    <x v="2"/>
    <s v="Brand B"/>
    <s v="SC006"/>
    <x v="15"/>
    <n v="702"/>
    <n v="4.99"/>
    <x v="0"/>
    <n v="0"/>
    <n v="4.99"/>
    <n v="3502.98"/>
    <n v="2.1"/>
    <n v="1474.2"/>
    <n v="2028.78"/>
    <n v="0.57915831663326656"/>
    <x v="0"/>
    <n v="0"/>
  </r>
  <r>
    <s v="TX0805"/>
    <x v="804"/>
    <x v="1"/>
    <x v="1"/>
    <x v="2"/>
    <s v="Brand A"/>
    <s v="SC004"/>
    <x v="4"/>
    <n v="599"/>
    <n v="8.49"/>
    <x v="1"/>
    <n v="0.2"/>
    <n v="6.7920000000000007"/>
    <n v="4068.4080000000004"/>
    <n v="3.5"/>
    <n v="2096.5"/>
    <n v="1971.9080000000004"/>
    <n v="0.48468786808009429"/>
    <x v="3"/>
    <n v="1017.1020000000001"/>
  </r>
  <r>
    <s v="TX0806"/>
    <x v="805"/>
    <x v="2"/>
    <x v="1"/>
    <x v="1"/>
    <s v="Brand B"/>
    <s v="OR001"/>
    <x v="19"/>
    <n v="492"/>
    <n v="3.49"/>
    <x v="0"/>
    <n v="0"/>
    <n v="3.49"/>
    <n v="1717.0800000000002"/>
    <n v="1.2"/>
    <n v="590.4"/>
    <n v="1126.6800000000003"/>
    <n v="0.6561604584527222"/>
    <x v="0"/>
    <n v="0"/>
  </r>
  <r>
    <s v="TX0807"/>
    <x v="806"/>
    <x v="1"/>
    <x v="1"/>
    <x v="0"/>
    <s v="Brand C"/>
    <s v="LA002"/>
    <x v="0"/>
    <n v="725"/>
    <n v="11.99"/>
    <x v="0"/>
    <n v="0"/>
    <n v="11.99"/>
    <n v="8692.75"/>
    <n v="5.2"/>
    <n v="3770"/>
    <n v="4922.75"/>
    <n v="0.56630525437864887"/>
    <x v="0"/>
    <n v="0"/>
  </r>
  <r>
    <s v="TX0808"/>
    <x v="807"/>
    <x v="2"/>
    <x v="2"/>
    <x v="2"/>
    <s v="Brand B"/>
    <s v="SC006"/>
    <x v="15"/>
    <n v="312"/>
    <n v="4.99"/>
    <x v="0"/>
    <n v="0"/>
    <n v="4.99"/>
    <n v="1556.88"/>
    <n v="2.1"/>
    <n v="655.20000000000005"/>
    <n v="901.68000000000006"/>
    <n v="0.57915831663326656"/>
    <x v="0"/>
    <n v="0"/>
  </r>
  <r>
    <s v="TX0809"/>
    <x v="808"/>
    <x v="0"/>
    <x v="0"/>
    <x v="3"/>
    <s v="Brand C"/>
    <s v="HC007"/>
    <x v="23"/>
    <n v="618"/>
    <n v="7.49"/>
    <x v="0"/>
    <n v="0"/>
    <n v="7.49"/>
    <n v="4628.82"/>
    <n v="3.1"/>
    <n v="1915.8"/>
    <n v="2713.0199999999995"/>
    <n v="0.5861148197596795"/>
    <x v="0"/>
    <n v="0"/>
  </r>
  <r>
    <s v="TX0810"/>
    <x v="809"/>
    <x v="2"/>
    <x v="2"/>
    <x v="2"/>
    <s v="Brand C"/>
    <s v="SC007"/>
    <x v="5"/>
    <n v="338"/>
    <n v="5.49"/>
    <x v="0"/>
    <n v="0"/>
    <n v="5.49"/>
    <n v="1855.6200000000001"/>
    <n v="2.2999999999999998"/>
    <n v="777.4"/>
    <n v="1078.2200000000003"/>
    <n v="0.58105646630236807"/>
    <x v="0"/>
    <n v="0"/>
  </r>
  <r>
    <s v="TX0811"/>
    <x v="810"/>
    <x v="2"/>
    <x v="2"/>
    <x v="3"/>
    <s v="Brand A"/>
    <s v="HC001"/>
    <x v="7"/>
    <n v="224"/>
    <n v="5.99"/>
    <x v="0"/>
    <n v="0"/>
    <n v="5.99"/>
    <n v="1341.76"/>
    <n v="2.4"/>
    <n v="537.6"/>
    <n v="804.16"/>
    <n v="0.59933222036727873"/>
    <x v="0"/>
    <n v="0"/>
  </r>
  <r>
    <s v="TX0812"/>
    <x v="811"/>
    <x v="1"/>
    <x v="2"/>
    <x v="1"/>
    <s v="Brand C"/>
    <s v="OR003"/>
    <x v="14"/>
    <n v="395"/>
    <n v="4.49"/>
    <x v="0"/>
    <n v="0"/>
    <n v="4.49"/>
    <n v="1773.5500000000002"/>
    <n v="1.7"/>
    <n v="671.5"/>
    <n v="1102.0500000000002"/>
    <n v="0.6213808463251671"/>
    <x v="0"/>
    <n v="0"/>
  </r>
  <r>
    <s v="TX0813"/>
    <x v="812"/>
    <x v="0"/>
    <x v="0"/>
    <x v="1"/>
    <s v="Brand A"/>
    <s v="OR006"/>
    <x v="24"/>
    <n v="530"/>
    <n v="12.99"/>
    <x v="0"/>
    <n v="0"/>
    <n v="12.99"/>
    <n v="6884.7"/>
    <n v="5.2"/>
    <n v="2756"/>
    <n v="4128.7"/>
    <n v="0.59969207082371057"/>
    <x v="0"/>
    <n v="0"/>
  </r>
  <r>
    <s v="TX0814"/>
    <x v="813"/>
    <x v="1"/>
    <x v="0"/>
    <x v="3"/>
    <s v="Brand A"/>
    <s v="HC001"/>
    <x v="7"/>
    <n v="249"/>
    <n v="5.99"/>
    <x v="0"/>
    <n v="0"/>
    <n v="5.99"/>
    <n v="1491.51"/>
    <n v="2.4"/>
    <n v="597.6"/>
    <n v="893.91"/>
    <n v="0.59933222036727873"/>
    <x v="0"/>
    <n v="0"/>
  </r>
  <r>
    <s v="TX0815"/>
    <x v="814"/>
    <x v="0"/>
    <x v="1"/>
    <x v="1"/>
    <s v="Brand C"/>
    <s v="OR007"/>
    <x v="18"/>
    <n v="511"/>
    <n v="3.29"/>
    <x v="0"/>
    <n v="0"/>
    <n v="3.29"/>
    <n v="1681.19"/>
    <n v="1.1000000000000001"/>
    <n v="562.1"/>
    <n v="1119.0900000000001"/>
    <n v="0.6656534954407296"/>
    <x v="0"/>
    <n v="0"/>
  </r>
  <r>
    <s v="TX0816"/>
    <x v="815"/>
    <x v="1"/>
    <x v="1"/>
    <x v="0"/>
    <s v="Brand B"/>
    <s v="LA004"/>
    <x v="12"/>
    <n v="519"/>
    <n v="5.99"/>
    <x v="1"/>
    <n v="0.2"/>
    <n v="4.7920000000000007"/>
    <n v="2487.0480000000002"/>
    <n v="2.5"/>
    <n v="1297.5"/>
    <n v="1189.5480000000002"/>
    <n v="0.47829716193656097"/>
    <x v="1"/>
    <n v="621.76200000000006"/>
  </r>
  <r>
    <s v="TX0817"/>
    <x v="816"/>
    <x v="2"/>
    <x v="1"/>
    <x v="0"/>
    <s v="Brand C"/>
    <s v="LA006"/>
    <x v="2"/>
    <n v="406"/>
    <n v="8.99"/>
    <x v="1"/>
    <n v="0.1"/>
    <n v="8.0910000000000011"/>
    <n v="3284.9460000000004"/>
    <n v="4"/>
    <n v="1624"/>
    <n v="1660.9460000000004"/>
    <n v="0.50562353231986168"/>
    <x v="3"/>
    <n v="364.99400000000003"/>
  </r>
  <r>
    <s v="TX0818"/>
    <x v="817"/>
    <x v="0"/>
    <x v="1"/>
    <x v="3"/>
    <s v="Brand C"/>
    <s v="HC006"/>
    <x v="13"/>
    <n v="675"/>
    <n v="6.49"/>
    <x v="1"/>
    <n v="0.1"/>
    <n v="5.8410000000000002"/>
    <n v="3942.6750000000002"/>
    <n v="2.8"/>
    <n v="1889.9999999999998"/>
    <n v="2052.6750000000002"/>
    <n v="0.52063002910460543"/>
    <x v="3"/>
    <n v="438.07499999999999"/>
  </r>
  <r>
    <s v="TX0819"/>
    <x v="818"/>
    <x v="2"/>
    <x v="2"/>
    <x v="3"/>
    <s v="Brand B"/>
    <s v="HC004"/>
    <x v="7"/>
    <n v="644"/>
    <n v="4.99"/>
    <x v="0"/>
    <n v="0"/>
    <n v="4.99"/>
    <n v="3213.56"/>
    <n v="2.1"/>
    <n v="1352.4"/>
    <n v="1861.1599999999999"/>
    <n v="0.57915831663326645"/>
    <x v="0"/>
    <n v="0"/>
  </r>
  <r>
    <s v="TX0820"/>
    <x v="819"/>
    <x v="2"/>
    <x v="1"/>
    <x v="3"/>
    <s v="Brand B"/>
    <s v="HC004"/>
    <x v="7"/>
    <n v="721"/>
    <n v="4.99"/>
    <x v="1"/>
    <n v="0.3"/>
    <n v="3.4929999999999999"/>
    <n v="2518.453"/>
    <n v="2.1"/>
    <n v="1514.1000000000001"/>
    <n v="1004.3529999999998"/>
    <n v="0.39879759519038072"/>
    <x v="2"/>
    <n v="1079.337"/>
  </r>
  <r>
    <s v="TX0821"/>
    <x v="820"/>
    <x v="1"/>
    <x v="1"/>
    <x v="1"/>
    <s v="Brand C"/>
    <s v="OR007"/>
    <x v="18"/>
    <n v="698"/>
    <n v="3.29"/>
    <x v="0"/>
    <n v="0"/>
    <n v="3.29"/>
    <n v="2296.42"/>
    <n v="1.1000000000000001"/>
    <n v="767.80000000000007"/>
    <n v="1528.62"/>
    <n v="0.66565349544072938"/>
    <x v="0"/>
    <n v="0"/>
  </r>
  <r>
    <s v="TX0822"/>
    <x v="821"/>
    <x v="1"/>
    <x v="1"/>
    <x v="3"/>
    <s v="Brand B"/>
    <s v="HC008"/>
    <x v="20"/>
    <n v="1061"/>
    <n v="4.49"/>
    <x v="1"/>
    <n v="0.3"/>
    <n v="3.1429999999999998"/>
    <n v="3334.723"/>
    <n v="1.9"/>
    <n v="2015.8999999999999"/>
    <n v="1318.8230000000001"/>
    <n v="0.39548202354438439"/>
    <x v="3"/>
    <n v="1429.1669999999999"/>
  </r>
  <r>
    <s v="TX0823"/>
    <x v="822"/>
    <x v="2"/>
    <x v="0"/>
    <x v="3"/>
    <s v="Brand B"/>
    <s v="HC004"/>
    <x v="7"/>
    <n v="658"/>
    <n v="4.99"/>
    <x v="0"/>
    <n v="0"/>
    <n v="4.99"/>
    <n v="3283.42"/>
    <n v="2.1"/>
    <n v="1381.8"/>
    <n v="1901.6200000000001"/>
    <n v="0.57915831663326656"/>
    <x v="0"/>
    <n v="0"/>
  </r>
  <r>
    <s v="TX0824"/>
    <x v="823"/>
    <x v="1"/>
    <x v="1"/>
    <x v="2"/>
    <s v="Brand A"/>
    <s v="SC005"/>
    <x v="16"/>
    <n v="231"/>
    <n v="10.99"/>
    <x v="0"/>
    <n v="0"/>
    <n v="10.99"/>
    <n v="2538.69"/>
    <n v="4.5999999999999996"/>
    <n v="1062.5999999999999"/>
    <n v="1476.0900000000001"/>
    <n v="0.58143767060964513"/>
    <x v="0"/>
    <n v="0"/>
  </r>
  <r>
    <s v="TX0825"/>
    <x v="824"/>
    <x v="1"/>
    <x v="0"/>
    <x v="3"/>
    <s v="Brand C"/>
    <s v="HC006"/>
    <x v="13"/>
    <n v="845"/>
    <n v="6.49"/>
    <x v="1"/>
    <n v="0.1"/>
    <n v="5.8410000000000002"/>
    <n v="4935.6450000000004"/>
    <n v="2.8"/>
    <n v="2366"/>
    <n v="2569.6450000000004"/>
    <n v="0.52063002910460543"/>
    <x v="2"/>
    <n v="548.40499999999997"/>
  </r>
  <r>
    <s v="TX0826"/>
    <x v="825"/>
    <x v="0"/>
    <x v="1"/>
    <x v="3"/>
    <s v="Brand C"/>
    <s v="HC007"/>
    <x v="23"/>
    <n v="640"/>
    <n v="7.49"/>
    <x v="0"/>
    <n v="0"/>
    <n v="7.49"/>
    <n v="4793.6000000000004"/>
    <n v="3.1"/>
    <n v="1984"/>
    <n v="2809.6000000000004"/>
    <n v="0.58611481975967961"/>
    <x v="0"/>
    <n v="0"/>
  </r>
  <r>
    <s v="TX0827"/>
    <x v="826"/>
    <x v="1"/>
    <x v="2"/>
    <x v="2"/>
    <s v="Brand C"/>
    <s v="SC002"/>
    <x v="8"/>
    <n v="354"/>
    <n v="9.99"/>
    <x v="0"/>
    <n v="0"/>
    <n v="9.99"/>
    <n v="3536.46"/>
    <n v="4.2"/>
    <n v="1486.8"/>
    <n v="2049.66"/>
    <n v="0.57957957957957951"/>
    <x v="0"/>
    <n v="0"/>
  </r>
  <r>
    <s v="TX0828"/>
    <x v="827"/>
    <x v="0"/>
    <x v="0"/>
    <x v="1"/>
    <s v="Brand C"/>
    <s v="OR007"/>
    <x v="18"/>
    <n v="737"/>
    <n v="3.29"/>
    <x v="0"/>
    <n v="0"/>
    <n v="3.29"/>
    <n v="2424.73"/>
    <n v="1.1000000000000001"/>
    <n v="810.7"/>
    <n v="1614.03"/>
    <n v="0.66565349544072949"/>
    <x v="0"/>
    <n v="0"/>
  </r>
  <r>
    <s v="TX0829"/>
    <x v="828"/>
    <x v="0"/>
    <x v="2"/>
    <x v="0"/>
    <s v="Brand A"/>
    <s v="LA003"/>
    <x v="9"/>
    <n v="389"/>
    <n v="6.99"/>
    <x v="0"/>
    <n v="0"/>
    <n v="6.99"/>
    <n v="2719.11"/>
    <n v="2.9"/>
    <n v="1128.0999999999999"/>
    <n v="1591.0100000000002"/>
    <n v="0.58512160228898435"/>
    <x v="0"/>
    <n v="0"/>
  </r>
  <r>
    <s v="TX0830"/>
    <x v="829"/>
    <x v="0"/>
    <x v="0"/>
    <x v="2"/>
    <s v="Brand C"/>
    <s v="SC002"/>
    <x v="8"/>
    <n v="837"/>
    <n v="9.99"/>
    <x v="1"/>
    <n v="0.3"/>
    <n v="6.9929999999999994"/>
    <n v="5853.1409999999996"/>
    <n v="4.2"/>
    <n v="3515.4"/>
    <n v="2337.7409999999995"/>
    <n v="0.39939939939939934"/>
    <x v="1"/>
    <n v="2508.489"/>
  </r>
  <r>
    <s v="TX0831"/>
    <x v="830"/>
    <x v="0"/>
    <x v="0"/>
    <x v="3"/>
    <s v="Brand B"/>
    <s v="HC004"/>
    <x v="7"/>
    <n v="1170"/>
    <n v="4.99"/>
    <x v="1"/>
    <n v="0.1"/>
    <n v="4.4910000000000005"/>
    <n v="5254.47"/>
    <n v="2.1"/>
    <n v="2457"/>
    <n v="2797.4700000000003"/>
    <n v="0.53239812959251842"/>
    <x v="1"/>
    <n v="583.83000000000004"/>
  </r>
  <r>
    <s v="TX0832"/>
    <x v="831"/>
    <x v="1"/>
    <x v="2"/>
    <x v="3"/>
    <s v="Brand C"/>
    <s v="HC006"/>
    <x v="13"/>
    <n v="587"/>
    <n v="6.49"/>
    <x v="0"/>
    <n v="0"/>
    <n v="6.49"/>
    <n v="3809.63"/>
    <n v="2.8"/>
    <n v="1643.6"/>
    <n v="2166.0300000000002"/>
    <n v="0.5685670261941449"/>
    <x v="0"/>
    <n v="0"/>
  </r>
  <r>
    <s v="TX0833"/>
    <x v="832"/>
    <x v="1"/>
    <x v="2"/>
    <x v="2"/>
    <s v="Brand B"/>
    <s v="SC003"/>
    <x v="26"/>
    <n v="472"/>
    <n v="4.49"/>
    <x v="0"/>
    <n v="0"/>
    <n v="4.49"/>
    <n v="2119.2800000000002"/>
    <n v="1.9"/>
    <n v="896.8"/>
    <n v="1222.4800000000002"/>
    <n v="0.57683741648106912"/>
    <x v="0"/>
    <n v="0"/>
  </r>
  <r>
    <s v="TX0834"/>
    <x v="833"/>
    <x v="1"/>
    <x v="1"/>
    <x v="0"/>
    <s v="Brand C"/>
    <s v="LA006"/>
    <x v="2"/>
    <n v="372"/>
    <n v="8.99"/>
    <x v="0"/>
    <n v="0"/>
    <n v="8.99"/>
    <n v="3344.28"/>
    <n v="4"/>
    <n v="1488"/>
    <n v="1856.2800000000002"/>
    <n v="0.55506117908787544"/>
    <x v="0"/>
    <n v="0"/>
  </r>
  <r>
    <s v="TX0835"/>
    <x v="834"/>
    <x v="1"/>
    <x v="1"/>
    <x v="1"/>
    <s v="Brand C"/>
    <s v="OR003"/>
    <x v="14"/>
    <n v="339"/>
    <n v="4.49"/>
    <x v="0"/>
    <n v="0"/>
    <n v="4.49"/>
    <n v="1522.1100000000001"/>
    <n v="1.7"/>
    <n v="576.29999999999995"/>
    <n v="945.81000000000017"/>
    <n v="0.6213808463251671"/>
    <x v="0"/>
    <n v="0"/>
  </r>
  <r>
    <s v="TX0836"/>
    <x v="835"/>
    <x v="2"/>
    <x v="0"/>
    <x v="0"/>
    <s v="Brand A"/>
    <s v="LA003"/>
    <x v="9"/>
    <n v="345"/>
    <n v="6.99"/>
    <x v="0"/>
    <n v="0"/>
    <n v="6.99"/>
    <n v="2411.5500000000002"/>
    <n v="2.9"/>
    <n v="1000.5"/>
    <n v="1411.0500000000002"/>
    <n v="0.58512160228898424"/>
    <x v="0"/>
    <n v="0"/>
  </r>
  <r>
    <s v="TX0837"/>
    <x v="836"/>
    <x v="0"/>
    <x v="0"/>
    <x v="3"/>
    <s v="Brand A"/>
    <s v="HC002"/>
    <x v="22"/>
    <n v="1051"/>
    <n v="8.99"/>
    <x v="1"/>
    <n v="0.1"/>
    <n v="8.0910000000000011"/>
    <n v="8503.6410000000014"/>
    <n v="3.6"/>
    <n v="3783.6"/>
    <n v="4720.0410000000011"/>
    <n v="0.55506117908787544"/>
    <x v="1"/>
    <n v="944.84900000000005"/>
  </r>
  <r>
    <s v="TX0838"/>
    <x v="837"/>
    <x v="1"/>
    <x v="2"/>
    <x v="1"/>
    <s v="Brand A"/>
    <s v="OR002"/>
    <x v="11"/>
    <n v="304"/>
    <n v="4.99"/>
    <x v="0"/>
    <n v="0"/>
    <n v="4.99"/>
    <n v="1516.96"/>
    <n v="1.8"/>
    <n v="547.20000000000005"/>
    <n v="969.76"/>
    <n v="0.63927855711422843"/>
    <x v="0"/>
    <n v="0"/>
  </r>
  <r>
    <s v="TX0839"/>
    <x v="838"/>
    <x v="0"/>
    <x v="1"/>
    <x v="2"/>
    <s v="Brand B"/>
    <s v="SC006"/>
    <x v="15"/>
    <n v="515"/>
    <n v="4.99"/>
    <x v="0"/>
    <n v="0"/>
    <n v="4.99"/>
    <n v="2569.85"/>
    <n v="2.1"/>
    <n v="1081.5"/>
    <n v="1488.35"/>
    <n v="0.57915831663326656"/>
    <x v="0"/>
    <n v="0"/>
  </r>
  <r>
    <s v="TX0840"/>
    <x v="839"/>
    <x v="1"/>
    <x v="2"/>
    <x v="1"/>
    <s v="Brand A"/>
    <s v="OR002"/>
    <x v="11"/>
    <n v="1054"/>
    <n v="4.99"/>
    <x v="1"/>
    <n v="0.3"/>
    <n v="3.4929999999999999"/>
    <n v="3681.6219999999998"/>
    <n v="1.8"/>
    <n v="1897.2"/>
    <n v="1784.4219999999998"/>
    <n v="0.48468365302032634"/>
    <x v="1"/>
    <n v="1577.8380000000002"/>
  </r>
  <r>
    <s v="TX0841"/>
    <x v="840"/>
    <x v="0"/>
    <x v="1"/>
    <x v="0"/>
    <s v="Brand A"/>
    <s v="LA003"/>
    <x v="9"/>
    <n v="468"/>
    <n v="6.99"/>
    <x v="0"/>
    <n v="0"/>
    <n v="6.99"/>
    <n v="3271.32"/>
    <n v="2.9"/>
    <n v="1357.2"/>
    <n v="1914.1200000000001"/>
    <n v="0.58512160228898424"/>
    <x v="0"/>
    <n v="0"/>
  </r>
  <r>
    <s v="TX0842"/>
    <x v="841"/>
    <x v="1"/>
    <x v="2"/>
    <x v="1"/>
    <s v="Brand A"/>
    <s v="OR002"/>
    <x v="11"/>
    <n v="204"/>
    <n v="4.99"/>
    <x v="0"/>
    <n v="0"/>
    <n v="4.99"/>
    <n v="1017.96"/>
    <n v="1.8"/>
    <n v="367.2"/>
    <n v="650.76"/>
    <n v="0.63927855711422843"/>
    <x v="0"/>
    <n v="0"/>
  </r>
  <r>
    <s v="TX0843"/>
    <x v="842"/>
    <x v="2"/>
    <x v="0"/>
    <x v="3"/>
    <s v="Brand C"/>
    <s v="HC007"/>
    <x v="23"/>
    <n v="333"/>
    <n v="7.49"/>
    <x v="0"/>
    <n v="0"/>
    <n v="7.49"/>
    <n v="2494.17"/>
    <n v="3.1"/>
    <n v="1032.3"/>
    <n v="1461.8700000000001"/>
    <n v="0.58611481975967961"/>
    <x v="0"/>
    <n v="0"/>
  </r>
  <r>
    <s v="TX0844"/>
    <x v="843"/>
    <x v="0"/>
    <x v="0"/>
    <x v="3"/>
    <s v="Brand A"/>
    <s v="HC002"/>
    <x v="22"/>
    <n v="616"/>
    <n v="8.99"/>
    <x v="0"/>
    <n v="0"/>
    <n v="8.99"/>
    <n v="5537.84"/>
    <n v="3.6"/>
    <n v="2217.6"/>
    <n v="3320.2400000000002"/>
    <n v="0.59955506117908786"/>
    <x v="0"/>
    <n v="0"/>
  </r>
  <r>
    <s v="TX0845"/>
    <x v="844"/>
    <x v="2"/>
    <x v="0"/>
    <x v="3"/>
    <s v="Brand A"/>
    <s v="HC001"/>
    <x v="7"/>
    <n v="463"/>
    <n v="5.99"/>
    <x v="0"/>
    <n v="0"/>
    <n v="5.99"/>
    <n v="2773.37"/>
    <n v="2.4"/>
    <n v="1111.2"/>
    <n v="1662.1699999999998"/>
    <n v="0.59933222036727873"/>
    <x v="0"/>
    <n v="0"/>
  </r>
  <r>
    <s v="TX0846"/>
    <x v="845"/>
    <x v="2"/>
    <x v="2"/>
    <x v="2"/>
    <s v="Brand A"/>
    <s v="SC001"/>
    <x v="6"/>
    <n v="1124"/>
    <n v="7.99"/>
    <x v="1"/>
    <n v="0.2"/>
    <n v="6.3920000000000003"/>
    <n v="7184.6080000000002"/>
    <n v="3.1"/>
    <n v="3484.4"/>
    <n v="3700.2080000000001"/>
    <n v="0.51501877346683356"/>
    <x v="1"/>
    <n v="1796.152"/>
  </r>
  <r>
    <s v="TX0847"/>
    <x v="846"/>
    <x v="2"/>
    <x v="0"/>
    <x v="3"/>
    <s v="Brand C"/>
    <s v="HC006"/>
    <x v="13"/>
    <n v="532"/>
    <n v="6.49"/>
    <x v="0"/>
    <n v="0"/>
    <n v="6.49"/>
    <n v="3452.6800000000003"/>
    <n v="2.8"/>
    <n v="1489.6"/>
    <n v="1963.0800000000004"/>
    <n v="0.5685670261941449"/>
    <x v="0"/>
    <n v="0"/>
  </r>
  <r>
    <s v="TX0848"/>
    <x v="847"/>
    <x v="2"/>
    <x v="1"/>
    <x v="3"/>
    <s v="Brand B"/>
    <s v="HC008"/>
    <x v="20"/>
    <n v="620"/>
    <n v="4.49"/>
    <x v="0"/>
    <n v="0"/>
    <n v="4.49"/>
    <n v="2783.8"/>
    <n v="1.9"/>
    <n v="1178"/>
    <n v="1605.8000000000002"/>
    <n v="0.57683741648106912"/>
    <x v="0"/>
    <n v="0"/>
  </r>
  <r>
    <s v="TX0849"/>
    <x v="848"/>
    <x v="2"/>
    <x v="0"/>
    <x v="3"/>
    <s v="Brand C"/>
    <s v="HC007"/>
    <x v="23"/>
    <n v="640"/>
    <n v="7.49"/>
    <x v="0"/>
    <n v="0"/>
    <n v="7.49"/>
    <n v="4793.6000000000004"/>
    <n v="3.1"/>
    <n v="1984"/>
    <n v="2809.6000000000004"/>
    <n v="0.58611481975967961"/>
    <x v="0"/>
    <n v="0"/>
  </r>
  <r>
    <s v="TX0850"/>
    <x v="849"/>
    <x v="1"/>
    <x v="0"/>
    <x v="2"/>
    <s v="Brand B"/>
    <s v="SC006"/>
    <x v="15"/>
    <n v="702"/>
    <n v="4.99"/>
    <x v="0"/>
    <n v="0"/>
    <n v="4.99"/>
    <n v="3502.98"/>
    <n v="2.1"/>
    <n v="1474.2"/>
    <n v="2028.78"/>
    <n v="0.57915831663326656"/>
    <x v="0"/>
    <n v="0"/>
  </r>
  <r>
    <s v="TX0851"/>
    <x v="850"/>
    <x v="0"/>
    <x v="1"/>
    <x v="3"/>
    <s v="Brand B"/>
    <s v="HC004"/>
    <x v="7"/>
    <n v="293"/>
    <n v="4.99"/>
    <x v="0"/>
    <n v="0"/>
    <n v="4.99"/>
    <n v="1462.0700000000002"/>
    <n v="2.1"/>
    <n v="615.30000000000007"/>
    <n v="846.7700000000001"/>
    <n v="0.57915831663326656"/>
    <x v="0"/>
    <n v="0"/>
  </r>
  <r>
    <s v="TX0852"/>
    <x v="851"/>
    <x v="1"/>
    <x v="0"/>
    <x v="1"/>
    <s v="Brand A"/>
    <s v="OR002"/>
    <x v="11"/>
    <n v="640"/>
    <n v="4.99"/>
    <x v="1"/>
    <n v="0.1"/>
    <n v="4.4910000000000005"/>
    <n v="2874.2400000000002"/>
    <n v="1.8"/>
    <n v="1152"/>
    <n v="1722.2400000000002"/>
    <n v="0.59919839679358722"/>
    <x v="1"/>
    <n v="319.36"/>
  </r>
  <r>
    <s v="TX0853"/>
    <x v="852"/>
    <x v="0"/>
    <x v="2"/>
    <x v="2"/>
    <s v="Brand A"/>
    <s v="SC001"/>
    <x v="6"/>
    <n v="449"/>
    <n v="7.99"/>
    <x v="0"/>
    <n v="0"/>
    <n v="7.99"/>
    <n v="3587.51"/>
    <n v="3.1"/>
    <n v="1391.9"/>
    <n v="2195.61"/>
    <n v="0.61201501877346687"/>
    <x v="0"/>
    <n v="0"/>
  </r>
  <r>
    <s v="TX0854"/>
    <x v="853"/>
    <x v="0"/>
    <x v="0"/>
    <x v="1"/>
    <s v="Brand A"/>
    <s v="OR005"/>
    <x v="10"/>
    <n v="629"/>
    <n v="3.99"/>
    <x v="0"/>
    <n v="0"/>
    <n v="3.99"/>
    <n v="2509.71"/>
    <n v="1.5"/>
    <n v="943.5"/>
    <n v="1566.21"/>
    <n v="0.62406015037593987"/>
    <x v="0"/>
    <n v="0"/>
  </r>
  <r>
    <s v="TX0855"/>
    <x v="854"/>
    <x v="0"/>
    <x v="0"/>
    <x v="0"/>
    <s v="Brand A"/>
    <s v="LA005"/>
    <x v="21"/>
    <n v="1022"/>
    <n v="9.49"/>
    <x v="1"/>
    <n v="0.2"/>
    <n v="7.5920000000000005"/>
    <n v="7759.0240000000003"/>
    <n v="4"/>
    <n v="4088"/>
    <n v="3671.0240000000003"/>
    <n v="0.47312961011591154"/>
    <x v="3"/>
    <n v="1939.7560000000001"/>
  </r>
  <r>
    <s v="TX0856"/>
    <x v="855"/>
    <x v="2"/>
    <x v="0"/>
    <x v="1"/>
    <s v="Brand B"/>
    <s v="OR004"/>
    <x v="3"/>
    <n v="1032"/>
    <n v="5.99"/>
    <x v="1"/>
    <n v="0.1"/>
    <n v="5.391"/>
    <n v="5563.5119999999997"/>
    <n v="2.4"/>
    <n v="2476.7999999999997"/>
    <n v="3086.712"/>
    <n v="0.55481357818586541"/>
    <x v="3"/>
    <n v="618.16800000000012"/>
  </r>
  <r>
    <s v="TX0857"/>
    <x v="856"/>
    <x v="1"/>
    <x v="2"/>
    <x v="1"/>
    <s v="Brand B"/>
    <s v="OR001"/>
    <x v="19"/>
    <n v="658"/>
    <n v="3.49"/>
    <x v="1"/>
    <n v="0.2"/>
    <n v="2.7920000000000003"/>
    <n v="1837.1360000000002"/>
    <n v="1.2"/>
    <n v="789.6"/>
    <n v="1047.5360000000001"/>
    <n v="0.57020057306590255"/>
    <x v="3"/>
    <n v="459.28400000000005"/>
  </r>
  <r>
    <s v="TX0858"/>
    <x v="857"/>
    <x v="1"/>
    <x v="2"/>
    <x v="2"/>
    <s v="Brand A"/>
    <s v="SC004"/>
    <x v="4"/>
    <n v="332"/>
    <n v="8.49"/>
    <x v="0"/>
    <n v="0"/>
    <n v="8.49"/>
    <n v="2818.6800000000003"/>
    <n v="3.5"/>
    <n v="1162"/>
    <n v="1656.6800000000003"/>
    <n v="0.58775029446407545"/>
    <x v="0"/>
    <n v="0"/>
  </r>
  <r>
    <s v="TX0859"/>
    <x v="858"/>
    <x v="2"/>
    <x v="2"/>
    <x v="1"/>
    <s v="Brand C"/>
    <s v="OR003"/>
    <x v="14"/>
    <n v="743"/>
    <n v="4.49"/>
    <x v="0"/>
    <n v="0"/>
    <n v="4.49"/>
    <n v="3336.07"/>
    <n v="1.7"/>
    <n v="1263.0999999999999"/>
    <n v="2072.9700000000003"/>
    <n v="0.6213808463251671"/>
    <x v="0"/>
    <n v="0"/>
  </r>
  <r>
    <s v="TX0860"/>
    <x v="859"/>
    <x v="0"/>
    <x v="2"/>
    <x v="1"/>
    <s v="Brand B"/>
    <s v="OR001"/>
    <x v="19"/>
    <n v="723"/>
    <n v="3.49"/>
    <x v="0"/>
    <n v="0"/>
    <n v="3.49"/>
    <n v="2523.27"/>
    <n v="1.2"/>
    <n v="867.6"/>
    <n v="1655.67"/>
    <n v="0.65616045845272208"/>
    <x v="0"/>
    <n v="0"/>
  </r>
  <r>
    <s v="TX0861"/>
    <x v="860"/>
    <x v="0"/>
    <x v="2"/>
    <x v="3"/>
    <s v="Brand A"/>
    <s v="HC003"/>
    <x v="17"/>
    <n v="439"/>
    <n v="5.49"/>
    <x v="0"/>
    <n v="0"/>
    <n v="5.49"/>
    <n v="2410.11"/>
    <n v="2.2000000000000002"/>
    <n v="965.80000000000007"/>
    <n v="1444.31"/>
    <n v="0.59927140255009104"/>
    <x v="0"/>
    <n v="0"/>
  </r>
  <r>
    <s v="TX0862"/>
    <x v="861"/>
    <x v="1"/>
    <x v="1"/>
    <x v="1"/>
    <s v="Brand B"/>
    <s v="OR001"/>
    <x v="19"/>
    <n v="426"/>
    <n v="3.49"/>
    <x v="1"/>
    <n v="0.3"/>
    <n v="2.4430000000000001"/>
    <n v="1040.7180000000001"/>
    <n v="1.2"/>
    <n v="511.2"/>
    <n v="529.51800000000003"/>
    <n v="0.50880065493246007"/>
    <x v="3"/>
    <n v="446.02199999999999"/>
  </r>
  <r>
    <s v="TX0863"/>
    <x v="862"/>
    <x v="2"/>
    <x v="0"/>
    <x v="1"/>
    <s v="Brand C"/>
    <s v="OR007"/>
    <x v="18"/>
    <n v="579"/>
    <n v="3.29"/>
    <x v="1"/>
    <n v="0.1"/>
    <n v="2.9610000000000003"/>
    <n v="1714.4190000000001"/>
    <n v="1.1000000000000001"/>
    <n v="636.90000000000009"/>
    <n v="1077.519"/>
    <n v="0.62850388382303268"/>
    <x v="3"/>
    <n v="190.49100000000001"/>
  </r>
  <r>
    <s v="TX0864"/>
    <x v="863"/>
    <x v="2"/>
    <x v="1"/>
    <x v="3"/>
    <s v="Brand B"/>
    <s v="HC005"/>
    <x v="17"/>
    <n v="417"/>
    <n v="4.79"/>
    <x v="1"/>
    <n v="0.3"/>
    <n v="3.3529999999999998"/>
    <n v="1398.2009999999998"/>
    <n v="2"/>
    <n v="834"/>
    <n v="564.20099999999979"/>
    <n v="0.40351923650462262"/>
    <x v="3"/>
    <n v="599.22900000000004"/>
  </r>
  <r>
    <s v="TX0865"/>
    <x v="864"/>
    <x v="1"/>
    <x v="1"/>
    <x v="2"/>
    <s v="Brand A"/>
    <s v="SC001"/>
    <x v="6"/>
    <n v="354"/>
    <n v="7.99"/>
    <x v="0"/>
    <n v="0"/>
    <n v="7.99"/>
    <n v="2828.46"/>
    <n v="3.1"/>
    <n v="1097.4000000000001"/>
    <n v="1731.06"/>
    <n v="0.61201501877346676"/>
    <x v="0"/>
    <n v="0"/>
  </r>
  <r>
    <s v="TX0866"/>
    <x v="865"/>
    <x v="0"/>
    <x v="0"/>
    <x v="3"/>
    <s v="Brand B"/>
    <s v="HC008"/>
    <x v="20"/>
    <n v="611"/>
    <n v="4.49"/>
    <x v="0"/>
    <n v="0"/>
    <n v="4.49"/>
    <n v="2743.3900000000003"/>
    <n v="1.9"/>
    <n v="1160.8999999999999"/>
    <n v="1582.4900000000005"/>
    <n v="0.57683741648106912"/>
    <x v="0"/>
    <n v="0"/>
  </r>
  <r>
    <s v="TX0867"/>
    <x v="866"/>
    <x v="2"/>
    <x v="1"/>
    <x v="3"/>
    <s v="Brand A"/>
    <s v="HC002"/>
    <x v="22"/>
    <n v="368"/>
    <n v="8.99"/>
    <x v="0"/>
    <n v="0"/>
    <n v="8.99"/>
    <n v="3308.32"/>
    <n v="3.6"/>
    <n v="1324.8"/>
    <n v="1983.5200000000002"/>
    <n v="0.59955506117908786"/>
    <x v="0"/>
    <n v="0"/>
  </r>
  <r>
    <s v="TX0868"/>
    <x v="867"/>
    <x v="0"/>
    <x v="1"/>
    <x v="1"/>
    <s v="Brand C"/>
    <s v="OR003"/>
    <x v="14"/>
    <n v="698"/>
    <n v="4.49"/>
    <x v="0"/>
    <n v="0"/>
    <n v="4.49"/>
    <n v="3134.02"/>
    <n v="1.7"/>
    <n v="1186.5999999999999"/>
    <n v="1947.42"/>
    <n v="0.6213808463251671"/>
    <x v="0"/>
    <n v="0"/>
  </r>
  <r>
    <s v="TX0869"/>
    <x v="868"/>
    <x v="1"/>
    <x v="2"/>
    <x v="1"/>
    <s v="Brand B"/>
    <s v="OR004"/>
    <x v="3"/>
    <n v="384"/>
    <n v="5.99"/>
    <x v="0"/>
    <n v="0"/>
    <n v="5.99"/>
    <n v="2300.16"/>
    <n v="2.4"/>
    <n v="921.59999999999991"/>
    <n v="1378.56"/>
    <n v="0.59933222036727885"/>
    <x v="0"/>
    <n v="0"/>
  </r>
  <r>
    <s v="TX0870"/>
    <x v="869"/>
    <x v="0"/>
    <x v="1"/>
    <x v="2"/>
    <s v="Brand C"/>
    <s v="SC002"/>
    <x v="8"/>
    <n v="1004"/>
    <n v="9.99"/>
    <x v="1"/>
    <n v="0.1"/>
    <n v="8.9909999999999997"/>
    <n v="9026.9639999999999"/>
    <n v="4.2"/>
    <n v="4216.8"/>
    <n v="4810.1639999999998"/>
    <n v="0.53286619953286618"/>
    <x v="1"/>
    <n v="1002.9960000000001"/>
  </r>
  <r>
    <s v="TX0871"/>
    <x v="870"/>
    <x v="1"/>
    <x v="1"/>
    <x v="2"/>
    <s v="Brand C"/>
    <s v="SC007"/>
    <x v="5"/>
    <n v="447"/>
    <n v="5.49"/>
    <x v="0"/>
    <n v="0"/>
    <n v="5.49"/>
    <n v="2454.0300000000002"/>
    <n v="2.2999999999999998"/>
    <n v="1028.0999999999999"/>
    <n v="1425.9300000000003"/>
    <n v="0.58105646630236796"/>
    <x v="0"/>
    <n v="0"/>
  </r>
  <r>
    <s v="TX0872"/>
    <x v="871"/>
    <x v="0"/>
    <x v="1"/>
    <x v="3"/>
    <s v="Brand B"/>
    <s v="HC005"/>
    <x v="17"/>
    <n v="319"/>
    <n v="4.79"/>
    <x v="0"/>
    <n v="0"/>
    <n v="4.79"/>
    <n v="1528.01"/>
    <n v="2"/>
    <n v="638"/>
    <n v="890.01"/>
    <n v="0.58246346555323592"/>
    <x v="0"/>
    <n v="0"/>
  </r>
  <r>
    <s v="TX0873"/>
    <x v="872"/>
    <x v="1"/>
    <x v="0"/>
    <x v="3"/>
    <s v="Brand B"/>
    <s v="HC008"/>
    <x v="20"/>
    <n v="585"/>
    <n v="4.49"/>
    <x v="0"/>
    <n v="0"/>
    <n v="4.49"/>
    <n v="2626.65"/>
    <n v="1.9"/>
    <n v="1111.5"/>
    <n v="1515.15"/>
    <n v="0.57683741648106901"/>
    <x v="0"/>
    <n v="0"/>
  </r>
  <r>
    <s v="TX0874"/>
    <x v="873"/>
    <x v="0"/>
    <x v="0"/>
    <x v="1"/>
    <s v="Brand C"/>
    <s v="OR007"/>
    <x v="18"/>
    <n v="344"/>
    <n v="3.29"/>
    <x v="0"/>
    <n v="0"/>
    <n v="3.29"/>
    <n v="1131.76"/>
    <n v="1.1000000000000001"/>
    <n v="378.40000000000003"/>
    <n v="753.3599999999999"/>
    <n v="0.66565349544072938"/>
    <x v="0"/>
    <n v="0"/>
  </r>
  <r>
    <s v="TX0875"/>
    <x v="874"/>
    <x v="1"/>
    <x v="0"/>
    <x v="0"/>
    <s v="Brand A"/>
    <s v="LA005"/>
    <x v="21"/>
    <n v="653"/>
    <n v="9.49"/>
    <x v="0"/>
    <n v="0"/>
    <n v="9.49"/>
    <n v="6196.97"/>
    <n v="4"/>
    <n v="2612"/>
    <n v="3584.9700000000003"/>
    <n v="0.57850368809272923"/>
    <x v="0"/>
    <n v="0"/>
  </r>
  <r>
    <s v="TX0876"/>
    <x v="875"/>
    <x v="1"/>
    <x v="1"/>
    <x v="1"/>
    <s v="Brand B"/>
    <s v="OR001"/>
    <x v="19"/>
    <n v="777"/>
    <n v="3.49"/>
    <x v="0"/>
    <n v="0"/>
    <n v="3.49"/>
    <n v="2711.73"/>
    <n v="1.2"/>
    <n v="932.4"/>
    <n v="1779.33"/>
    <n v="0.65616045845272208"/>
    <x v="0"/>
    <n v="0"/>
  </r>
  <r>
    <s v="TX0877"/>
    <x v="876"/>
    <x v="0"/>
    <x v="1"/>
    <x v="2"/>
    <s v="Brand A"/>
    <s v="SC005"/>
    <x v="16"/>
    <n v="463"/>
    <n v="10.99"/>
    <x v="0"/>
    <n v="0"/>
    <n v="10.99"/>
    <n v="5088.37"/>
    <n v="4.5999999999999996"/>
    <n v="2129.7999999999997"/>
    <n v="2958.57"/>
    <n v="0.58143767060964513"/>
    <x v="0"/>
    <n v="0"/>
  </r>
  <r>
    <s v="TX0878"/>
    <x v="877"/>
    <x v="0"/>
    <x v="2"/>
    <x v="1"/>
    <s v="Brand C"/>
    <s v="OR003"/>
    <x v="14"/>
    <n v="451"/>
    <n v="4.49"/>
    <x v="1"/>
    <n v="0.3"/>
    <n v="3.1429999999999998"/>
    <n v="1417.4929999999999"/>
    <n v="1.7"/>
    <n v="766.69999999999993"/>
    <n v="650.79300000000001"/>
    <n v="0.45911549475023866"/>
    <x v="2"/>
    <n v="607.49699999999996"/>
  </r>
  <r>
    <s v="TX0879"/>
    <x v="878"/>
    <x v="1"/>
    <x v="0"/>
    <x v="0"/>
    <s v="Brand B"/>
    <s v="LA007"/>
    <x v="25"/>
    <n v="493"/>
    <n v="10.49"/>
    <x v="0"/>
    <n v="0"/>
    <n v="10.49"/>
    <n v="5171.57"/>
    <n v="4.5999999999999996"/>
    <n v="2267.7999999999997"/>
    <n v="2903.77"/>
    <n v="0.56148713060057198"/>
    <x v="0"/>
    <n v="0"/>
  </r>
  <r>
    <s v="TX0880"/>
    <x v="879"/>
    <x v="2"/>
    <x v="2"/>
    <x v="1"/>
    <s v="Brand A"/>
    <s v="OR005"/>
    <x v="10"/>
    <n v="213"/>
    <n v="3.99"/>
    <x v="0"/>
    <n v="0"/>
    <n v="3.99"/>
    <n v="849.87"/>
    <n v="1.5"/>
    <n v="319.5"/>
    <n v="530.37"/>
    <n v="0.62406015037593987"/>
    <x v="0"/>
    <n v="0"/>
  </r>
  <r>
    <s v="TX0881"/>
    <x v="880"/>
    <x v="0"/>
    <x v="0"/>
    <x v="1"/>
    <s v="Brand A"/>
    <s v="OR002"/>
    <x v="11"/>
    <n v="757"/>
    <n v="4.99"/>
    <x v="1"/>
    <n v="0.3"/>
    <n v="3.4929999999999999"/>
    <n v="2644.201"/>
    <n v="1.8"/>
    <n v="1362.6000000000001"/>
    <n v="1281.6009999999999"/>
    <n v="0.48468365302032634"/>
    <x v="1"/>
    <n v="1133.229"/>
  </r>
  <r>
    <s v="TX0882"/>
    <x v="881"/>
    <x v="1"/>
    <x v="0"/>
    <x v="1"/>
    <s v="Brand B"/>
    <s v="OR001"/>
    <x v="19"/>
    <n v="630"/>
    <n v="3.49"/>
    <x v="0"/>
    <n v="0"/>
    <n v="3.49"/>
    <n v="2198.7000000000003"/>
    <n v="1.2"/>
    <n v="756"/>
    <n v="1442.7000000000003"/>
    <n v="0.65616045845272208"/>
    <x v="0"/>
    <n v="0"/>
  </r>
  <r>
    <s v="TX0883"/>
    <x v="882"/>
    <x v="0"/>
    <x v="2"/>
    <x v="3"/>
    <s v="Brand C"/>
    <s v="HC007"/>
    <x v="23"/>
    <n v="414"/>
    <n v="7.49"/>
    <x v="0"/>
    <n v="0"/>
    <n v="7.49"/>
    <n v="3100.86"/>
    <n v="3.1"/>
    <n v="1283.4000000000001"/>
    <n v="1817.46"/>
    <n v="0.58611481975967961"/>
    <x v="0"/>
    <n v="0"/>
  </r>
  <r>
    <s v="TX0884"/>
    <x v="883"/>
    <x v="0"/>
    <x v="0"/>
    <x v="0"/>
    <s v="Brand C"/>
    <s v="LA008"/>
    <x v="9"/>
    <n v="559"/>
    <n v="5.49"/>
    <x v="0"/>
    <n v="0"/>
    <n v="5.49"/>
    <n v="3068.9100000000003"/>
    <n v="2.4"/>
    <n v="1341.6"/>
    <n v="1727.3100000000004"/>
    <n v="0.56284153005464488"/>
    <x v="0"/>
    <n v="0"/>
  </r>
  <r>
    <s v="TX0885"/>
    <x v="884"/>
    <x v="1"/>
    <x v="0"/>
    <x v="3"/>
    <s v="Brand B"/>
    <s v="HC005"/>
    <x v="17"/>
    <n v="898"/>
    <n v="4.79"/>
    <x v="1"/>
    <n v="0.3"/>
    <n v="3.3529999999999998"/>
    <n v="3010.9939999999997"/>
    <n v="2"/>
    <n v="1796"/>
    <n v="1214.9939999999997"/>
    <n v="0.40351923650462268"/>
    <x v="1"/>
    <n v="1290.4260000000002"/>
  </r>
  <r>
    <s v="TX0886"/>
    <x v="885"/>
    <x v="2"/>
    <x v="1"/>
    <x v="0"/>
    <s v="Brand A"/>
    <s v="LA005"/>
    <x v="21"/>
    <n v="271"/>
    <n v="9.49"/>
    <x v="0"/>
    <n v="0"/>
    <n v="9.49"/>
    <n v="2571.79"/>
    <n v="4"/>
    <n v="1084"/>
    <n v="1487.79"/>
    <n v="0.57850368809272923"/>
    <x v="0"/>
    <n v="0"/>
  </r>
  <r>
    <s v="TX0887"/>
    <x v="886"/>
    <x v="0"/>
    <x v="1"/>
    <x v="1"/>
    <s v="Brand C"/>
    <s v="OR003"/>
    <x v="14"/>
    <n v="743"/>
    <n v="4.49"/>
    <x v="0"/>
    <n v="0"/>
    <n v="4.49"/>
    <n v="3336.07"/>
    <n v="1.7"/>
    <n v="1263.0999999999999"/>
    <n v="2072.9700000000003"/>
    <n v="0.6213808463251671"/>
    <x v="0"/>
    <n v="0"/>
  </r>
  <r>
    <s v="TX0888"/>
    <x v="887"/>
    <x v="1"/>
    <x v="0"/>
    <x v="0"/>
    <s v="Brand A"/>
    <s v="LA005"/>
    <x v="21"/>
    <n v="866"/>
    <n v="9.49"/>
    <x v="1"/>
    <n v="0.3"/>
    <n v="6.6429999999999998"/>
    <n v="5752.8379999999997"/>
    <n v="4"/>
    <n v="3464"/>
    <n v="2288.8379999999997"/>
    <n v="0.39786241156104168"/>
    <x v="3"/>
    <n v="2465.502"/>
  </r>
  <r>
    <s v="TX0889"/>
    <x v="888"/>
    <x v="1"/>
    <x v="1"/>
    <x v="1"/>
    <s v="Brand C"/>
    <s v="OR003"/>
    <x v="14"/>
    <n v="1114"/>
    <n v="4.49"/>
    <x v="1"/>
    <n v="0.3"/>
    <n v="3.1429999999999998"/>
    <n v="3501.3019999999997"/>
    <n v="1.7"/>
    <n v="1893.8"/>
    <n v="1607.5019999999997"/>
    <n v="0.45911549475023861"/>
    <x v="3"/>
    <n v="1500.558"/>
  </r>
  <r>
    <s v="TX0890"/>
    <x v="889"/>
    <x v="1"/>
    <x v="1"/>
    <x v="2"/>
    <s v="Brand B"/>
    <s v="SC003"/>
    <x v="26"/>
    <n v="446"/>
    <n v="4.49"/>
    <x v="0"/>
    <n v="0"/>
    <n v="4.49"/>
    <n v="2002.5400000000002"/>
    <n v="1.9"/>
    <n v="847.4"/>
    <n v="1155.1400000000003"/>
    <n v="0.57683741648106912"/>
    <x v="0"/>
    <n v="0"/>
  </r>
  <r>
    <s v="TX0891"/>
    <x v="890"/>
    <x v="0"/>
    <x v="0"/>
    <x v="2"/>
    <s v="Brand B"/>
    <s v="SC003"/>
    <x v="26"/>
    <n v="896"/>
    <n v="4.49"/>
    <x v="1"/>
    <n v="0.1"/>
    <n v="4.0410000000000004"/>
    <n v="3620.7360000000003"/>
    <n v="1.9"/>
    <n v="1702.3999999999999"/>
    <n v="1918.3360000000005"/>
    <n v="0.52981935164563232"/>
    <x v="2"/>
    <n v="402.30400000000009"/>
  </r>
  <r>
    <s v="TX0892"/>
    <x v="891"/>
    <x v="0"/>
    <x v="0"/>
    <x v="3"/>
    <s v="Brand B"/>
    <s v="HC008"/>
    <x v="20"/>
    <n v="502"/>
    <n v="4.49"/>
    <x v="1"/>
    <n v="0.2"/>
    <n v="3.5920000000000005"/>
    <n v="1803.1840000000002"/>
    <n v="1.9"/>
    <n v="953.8"/>
    <n v="849.38400000000024"/>
    <n v="0.47104677060133637"/>
    <x v="1"/>
    <n v="450.79600000000005"/>
  </r>
  <r>
    <s v="TX0893"/>
    <x v="892"/>
    <x v="2"/>
    <x v="0"/>
    <x v="1"/>
    <s v="Brand A"/>
    <s v="OR005"/>
    <x v="10"/>
    <n v="611"/>
    <n v="3.99"/>
    <x v="0"/>
    <n v="0"/>
    <n v="3.99"/>
    <n v="2437.8900000000003"/>
    <n v="1.5"/>
    <n v="916.5"/>
    <n v="1521.3900000000003"/>
    <n v="0.62406015037593987"/>
    <x v="0"/>
    <n v="0"/>
  </r>
  <r>
    <s v="TX0894"/>
    <x v="893"/>
    <x v="1"/>
    <x v="1"/>
    <x v="0"/>
    <s v="Brand B"/>
    <s v="LA004"/>
    <x v="12"/>
    <n v="698"/>
    <n v="5.99"/>
    <x v="1"/>
    <n v="0.2"/>
    <n v="4.7920000000000007"/>
    <n v="3344.8160000000007"/>
    <n v="2.5"/>
    <n v="1745"/>
    <n v="1599.8160000000007"/>
    <n v="0.47829716193656102"/>
    <x v="3"/>
    <n v="836.20400000000018"/>
  </r>
  <r>
    <s v="TX0895"/>
    <x v="894"/>
    <x v="2"/>
    <x v="1"/>
    <x v="0"/>
    <s v="Brand B"/>
    <s v="LA004"/>
    <x v="12"/>
    <n v="324"/>
    <n v="5.99"/>
    <x v="0"/>
    <n v="0"/>
    <n v="5.99"/>
    <n v="1940.76"/>
    <n v="2.5"/>
    <n v="810"/>
    <n v="1130.76"/>
    <n v="0.58263772954924875"/>
    <x v="0"/>
    <n v="0"/>
  </r>
  <r>
    <s v="TX0896"/>
    <x v="895"/>
    <x v="1"/>
    <x v="2"/>
    <x v="0"/>
    <s v="Brand A"/>
    <s v="LA003"/>
    <x v="9"/>
    <n v="895"/>
    <n v="6.99"/>
    <x v="1"/>
    <n v="0.1"/>
    <n v="6.2910000000000004"/>
    <n v="5630.4450000000006"/>
    <n v="2.9"/>
    <n v="2595.5"/>
    <n v="3034.9450000000006"/>
    <n v="0.53902400254331595"/>
    <x v="2"/>
    <n v="625.60500000000002"/>
  </r>
  <r>
    <s v="TX0897"/>
    <x v="896"/>
    <x v="2"/>
    <x v="1"/>
    <x v="3"/>
    <s v="Brand C"/>
    <s v="HC006"/>
    <x v="13"/>
    <n v="865"/>
    <n v="6.49"/>
    <x v="1"/>
    <n v="0.2"/>
    <n v="5.1920000000000002"/>
    <n v="4491.08"/>
    <n v="2.8"/>
    <n v="2422"/>
    <n v="2069.08"/>
    <n v="0.46070878274268107"/>
    <x v="2"/>
    <n v="1122.77"/>
  </r>
  <r>
    <s v="TX0898"/>
    <x v="897"/>
    <x v="2"/>
    <x v="0"/>
    <x v="1"/>
    <s v="Brand C"/>
    <s v="OR007"/>
    <x v="18"/>
    <n v="690"/>
    <n v="3.29"/>
    <x v="0"/>
    <n v="0"/>
    <n v="3.29"/>
    <n v="2270.1"/>
    <n v="1.1000000000000001"/>
    <n v="759.00000000000011"/>
    <n v="1511.1"/>
    <n v="0.66565349544072949"/>
    <x v="0"/>
    <n v="0"/>
  </r>
  <r>
    <s v="TX0899"/>
    <x v="898"/>
    <x v="2"/>
    <x v="1"/>
    <x v="1"/>
    <s v="Brand C"/>
    <s v="OR007"/>
    <x v="18"/>
    <n v="610"/>
    <n v="3.29"/>
    <x v="0"/>
    <n v="0"/>
    <n v="3.29"/>
    <n v="2006.9"/>
    <n v="1.1000000000000001"/>
    <n v="671"/>
    <n v="1335.9"/>
    <n v="0.66565349544072949"/>
    <x v="0"/>
    <n v="0"/>
  </r>
  <r>
    <s v="TX0900"/>
    <x v="899"/>
    <x v="1"/>
    <x v="1"/>
    <x v="3"/>
    <s v="Brand C"/>
    <s v="HC006"/>
    <x v="13"/>
    <n v="616"/>
    <n v="6.49"/>
    <x v="0"/>
    <n v="0"/>
    <n v="6.49"/>
    <n v="3997.84"/>
    <n v="2.8"/>
    <n v="1724.8"/>
    <n v="2273.04"/>
    <n v="0.56856702619414479"/>
    <x v="0"/>
    <n v="0"/>
  </r>
  <r>
    <s v="TX0901"/>
    <x v="900"/>
    <x v="2"/>
    <x v="0"/>
    <x v="3"/>
    <s v="Brand B"/>
    <s v="HC008"/>
    <x v="20"/>
    <n v="520"/>
    <n v="4.49"/>
    <x v="0"/>
    <n v="0"/>
    <n v="4.49"/>
    <n v="2334.8000000000002"/>
    <n v="1.9"/>
    <n v="988"/>
    <n v="1346.8000000000002"/>
    <n v="0.57683741648106912"/>
    <x v="0"/>
    <n v="0"/>
  </r>
  <r>
    <s v="TX0902"/>
    <x v="901"/>
    <x v="1"/>
    <x v="1"/>
    <x v="2"/>
    <s v="Brand A"/>
    <s v="SC005"/>
    <x v="16"/>
    <n v="686"/>
    <n v="10.99"/>
    <x v="0"/>
    <n v="0"/>
    <n v="10.99"/>
    <n v="7539.14"/>
    <n v="4.5999999999999996"/>
    <n v="3155.6"/>
    <n v="4383.5400000000009"/>
    <n v="0.58143767060964524"/>
    <x v="0"/>
    <n v="0"/>
  </r>
  <r>
    <s v="TX0903"/>
    <x v="902"/>
    <x v="2"/>
    <x v="1"/>
    <x v="0"/>
    <s v="Brand C"/>
    <s v="LA006"/>
    <x v="2"/>
    <n v="501"/>
    <n v="8.99"/>
    <x v="1"/>
    <n v="0.3"/>
    <n v="6.2930000000000001"/>
    <n v="3152.7930000000001"/>
    <n v="4"/>
    <n v="2004"/>
    <n v="1148.7930000000001"/>
    <n v="0.36437311298267921"/>
    <x v="1"/>
    <n v="1351.1970000000001"/>
  </r>
  <r>
    <s v="TX0904"/>
    <x v="903"/>
    <x v="2"/>
    <x v="0"/>
    <x v="2"/>
    <s v="Brand A"/>
    <s v="SC001"/>
    <x v="6"/>
    <n v="406"/>
    <n v="7.99"/>
    <x v="0"/>
    <n v="0"/>
    <n v="7.99"/>
    <n v="3243.94"/>
    <n v="3.1"/>
    <n v="1258.6000000000001"/>
    <n v="1985.34"/>
    <n v="0.61201501877346676"/>
    <x v="0"/>
    <n v="0"/>
  </r>
  <r>
    <s v="TX0905"/>
    <x v="904"/>
    <x v="0"/>
    <x v="0"/>
    <x v="1"/>
    <s v="Brand C"/>
    <s v="OR007"/>
    <x v="18"/>
    <n v="390"/>
    <n v="3.29"/>
    <x v="0"/>
    <n v="0"/>
    <n v="3.29"/>
    <n v="1283.0999999999999"/>
    <n v="1.1000000000000001"/>
    <n v="429.00000000000006"/>
    <n v="854.09999999999991"/>
    <n v="0.66565349544072949"/>
    <x v="0"/>
    <n v="0"/>
  </r>
  <r>
    <s v="TX0906"/>
    <x v="905"/>
    <x v="2"/>
    <x v="1"/>
    <x v="2"/>
    <s v="Brand C"/>
    <s v="SC007"/>
    <x v="5"/>
    <n v="912"/>
    <n v="5.49"/>
    <x v="1"/>
    <n v="0.3"/>
    <n v="3.843"/>
    <n v="3504.8159999999998"/>
    <n v="2.2999999999999998"/>
    <n v="2097.6"/>
    <n v="1407.2159999999999"/>
    <n v="0.40150923757481133"/>
    <x v="2"/>
    <n v="1502.0640000000001"/>
  </r>
  <r>
    <s v="TX0907"/>
    <x v="906"/>
    <x v="1"/>
    <x v="2"/>
    <x v="1"/>
    <s v="Brand B"/>
    <s v="OR001"/>
    <x v="19"/>
    <n v="934"/>
    <n v="3.49"/>
    <x v="1"/>
    <n v="0.2"/>
    <n v="2.7920000000000003"/>
    <n v="2607.7280000000001"/>
    <n v="1.2"/>
    <n v="1120.8"/>
    <n v="1486.9280000000001"/>
    <n v="0.57020057306590266"/>
    <x v="2"/>
    <n v="651.93200000000002"/>
  </r>
  <r>
    <s v="TX0908"/>
    <x v="907"/>
    <x v="0"/>
    <x v="2"/>
    <x v="3"/>
    <s v="Brand A"/>
    <s v="HC001"/>
    <x v="7"/>
    <n v="263"/>
    <n v="5.99"/>
    <x v="0"/>
    <n v="0"/>
    <n v="5.99"/>
    <n v="1575.3700000000001"/>
    <n v="2.4"/>
    <n v="631.19999999999993"/>
    <n v="944.17000000000019"/>
    <n v="0.59933222036727885"/>
    <x v="0"/>
    <n v="0"/>
  </r>
  <r>
    <s v="TX0909"/>
    <x v="908"/>
    <x v="0"/>
    <x v="2"/>
    <x v="2"/>
    <s v="Brand B"/>
    <s v="SC006"/>
    <x v="15"/>
    <n v="379"/>
    <n v="4.99"/>
    <x v="0"/>
    <n v="0"/>
    <n v="4.99"/>
    <n v="1891.21"/>
    <n v="2.1"/>
    <n v="795.9"/>
    <n v="1095.31"/>
    <n v="0.57915831663326645"/>
    <x v="0"/>
    <n v="0"/>
  </r>
  <r>
    <s v="TX0910"/>
    <x v="909"/>
    <x v="0"/>
    <x v="2"/>
    <x v="1"/>
    <s v="Brand B"/>
    <s v="OR004"/>
    <x v="3"/>
    <n v="502"/>
    <n v="5.99"/>
    <x v="0"/>
    <n v="0"/>
    <n v="5.99"/>
    <n v="3006.98"/>
    <n v="2.4"/>
    <n v="1204.8"/>
    <n v="1802.18"/>
    <n v="0.59933222036727885"/>
    <x v="0"/>
    <n v="0"/>
  </r>
  <r>
    <s v="TX0911"/>
    <x v="910"/>
    <x v="2"/>
    <x v="2"/>
    <x v="0"/>
    <s v="Brand A"/>
    <s v="LA003"/>
    <x v="9"/>
    <n v="500"/>
    <n v="6.99"/>
    <x v="0"/>
    <n v="0"/>
    <n v="6.99"/>
    <n v="3495"/>
    <n v="2.9"/>
    <n v="1450"/>
    <n v="2045"/>
    <n v="0.58512160228898424"/>
    <x v="0"/>
    <n v="0"/>
  </r>
  <r>
    <s v="TX0912"/>
    <x v="911"/>
    <x v="1"/>
    <x v="1"/>
    <x v="0"/>
    <s v="Brand C"/>
    <s v="LA002"/>
    <x v="0"/>
    <n v="719"/>
    <n v="11.99"/>
    <x v="0"/>
    <n v="0"/>
    <n v="11.99"/>
    <n v="8620.81"/>
    <n v="5.2"/>
    <n v="3738.8"/>
    <n v="4882.0099999999993"/>
    <n v="0.56630525437864887"/>
    <x v="0"/>
    <n v="0"/>
  </r>
  <r>
    <s v="TX0913"/>
    <x v="912"/>
    <x v="1"/>
    <x v="0"/>
    <x v="1"/>
    <s v="Brand A"/>
    <s v="OR002"/>
    <x v="11"/>
    <n v="586"/>
    <n v="4.99"/>
    <x v="0"/>
    <n v="0"/>
    <n v="4.99"/>
    <n v="2924.1400000000003"/>
    <n v="1.8"/>
    <n v="1054.8"/>
    <n v="1869.3400000000004"/>
    <n v="0.63927855711422854"/>
    <x v="0"/>
    <n v="0"/>
  </r>
  <r>
    <s v="TX0914"/>
    <x v="913"/>
    <x v="2"/>
    <x v="2"/>
    <x v="3"/>
    <s v="Brand A"/>
    <s v="HC001"/>
    <x v="7"/>
    <n v="516"/>
    <n v="5.99"/>
    <x v="1"/>
    <n v="0.2"/>
    <n v="4.7920000000000007"/>
    <n v="2472.6720000000005"/>
    <n v="2.4"/>
    <n v="1238.3999999999999"/>
    <n v="1234.2720000000006"/>
    <n v="0.49916527545909867"/>
    <x v="1"/>
    <n v="618.16800000000012"/>
  </r>
  <r>
    <s v="TX0915"/>
    <x v="914"/>
    <x v="2"/>
    <x v="2"/>
    <x v="2"/>
    <s v="Brand B"/>
    <s v="SC003"/>
    <x v="26"/>
    <n v="725"/>
    <n v="4.49"/>
    <x v="0"/>
    <n v="0"/>
    <n v="4.49"/>
    <n v="3255.25"/>
    <n v="1.9"/>
    <n v="1377.5"/>
    <n v="1877.75"/>
    <n v="0.57683741648106901"/>
    <x v="0"/>
    <n v="0"/>
  </r>
  <r>
    <s v="TX0916"/>
    <x v="915"/>
    <x v="0"/>
    <x v="1"/>
    <x v="1"/>
    <s v="Brand B"/>
    <s v="OR001"/>
    <x v="19"/>
    <n v="675"/>
    <n v="3.49"/>
    <x v="0"/>
    <n v="0"/>
    <n v="3.49"/>
    <n v="2355.75"/>
    <n v="1.2"/>
    <n v="810"/>
    <n v="1545.75"/>
    <n v="0.65616045845272208"/>
    <x v="0"/>
    <n v="0"/>
  </r>
  <r>
    <s v="TX0917"/>
    <x v="916"/>
    <x v="1"/>
    <x v="0"/>
    <x v="2"/>
    <s v="Brand A"/>
    <s v="SC001"/>
    <x v="6"/>
    <n v="439"/>
    <n v="7.99"/>
    <x v="1"/>
    <n v="0.2"/>
    <n v="6.3920000000000003"/>
    <n v="2806.0880000000002"/>
    <n v="3.1"/>
    <n v="1360.9"/>
    <n v="1445.1880000000001"/>
    <n v="0.51501877346683356"/>
    <x v="2"/>
    <n v="701.52200000000005"/>
  </r>
  <r>
    <s v="TX0918"/>
    <x v="917"/>
    <x v="1"/>
    <x v="0"/>
    <x v="1"/>
    <s v="Brand B"/>
    <s v="OR004"/>
    <x v="3"/>
    <n v="623"/>
    <n v="5.99"/>
    <x v="0"/>
    <n v="0"/>
    <n v="5.99"/>
    <n v="3731.77"/>
    <n v="2.4"/>
    <n v="1495.2"/>
    <n v="2236.5699999999997"/>
    <n v="0.59933222036727873"/>
    <x v="0"/>
    <n v="0"/>
  </r>
  <r>
    <s v="TX0919"/>
    <x v="918"/>
    <x v="1"/>
    <x v="1"/>
    <x v="0"/>
    <s v="Brand A"/>
    <s v="LA003"/>
    <x v="9"/>
    <n v="961"/>
    <n v="6.99"/>
    <x v="1"/>
    <n v="0.2"/>
    <n v="5.5920000000000005"/>
    <n v="5373.9120000000003"/>
    <n v="2.9"/>
    <n v="2786.9"/>
    <n v="2587.0120000000002"/>
    <n v="0.48140200286123036"/>
    <x v="2"/>
    <n v="1343.4780000000001"/>
  </r>
  <r>
    <s v="TX0920"/>
    <x v="919"/>
    <x v="1"/>
    <x v="1"/>
    <x v="2"/>
    <s v="Brand C"/>
    <s v="SC002"/>
    <x v="8"/>
    <n v="1074"/>
    <n v="9.99"/>
    <x v="1"/>
    <n v="0.2"/>
    <n v="7.9920000000000009"/>
    <n v="8583.4080000000013"/>
    <n v="4.2"/>
    <n v="4510.8"/>
    <n v="4072.6080000000011"/>
    <n v="0.47447447447447455"/>
    <x v="3"/>
    <n v="2145.8520000000003"/>
  </r>
  <r>
    <s v="TX0921"/>
    <x v="920"/>
    <x v="2"/>
    <x v="2"/>
    <x v="1"/>
    <s v="Brand B"/>
    <s v="OR004"/>
    <x v="3"/>
    <n v="763"/>
    <n v="5.99"/>
    <x v="0"/>
    <n v="0"/>
    <n v="5.99"/>
    <n v="4570.37"/>
    <n v="2.4"/>
    <n v="1831.2"/>
    <n v="2739.17"/>
    <n v="0.59933222036727885"/>
    <x v="0"/>
    <n v="0"/>
  </r>
  <r>
    <s v="TX0922"/>
    <x v="921"/>
    <x v="2"/>
    <x v="2"/>
    <x v="2"/>
    <s v="Brand B"/>
    <s v="SC006"/>
    <x v="15"/>
    <n v="532"/>
    <n v="4.99"/>
    <x v="0"/>
    <n v="0"/>
    <n v="4.99"/>
    <n v="2654.6800000000003"/>
    <n v="2.1"/>
    <n v="1117.2"/>
    <n v="1537.4800000000002"/>
    <n v="0.57915831663326656"/>
    <x v="0"/>
    <n v="0"/>
  </r>
  <r>
    <s v="TX0923"/>
    <x v="922"/>
    <x v="1"/>
    <x v="1"/>
    <x v="1"/>
    <s v="Brand A"/>
    <s v="OR002"/>
    <x v="11"/>
    <n v="793"/>
    <n v="4.99"/>
    <x v="0"/>
    <n v="0"/>
    <n v="4.99"/>
    <n v="3957.07"/>
    <n v="1.8"/>
    <n v="1427.4"/>
    <n v="2529.67"/>
    <n v="0.63927855711422843"/>
    <x v="0"/>
    <n v="0"/>
  </r>
  <r>
    <s v="TX0924"/>
    <x v="923"/>
    <x v="0"/>
    <x v="0"/>
    <x v="1"/>
    <s v="Brand C"/>
    <s v="OR003"/>
    <x v="14"/>
    <n v="239"/>
    <n v="4.49"/>
    <x v="0"/>
    <n v="0"/>
    <n v="4.49"/>
    <n v="1073.1100000000001"/>
    <n v="1.7"/>
    <n v="406.3"/>
    <n v="666.81000000000017"/>
    <n v="0.6213808463251671"/>
    <x v="0"/>
    <n v="0"/>
  </r>
  <r>
    <s v="TX0925"/>
    <x v="924"/>
    <x v="1"/>
    <x v="2"/>
    <x v="3"/>
    <s v="Brand B"/>
    <s v="HC004"/>
    <x v="7"/>
    <n v="760"/>
    <n v="4.99"/>
    <x v="1"/>
    <n v="0.2"/>
    <n v="3.9920000000000004"/>
    <n v="3033.9200000000005"/>
    <n v="2.1"/>
    <n v="1596"/>
    <n v="1437.9200000000005"/>
    <n v="0.47394789579158325"/>
    <x v="2"/>
    <n v="758.48000000000013"/>
  </r>
  <r>
    <s v="TX0926"/>
    <x v="925"/>
    <x v="2"/>
    <x v="1"/>
    <x v="0"/>
    <s v="Brand A"/>
    <s v="LA005"/>
    <x v="21"/>
    <n v="830"/>
    <n v="9.49"/>
    <x v="1"/>
    <n v="0.2"/>
    <n v="7.5920000000000005"/>
    <n v="6301.3600000000006"/>
    <n v="4"/>
    <n v="3320"/>
    <n v="2981.3600000000006"/>
    <n v="0.47312961011591154"/>
    <x v="3"/>
    <n v="1575.3400000000001"/>
  </r>
  <r>
    <s v="TX0927"/>
    <x v="926"/>
    <x v="0"/>
    <x v="0"/>
    <x v="0"/>
    <s v="Brand B"/>
    <s v="LA004"/>
    <x v="12"/>
    <n v="919"/>
    <n v="5.99"/>
    <x v="1"/>
    <n v="0.2"/>
    <n v="4.7920000000000007"/>
    <n v="4403.8480000000009"/>
    <n v="2.5"/>
    <n v="2297.5"/>
    <n v="2106.3480000000009"/>
    <n v="0.47829716193656102"/>
    <x v="1"/>
    <n v="1100.9620000000002"/>
  </r>
  <r>
    <s v="TX0928"/>
    <x v="927"/>
    <x v="1"/>
    <x v="1"/>
    <x v="2"/>
    <s v="Brand B"/>
    <s v="SC003"/>
    <x v="26"/>
    <n v="342"/>
    <n v="4.49"/>
    <x v="0"/>
    <n v="0"/>
    <n v="4.49"/>
    <n v="1535.5800000000002"/>
    <n v="1.9"/>
    <n v="649.79999999999995"/>
    <n v="885.7800000000002"/>
    <n v="0.57683741648106912"/>
    <x v="0"/>
    <n v="0"/>
  </r>
  <r>
    <s v="TX0929"/>
    <x v="928"/>
    <x v="1"/>
    <x v="0"/>
    <x v="1"/>
    <s v="Brand A"/>
    <s v="OR005"/>
    <x v="10"/>
    <n v="1045"/>
    <n v="3.99"/>
    <x v="1"/>
    <n v="0.3"/>
    <n v="2.7930000000000001"/>
    <n v="2918.6849999999999"/>
    <n v="1.5"/>
    <n v="1567.5"/>
    <n v="1351.1849999999999"/>
    <n v="0.46294307196562834"/>
    <x v="3"/>
    <n v="1250.865"/>
  </r>
  <r>
    <s v="TX0930"/>
    <x v="929"/>
    <x v="2"/>
    <x v="0"/>
    <x v="3"/>
    <s v="Brand C"/>
    <s v="HC006"/>
    <x v="13"/>
    <n v="707"/>
    <n v="6.49"/>
    <x v="0"/>
    <n v="0"/>
    <n v="6.49"/>
    <n v="4588.43"/>
    <n v="2.8"/>
    <n v="1979.6"/>
    <n v="2608.8300000000004"/>
    <n v="0.5685670261941449"/>
    <x v="0"/>
    <n v="0"/>
  </r>
  <r>
    <s v="TX0931"/>
    <x v="930"/>
    <x v="0"/>
    <x v="0"/>
    <x v="1"/>
    <s v="Brand A"/>
    <s v="OR006"/>
    <x v="24"/>
    <n v="407"/>
    <n v="12.99"/>
    <x v="0"/>
    <n v="0"/>
    <n v="12.99"/>
    <n v="5286.93"/>
    <n v="5.2"/>
    <n v="2116.4"/>
    <n v="3170.53"/>
    <n v="0.59969207082371057"/>
    <x v="0"/>
    <n v="0"/>
  </r>
  <r>
    <s v="TX0932"/>
    <x v="931"/>
    <x v="0"/>
    <x v="2"/>
    <x v="2"/>
    <s v="Brand C"/>
    <s v="SC007"/>
    <x v="5"/>
    <n v="668"/>
    <n v="5.49"/>
    <x v="1"/>
    <n v="0.2"/>
    <n v="4.3920000000000003"/>
    <n v="2933.8560000000002"/>
    <n v="2.2999999999999998"/>
    <n v="1536.3999999999999"/>
    <n v="1397.4560000000004"/>
    <n v="0.47632058287796003"/>
    <x v="3"/>
    <n v="733.46400000000006"/>
  </r>
  <r>
    <s v="TX0933"/>
    <x v="932"/>
    <x v="0"/>
    <x v="1"/>
    <x v="1"/>
    <s v="Brand A"/>
    <s v="OR006"/>
    <x v="24"/>
    <n v="675"/>
    <n v="12.99"/>
    <x v="0"/>
    <n v="0"/>
    <n v="12.99"/>
    <n v="8768.25"/>
    <n v="5.2"/>
    <n v="3510"/>
    <n v="5258.25"/>
    <n v="0.59969207082371057"/>
    <x v="0"/>
    <n v="0"/>
  </r>
  <r>
    <s v="TX0934"/>
    <x v="933"/>
    <x v="0"/>
    <x v="1"/>
    <x v="1"/>
    <s v="Brand B"/>
    <s v="OR004"/>
    <x v="3"/>
    <n v="1167"/>
    <n v="5.99"/>
    <x v="1"/>
    <n v="0.1"/>
    <n v="5.391"/>
    <n v="6291.2969999999996"/>
    <n v="2.4"/>
    <n v="2800.7999999999997"/>
    <n v="3490.4969999999998"/>
    <n v="0.5548135781858653"/>
    <x v="3"/>
    <n v="699.03300000000013"/>
  </r>
  <r>
    <s v="TX0935"/>
    <x v="934"/>
    <x v="0"/>
    <x v="0"/>
    <x v="0"/>
    <s v="Brand C"/>
    <s v="LA008"/>
    <x v="9"/>
    <n v="585"/>
    <n v="5.49"/>
    <x v="0"/>
    <n v="0"/>
    <n v="5.49"/>
    <n v="3211.65"/>
    <n v="2.4"/>
    <n v="1404"/>
    <n v="1807.65"/>
    <n v="0.56284153005464477"/>
    <x v="0"/>
    <n v="0"/>
  </r>
  <r>
    <s v="TX0936"/>
    <x v="935"/>
    <x v="2"/>
    <x v="1"/>
    <x v="1"/>
    <s v="Brand A"/>
    <s v="OR005"/>
    <x v="10"/>
    <n v="533"/>
    <n v="3.99"/>
    <x v="1"/>
    <n v="0.1"/>
    <n v="3.5910000000000002"/>
    <n v="1914.0030000000002"/>
    <n v="1.5"/>
    <n v="799.5"/>
    <n v="1114.5030000000002"/>
    <n v="0.58228905597326652"/>
    <x v="2"/>
    <n v="212.667"/>
  </r>
  <r>
    <s v="TX0937"/>
    <x v="936"/>
    <x v="2"/>
    <x v="1"/>
    <x v="2"/>
    <s v="Brand A"/>
    <s v="SC004"/>
    <x v="4"/>
    <n v="405"/>
    <n v="8.49"/>
    <x v="1"/>
    <n v="0.3"/>
    <n v="5.9429999999999996"/>
    <n v="2406.915"/>
    <n v="3.5"/>
    <n v="1417.5"/>
    <n v="989.41499999999996"/>
    <n v="0.41107184923439338"/>
    <x v="1"/>
    <n v="1031.5350000000001"/>
  </r>
  <r>
    <s v="TX0938"/>
    <x v="937"/>
    <x v="2"/>
    <x v="1"/>
    <x v="2"/>
    <s v="Brand A"/>
    <s v="SC005"/>
    <x v="16"/>
    <n v="570"/>
    <n v="10.99"/>
    <x v="0"/>
    <n v="0"/>
    <n v="10.99"/>
    <n v="6264.3"/>
    <n v="4.5999999999999996"/>
    <n v="2622"/>
    <n v="3642.3"/>
    <n v="0.58143767060964513"/>
    <x v="0"/>
    <n v="0"/>
  </r>
  <r>
    <s v="TX0939"/>
    <x v="938"/>
    <x v="0"/>
    <x v="0"/>
    <x v="3"/>
    <s v="Brand C"/>
    <s v="HC007"/>
    <x v="23"/>
    <n v="203"/>
    <n v="7.49"/>
    <x v="0"/>
    <n v="0"/>
    <n v="7.49"/>
    <n v="1520.47"/>
    <n v="3.1"/>
    <n v="629.30000000000007"/>
    <n v="891.17"/>
    <n v="0.5861148197596795"/>
    <x v="0"/>
    <n v="0"/>
  </r>
  <r>
    <s v="TX0940"/>
    <x v="939"/>
    <x v="2"/>
    <x v="2"/>
    <x v="1"/>
    <s v="Brand A"/>
    <s v="OR006"/>
    <x v="24"/>
    <n v="248"/>
    <n v="12.99"/>
    <x v="0"/>
    <n v="0"/>
    <n v="12.99"/>
    <n v="3221.52"/>
    <n v="5.2"/>
    <n v="1289.6000000000001"/>
    <n v="1931.9199999999998"/>
    <n v="0.59969207082371045"/>
    <x v="0"/>
    <n v="0"/>
  </r>
  <r>
    <s v="TX0941"/>
    <x v="940"/>
    <x v="2"/>
    <x v="2"/>
    <x v="0"/>
    <s v="Brand B"/>
    <s v="LA007"/>
    <x v="25"/>
    <n v="492"/>
    <n v="10.49"/>
    <x v="0"/>
    <n v="0"/>
    <n v="10.49"/>
    <n v="5161.08"/>
    <n v="4.5999999999999996"/>
    <n v="2263.1999999999998"/>
    <n v="2897.88"/>
    <n v="0.56148713060057198"/>
    <x v="0"/>
    <n v="0"/>
  </r>
  <r>
    <s v="TX0942"/>
    <x v="941"/>
    <x v="2"/>
    <x v="1"/>
    <x v="3"/>
    <s v="Brand C"/>
    <s v="HC007"/>
    <x v="23"/>
    <n v="540"/>
    <n v="7.49"/>
    <x v="0"/>
    <n v="0"/>
    <n v="7.49"/>
    <n v="4044.6"/>
    <n v="3.1"/>
    <n v="1674"/>
    <n v="2370.6"/>
    <n v="0.58611481975967961"/>
    <x v="0"/>
    <n v="0"/>
  </r>
  <r>
    <s v="TX0943"/>
    <x v="942"/>
    <x v="1"/>
    <x v="2"/>
    <x v="3"/>
    <s v="Brand C"/>
    <s v="HC007"/>
    <x v="23"/>
    <n v="756"/>
    <n v="7.49"/>
    <x v="0"/>
    <n v="0"/>
    <n v="7.49"/>
    <n v="5662.4400000000005"/>
    <n v="3.1"/>
    <n v="2343.6"/>
    <n v="3318.8400000000006"/>
    <n v="0.58611481975967961"/>
    <x v="0"/>
    <n v="0"/>
  </r>
  <r>
    <s v="TX0944"/>
    <x v="943"/>
    <x v="0"/>
    <x v="1"/>
    <x v="1"/>
    <s v="Brand A"/>
    <s v="OR006"/>
    <x v="24"/>
    <n v="775"/>
    <n v="12.99"/>
    <x v="0"/>
    <n v="0"/>
    <n v="12.99"/>
    <n v="10067.25"/>
    <n v="5.2"/>
    <n v="4030"/>
    <n v="6037.25"/>
    <n v="0.59969207082371057"/>
    <x v="0"/>
    <n v="0"/>
  </r>
  <r>
    <s v="TX0945"/>
    <x v="944"/>
    <x v="2"/>
    <x v="0"/>
    <x v="3"/>
    <s v="Brand B"/>
    <s v="HC008"/>
    <x v="20"/>
    <n v="650"/>
    <n v="4.49"/>
    <x v="1"/>
    <n v="0.1"/>
    <n v="4.0410000000000004"/>
    <n v="2626.65"/>
    <n v="1.9"/>
    <n v="1235"/>
    <n v="1391.65"/>
    <n v="0.52981935164563232"/>
    <x v="3"/>
    <n v="291.85000000000002"/>
  </r>
  <r>
    <s v="TX0946"/>
    <x v="945"/>
    <x v="0"/>
    <x v="1"/>
    <x v="2"/>
    <s v="Brand A"/>
    <s v="SC001"/>
    <x v="6"/>
    <n v="252"/>
    <n v="7.99"/>
    <x v="0"/>
    <n v="0"/>
    <n v="7.99"/>
    <n v="2013.48"/>
    <n v="3.1"/>
    <n v="781.2"/>
    <n v="1232.28"/>
    <n v="0.61201501877346687"/>
    <x v="0"/>
    <n v="0"/>
  </r>
  <r>
    <s v="TX0947"/>
    <x v="946"/>
    <x v="0"/>
    <x v="0"/>
    <x v="1"/>
    <s v="Brand A"/>
    <s v="OR006"/>
    <x v="24"/>
    <n v="1195"/>
    <n v="12.99"/>
    <x v="1"/>
    <n v="0.1"/>
    <n v="11.691000000000001"/>
    <n v="13970.745000000001"/>
    <n v="5.2"/>
    <n v="6214"/>
    <n v="7756.7450000000008"/>
    <n v="0.55521341202634511"/>
    <x v="3"/>
    <n v="1552.3050000000003"/>
  </r>
  <r>
    <s v="TX0948"/>
    <x v="947"/>
    <x v="0"/>
    <x v="1"/>
    <x v="0"/>
    <s v="Brand B"/>
    <s v="LA007"/>
    <x v="25"/>
    <n v="776"/>
    <n v="10.49"/>
    <x v="0"/>
    <n v="0"/>
    <n v="10.49"/>
    <n v="8140.24"/>
    <n v="4.5999999999999996"/>
    <n v="3569.6"/>
    <n v="4570.6399999999994"/>
    <n v="0.56148713060057187"/>
    <x v="0"/>
    <n v="0"/>
  </r>
  <r>
    <s v="TX0949"/>
    <x v="948"/>
    <x v="1"/>
    <x v="2"/>
    <x v="1"/>
    <s v="Brand B"/>
    <s v="OR001"/>
    <x v="19"/>
    <n v="1115"/>
    <n v="3.49"/>
    <x v="1"/>
    <n v="0.2"/>
    <n v="2.7920000000000003"/>
    <n v="3113.0800000000004"/>
    <n v="1.2"/>
    <n v="1338"/>
    <n v="1775.0800000000004"/>
    <n v="0.57020057306590266"/>
    <x v="1"/>
    <n v="778.2700000000001"/>
  </r>
  <r>
    <s v="TX0950"/>
    <x v="949"/>
    <x v="2"/>
    <x v="0"/>
    <x v="0"/>
    <s v="Brand C"/>
    <s v="LA002"/>
    <x v="0"/>
    <n v="532"/>
    <n v="11.99"/>
    <x v="0"/>
    <n v="0"/>
    <n v="11.99"/>
    <n v="6378.68"/>
    <n v="5.2"/>
    <n v="2766.4"/>
    <n v="3612.28"/>
    <n v="0.56630525437864887"/>
    <x v="0"/>
    <n v="0"/>
  </r>
  <r>
    <s v="TX0951"/>
    <x v="950"/>
    <x v="2"/>
    <x v="1"/>
    <x v="0"/>
    <s v="Brand A"/>
    <s v="LA005"/>
    <x v="21"/>
    <n v="667"/>
    <n v="9.49"/>
    <x v="0"/>
    <n v="0"/>
    <n v="9.49"/>
    <n v="6329.83"/>
    <n v="4"/>
    <n v="2668"/>
    <n v="3661.83"/>
    <n v="0.57850368809272923"/>
    <x v="0"/>
    <n v="0"/>
  </r>
  <r>
    <s v="TX0952"/>
    <x v="951"/>
    <x v="0"/>
    <x v="2"/>
    <x v="3"/>
    <s v="Brand C"/>
    <s v="HC007"/>
    <x v="23"/>
    <n v="628"/>
    <n v="7.49"/>
    <x v="0"/>
    <n v="0"/>
    <n v="7.49"/>
    <n v="4703.72"/>
    <n v="3.1"/>
    <n v="1946.8"/>
    <n v="2756.92"/>
    <n v="0.58611481975967961"/>
    <x v="0"/>
    <n v="0"/>
  </r>
  <r>
    <s v="TX0953"/>
    <x v="952"/>
    <x v="1"/>
    <x v="1"/>
    <x v="0"/>
    <s v="Brand B"/>
    <s v="LA001"/>
    <x v="1"/>
    <n v="895"/>
    <n v="8.49"/>
    <x v="1"/>
    <n v="0.3"/>
    <n v="5.9429999999999996"/>
    <n v="5318.9849999999997"/>
    <n v="3.8"/>
    <n v="3401"/>
    <n v="1917.9849999999997"/>
    <n v="0.36059229345448424"/>
    <x v="3"/>
    <n v="2279.5650000000001"/>
  </r>
  <r>
    <s v="TX0954"/>
    <x v="953"/>
    <x v="0"/>
    <x v="0"/>
    <x v="1"/>
    <s v="Brand B"/>
    <s v="OR004"/>
    <x v="3"/>
    <n v="507"/>
    <n v="5.99"/>
    <x v="0"/>
    <n v="0"/>
    <n v="5.99"/>
    <n v="3036.9300000000003"/>
    <n v="2.4"/>
    <n v="1216.8"/>
    <n v="1820.1300000000003"/>
    <n v="0.59933222036727885"/>
    <x v="0"/>
    <n v="0"/>
  </r>
  <r>
    <s v="TX0955"/>
    <x v="954"/>
    <x v="2"/>
    <x v="2"/>
    <x v="1"/>
    <s v="Brand A"/>
    <s v="OR002"/>
    <x v="11"/>
    <n v="481"/>
    <n v="4.99"/>
    <x v="0"/>
    <n v="0"/>
    <n v="4.99"/>
    <n v="2400.19"/>
    <n v="1.8"/>
    <n v="865.80000000000007"/>
    <n v="1534.3899999999999"/>
    <n v="0.63927855711422843"/>
    <x v="0"/>
    <n v="0"/>
  </r>
  <r>
    <s v="TX0956"/>
    <x v="955"/>
    <x v="2"/>
    <x v="1"/>
    <x v="3"/>
    <s v="Brand B"/>
    <s v="HC004"/>
    <x v="7"/>
    <n v="537"/>
    <n v="4.99"/>
    <x v="1"/>
    <n v="0.3"/>
    <n v="3.4929999999999999"/>
    <n v="1875.741"/>
    <n v="2.1"/>
    <n v="1127.7"/>
    <n v="748.04099999999994"/>
    <n v="0.39879759519038072"/>
    <x v="1"/>
    <n v="803.88900000000001"/>
  </r>
  <r>
    <s v="TX0957"/>
    <x v="956"/>
    <x v="2"/>
    <x v="2"/>
    <x v="2"/>
    <s v="Brand A"/>
    <s v="SC004"/>
    <x v="4"/>
    <n v="297"/>
    <n v="8.49"/>
    <x v="0"/>
    <n v="0"/>
    <n v="8.49"/>
    <n v="2521.5300000000002"/>
    <n v="3.5"/>
    <n v="1039.5"/>
    <n v="1482.0300000000002"/>
    <n v="0.58775029446407545"/>
    <x v="0"/>
    <n v="0"/>
  </r>
  <r>
    <s v="TX0958"/>
    <x v="957"/>
    <x v="1"/>
    <x v="0"/>
    <x v="1"/>
    <s v="Brand B"/>
    <s v="OR004"/>
    <x v="3"/>
    <n v="466"/>
    <n v="5.99"/>
    <x v="1"/>
    <n v="0.3"/>
    <n v="4.1929999999999996"/>
    <n v="1953.9379999999999"/>
    <n v="2.4"/>
    <n v="1118.3999999999999"/>
    <n v="835.53800000000001"/>
    <n v="0.42761745766754117"/>
    <x v="3"/>
    <n v="837.40199999999993"/>
  </r>
  <r>
    <s v="TX0959"/>
    <x v="958"/>
    <x v="0"/>
    <x v="1"/>
    <x v="1"/>
    <s v="Brand A"/>
    <s v="OR006"/>
    <x v="24"/>
    <n v="438"/>
    <n v="12.99"/>
    <x v="0"/>
    <n v="0"/>
    <n v="12.99"/>
    <n v="5689.62"/>
    <n v="5.2"/>
    <n v="2277.6"/>
    <n v="3412.02"/>
    <n v="0.59969207082371057"/>
    <x v="0"/>
    <n v="0"/>
  </r>
  <r>
    <s v="TX0960"/>
    <x v="959"/>
    <x v="1"/>
    <x v="2"/>
    <x v="1"/>
    <s v="Brand B"/>
    <s v="OR004"/>
    <x v="3"/>
    <n v="497"/>
    <n v="5.99"/>
    <x v="1"/>
    <n v="0.1"/>
    <n v="5.391"/>
    <n v="2679.3270000000002"/>
    <n v="2.4"/>
    <n v="1192.8"/>
    <n v="1486.5270000000003"/>
    <n v="0.55481357818586541"/>
    <x v="3"/>
    <n v="297.70300000000003"/>
  </r>
  <r>
    <s v="TX0961"/>
    <x v="960"/>
    <x v="0"/>
    <x v="0"/>
    <x v="3"/>
    <s v="Brand A"/>
    <s v="HC002"/>
    <x v="22"/>
    <n v="489"/>
    <n v="8.99"/>
    <x v="0"/>
    <n v="0"/>
    <n v="8.99"/>
    <n v="4396.1099999999997"/>
    <n v="3.6"/>
    <n v="1760.4"/>
    <n v="2635.7099999999996"/>
    <n v="0.59955506117908786"/>
    <x v="0"/>
    <n v="0"/>
  </r>
  <r>
    <s v="TX0962"/>
    <x v="961"/>
    <x v="1"/>
    <x v="2"/>
    <x v="3"/>
    <s v="Brand A"/>
    <s v="HC001"/>
    <x v="7"/>
    <n v="629"/>
    <n v="5.99"/>
    <x v="0"/>
    <n v="0"/>
    <n v="5.99"/>
    <n v="3767.71"/>
    <n v="2.4"/>
    <n v="1509.6"/>
    <n v="2258.11"/>
    <n v="0.59933222036727885"/>
    <x v="0"/>
    <n v="0"/>
  </r>
  <r>
    <s v="TX0963"/>
    <x v="962"/>
    <x v="1"/>
    <x v="1"/>
    <x v="3"/>
    <s v="Brand B"/>
    <s v="HC004"/>
    <x v="7"/>
    <n v="767"/>
    <n v="4.99"/>
    <x v="0"/>
    <n v="0"/>
    <n v="4.99"/>
    <n v="3827.3300000000004"/>
    <n v="2.1"/>
    <n v="1610.7"/>
    <n v="2216.63"/>
    <n v="0.57915831663326656"/>
    <x v="0"/>
    <n v="0"/>
  </r>
  <r>
    <s v="TX0964"/>
    <x v="963"/>
    <x v="2"/>
    <x v="1"/>
    <x v="3"/>
    <s v="Brand C"/>
    <s v="HC007"/>
    <x v="23"/>
    <n v="739"/>
    <n v="7.49"/>
    <x v="0"/>
    <n v="0"/>
    <n v="7.49"/>
    <n v="5535.1100000000006"/>
    <n v="3.1"/>
    <n v="2290.9"/>
    <n v="3244.2100000000005"/>
    <n v="0.58611481975967961"/>
    <x v="0"/>
    <n v="0"/>
  </r>
  <r>
    <s v="TX0965"/>
    <x v="964"/>
    <x v="1"/>
    <x v="1"/>
    <x v="2"/>
    <s v="Brand C"/>
    <s v="SC002"/>
    <x v="8"/>
    <n v="510"/>
    <n v="9.99"/>
    <x v="1"/>
    <n v="0.2"/>
    <n v="7.9920000000000009"/>
    <n v="4075.9200000000005"/>
    <n v="4.2"/>
    <n v="2142"/>
    <n v="1933.9200000000005"/>
    <n v="0.47447447447447455"/>
    <x v="1"/>
    <n v="1018.9800000000001"/>
  </r>
  <r>
    <s v="TX0966"/>
    <x v="965"/>
    <x v="0"/>
    <x v="0"/>
    <x v="2"/>
    <s v="Brand A"/>
    <s v="SC005"/>
    <x v="16"/>
    <n v="550"/>
    <n v="10.99"/>
    <x v="1"/>
    <n v="0.1"/>
    <n v="9.891"/>
    <n v="5440.05"/>
    <n v="4.5999999999999996"/>
    <n v="2530"/>
    <n v="2910.05"/>
    <n v="0.53493074512182792"/>
    <x v="2"/>
    <n v="604.44999999999993"/>
  </r>
  <r>
    <s v="TX0967"/>
    <x v="966"/>
    <x v="1"/>
    <x v="1"/>
    <x v="3"/>
    <s v="Brand A"/>
    <s v="HC001"/>
    <x v="7"/>
    <n v="933"/>
    <n v="5.99"/>
    <x v="1"/>
    <n v="0.1"/>
    <n v="5.391"/>
    <n v="5029.8029999999999"/>
    <n v="2.4"/>
    <n v="2239.1999999999998"/>
    <n v="2790.6030000000001"/>
    <n v="0.55481357818586541"/>
    <x v="2"/>
    <n v="558.86700000000008"/>
  </r>
  <r>
    <s v="TX0968"/>
    <x v="967"/>
    <x v="1"/>
    <x v="0"/>
    <x v="2"/>
    <s v="Brand B"/>
    <s v="SC006"/>
    <x v="15"/>
    <n v="395"/>
    <n v="4.99"/>
    <x v="0"/>
    <n v="0"/>
    <n v="4.99"/>
    <n v="1971.0500000000002"/>
    <n v="2.1"/>
    <n v="829.5"/>
    <n v="1141.5500000000002"/>
    <n v="0.57915831663326656"/>
    <x v="0"/>
    <n v="0"/>
  </r>
  <r>
    <s v="TX0969"/>
    <x v="968"/>
    <x v="1"/>
    <x v="0"/>
    <x v="2"/>
    <s v="Brand B"/>
    <s v="SC003"/>
    <x v="26"/>
    <n v="276"/>
    <n v="4.49"/>
    <x v="0"/>
    <n v="0"/>
    <n v="4.49"/>
    <n v="1239.24"/>
    <n v="1.9"/>
    <n v="524.4"/>
    <n v="714.84"/>
    <n v="0.57683741648106901"/>
    <x v="0"/>
    <n v="0"/>
  </r>
  <r>
    <s v="TX0970"/>
    <x v="969"/>
    <x v="2"/>
    <x v="1"/>
    <x v="3"/>
    <s v="Brand B"/>
    <s v="HC008"/>
    <x v="20"/>
    <n v="229"/>
    <n v="4.49"/>
    <x v="0"/>
    <n v="0"/>
    <n v="4.49"/>
    <n v="1028.21"/>
    <n v="1.9"/>
    <n v="435.09999999999997"/>
    <n v="593.11000000000013"/>
    <n v="0.57683741648106912"/>
    <x v="0"/>
    <n v="0"/>
  </r>
  <r>
    <s v="TX0971"/>
    <x v="970"/>
    <x v="1"/>
    <x v="1"/>
    <x v="0"/>
    <s v="Brand B"/>
    <s v="LA007"/>
    <x v="25"/>
    <n v="826"/>
    <n v="10.49"/>
    <x v="1"/>
    <n v="0.1"/>
    <n v="9.4410000000000007"/>
    <n v="7798.2660000000005"/>
    <n v="4.5999999999999996"/>
    <n v="3799.6"/>
    <n v="3998.6660000000006"/>
    <n v="0.51276347844507997"/>
    <x v="2"/>
    <n v="866.47400000000016"/>
  </r>
  <r>
    <s v="TX0972"/>
    <x v="971"/>
    <x v="2"/>
    <x v="2"/>
    <x v="0"/>
    <s v="Brand A"/>
    <s v="LA003"/>
    <x v="9"/>
    <n v="1011"/>
    <n v="6.99"/>
    <x v="1"/>
    <n v="0.2"/>
    <n v="5.5920000000000005"/>
    <n v="5653.5120000000006"/>
    <n v="2.9"/>
    <n v="2931.9"/>
    <n v="2721.6120000000005"/>
    <n v="0.48140200286123036"/>
    <x v="1"/>
    <n v="1413.3780000000002"/>
  </r>
  <r>
    <s v="TX0973"/>
    <x v="972"/>
    <x v="2"/>
    <x v="1"/>
    <x v="1"/>
    <s v="Brand C"/>
    <s v="OR003"/>
    <x v="14"/>
    <n v="1115"/>
    <n v="4.49"/>
    <x v="1"/>
    <n v="0.1"/>
    <n v="4.0410000000000004"/>
    <n v="4505.7150000000001"/>
    <n v="1.7"/>
    <n v="1895.5"/>
    <n v="2610.2150000000001"/>
    <n v="0.57931205147240783"/>
    <x v="2"/>
    <n v="500.63500000000005"/>
  </r>
  <r>
    <s v="TX0974"/>
    <x v="973"/>
    <x v="0"/>
    <x v="2"/>
    <x v="3"/>
    <s v="Brand B"/>
    <s v="HC005"/>
    <x v="17"/>
    <n v="1112"/>
    <n v="4.79"/>
    <x v="1"/>
    <n v="0.1"/>
    <n v="4.3109999999999999"/>
    <n v="4793.8320000000003"/>
    <n v="2"/>
    <n v="2224"/>
    <n v="2569.8320000000003"/>
    <n v="0.53607051728137323"/>
    <x v="2"/>
    <n v="532.64800000000002"/>
  </r>
  <r>
    <s v="TX0975"/>
    <x v="974"/>
    <x v="2"/>
    <x v="1"/>
    <x v="3"/>
    <s v="Brand B"/>
    <s v="HC005"/>
    <x v="17"/>
    <n v="369"/>
    <n v="4.79"/>
    <x v="0"/>
    <n v="0"/>
    <n v="4.79"/>
    <n v="1767.51"/>
    <n v="2"/>
    <n v="738"/>
    <n v="1029.51"/>
    <n v="0.58246346555323592"/>
    <x v="0"/>
    <n v="0"/>
  </r>
  <r>
    <s v="TX0976"/>
    <x v="975"/>
    <x v="0"/>
    <x v="2"/>
    <x v="2"/>
    <s v="Brand B"/>
    <s v="SC003"/>
    <x v="26"/>
    <n v="668"/>
    <n v="4.49"/>
    <x v="1"/>
    <n v="0.3"/>
    <n v="3.1429999999999998"/>
    <n v="2099.5239999999999"/>
    <n v="1.9"/>
    <n v="1269.2"/>
    <n v="830.32399999999984"/>
    <n v="0.39548202354438428"/>
    <x v="3"/>
    <n v="899.79599999999994"/>
  </r>
  <r>
    <s v="TX0977"/>
    <x v="976"/>
    <x v="0"/>
    <x v="1"/>
    <x v="3"/>
    <s v="Brand A"/>
    <s v="HC003"/>
    <x v="17"/>
    <n v="317"/>
    <n v="5.49"/>
    <x v="0"/>
    <n v="0"/>
    <n v="5.49"/>
    <n v="1740.3300000000002"/>
    <n v="2.2000000000000002"/>
    <n v="697.40000000000009"/>
    <n v="1042.93"/>
    <n v="0.59927140255009104"/>
    <x v="0"/>
    <n v="0"/>
  </r>
  <r>
    <s v="TX0978"/>
    <x v="977"/>
    <x v="1"/>
    <x v="0"/>
    <x v="2"/>
    <s v="Brand C"/>
    <s v="SC002"/>
    <x v="8"/>
    <n v="444"/>
    <n v="9.99"/>
    <x v="0"/>
    <n v="0"/>
    <n v="9.99"/>
    <n v="4435.5600000000004"/>
    <n v="4.2"/>
    <n v="1864.8000000000002"/>
    <n v="2570.7600000000002"/>
    <n v="0.57957957957957962"/>
    <x v="0"/>
    <n v="0"/>
  </r>
  <r>
    <s v="TX0979"/>
    <x v="978"/>
    <x v="2"/>
    <x v="2"/>
    <x v="0"/>
    <s v="Brand A"/>
    <s v="LA003"/>
    <x v="9"/>
    <n v="625"/>
    <n v="6.99"/>
    <x v="0"/>
    <n v="0"/>
    <n v="6.99"/>
    <n v="4368.75"/>
    <n v="2.9"/>
    <n v="1812.5"/>
    <n v="2556.25"/>
    <n v="0.58512160228898424"/>
    <x v="0"/>
    <n v="0"/>
  </r>
  <r>
    <s v="TX0980"/>
    <x v="979"/>
    <x v="0"/>
    <x v="1"/>
    <x v="0"/>
    <s v="Brand C"/>
    <s v="LA008"/>
    <x v="9"/>
    <n v="651"/>
    <n v="5.49"/>
    <x v="0"/>
    <n v="0"/>
    <n v="5.49"/>
    <n v="3573.9900000000002"/>
    <n v="2.4"/>
    <n v="1562.3999999999999"/>
    <n v="2011.5900000000004"/>
    <n v="0.56284153005464488"/>
    <x v="0"/>
    <n v="0"/>
  </r>
  <r>
    <s v="TX0981"/>
    <x v="980"/>
    <x v="2"/>
    <x v="0"/>
    <x v="2"/>
    <s v="Brand C"/>
    <s v="SC007"/>
    <x v="5"/>
    <n v="425"/>
    <n v="5.49"/>
    <x v="0"/>
    <n v="0"/>
    <n v="5.49"/>
    <n v="2333.25"/>
    <n v="2.2999999999999998"/>
    <n v="977.49999999999989"/>
    <n v="1355.75"/>
    <n v="0.58105646630236796"/>
    <x v="0"/>
    <n v="0"/>
  </r>
  <r>
    <s v="TX0982"/>
    <x v="981"/>
    <x v="2"/>
    <x v="1"/>
    <x v="2"/>
    <s v="Brand B"/>
    <s v="SC006"/>
    <x v="15"/>
    <n v="268"/>
    <n v="4.99"/>
    <x v="0"/>
    <n v="0"/>
    <n v="4.99"/>
    <n v="1337.3200000000002"/>
    <n v="2.1"/>
    <n v="562.80000000000007"/>
    <n v="774.5200000000001"/>
    <n v="0.57915831663326656"/>
    <x v="0"/>
    <n v="0"/>
  </r>
  <r>
    <s v="TX0983"/>
    <x v="982"/>
    <x v="1"/>
    <x v="2"/>
    <x v="3"/>
    <s v="Brand A"/>
    <s v="HC002"/>
    <x v="22"/>
    <n v="222"/>
    <n v="8.99"/>
    <x v="0"/>
    <n v="0"/>
    <n v="8.99"/>
    <n v="1995.78"/>
    <n v="3.6"/>
    <n v="799.2"/>
    <n v="1196.58"/>
    <n v="0.59955506117908786"/>
    <x v="0"/>
    <n v="0"/>
  </r>
  <r>
    <s v="TX0984"/>
    <x v="983"/>
    <x v="2"/>
    <x v="2"/>
    <x v="3"/>
    <s v="Brand C"/>
    <s v="HC007"/>
    <x v="23"/>
    <n v="331"/>
    <n v="7.49"/>
    <x v="0"/>
    <n v="0"/>
    <n v="7.49"/>
    <n v="2479.19"/>
    <n v="3.1"/>
    <n v="1026.1000000000001"/>
    <n v="1453.09"/>
    <n v="0.5861148197596795"/>
    <x v="0"/>
    <n v="0"/>
  </r>
  <r>
    <s v="TX0985"/>
    <x v="984"/>
    <x v="1"/>
    <x v="2"/>
    <x v="2"/>
    <s v="Brand A"/>
    <s v="SC001"/>
    <x v="6"/>
    <n v="485"/>
    <n v="7.99"/>
    <x v="0"/>
    <n v="0"/>
    <n v="7.99"/>
    <n v="3875.15"/>
    <n v="3.1"/>
    <n v="1503.5"/>
    <n v="2371.65"/>
    <n v="0.61201501877346687"/>
    <x v="0"/>
    <n v="0"/>
  </r>
  <r>
    <s v="TX0986"/>
    <x v="985"/>
    <x v="0"/>
    <x v="0"/>
    <x v="2"/>
    <s v="Brand C"/>
    <s v="SC002"/>
    <x v="8"/>
    <n v="624"/>
    <n v="9.99"/>
    <x v="0"/>
    <n v="0"/>
    <n v="9.99"/>
    <n v="6233.76"/>
    <n v="4.2"/>
    <n v="2620.8000000000002"/>
    <n v="3612.96"/>
    <n v="0.57957957957957962"/>
    <x v="0"/>
    <n v="0"/>
  </r>
  <r>
    <s v="TX0987"/>
    <x v="986"/>
    <x v="0"/>
    <x v="2"/>
    <x v="1"/>
    <s v="Brand C"/>
    <s v="OR003"/>
    <x v="14"/>
    <n v="490"/>
    <n v="4.49"/>
    <x v="0"/>
    <n v="0"/>
    <n v="4.49"/>
    <n v="2200.1"/>
    <n v="1.7"/>
    <n v="833"/>
    <n v="1367.1"/>
    <n v="0.62138084632516699"/>
    <x v="0"/>
    <n v="0"/>
  </r>
  <r>
    <s v="TX0988"/>
    <x v="987"/>
    <x v="1"/>
    <x v="2"/>
    <x v="2"/>
    <s v="Brand C"/>
    <s v="SC007"/>
    <x v="5"/>
    <n v="574"/>
    <n v="5.49"/>
    <x v="0"/>
    <n v="0"/>
    <n v="5.49"/>
    <n v="3151.26"/>
    <n v="2.2999999999999998"/>
    <n v="1320.1999999999998"/>
    <n v="1831.0600000000004"/>
    <n v="0.58105646630236807"/>
    <x v="0"/>
    <n v="0"/>
  </r>
  <r>
    <s v="TX0989"/>
    <x v="988"/>
    <x v="1"/>
    <x v="0"/>
    <x v="3"/>
    <s v="Brand B"/>
    <s v="HC004"/>
    <x v="7"/>
    <n v="507"/>
    <n v="4.99"/>
    <x v="0"/>
    <n v="0"/>
    <n v="4.99"/>
    <n v="2529.9300000000003"/>
    <n v="2.1"/>
    <n v="1064.7"/>
    <n v="1465.2300000000002"/>
    <n v="0.57915831663326656"/>
    <x v="0"/>
    <n v="0"/>
  </r>
  <r>
    <s v="TX0990"/>
    <x v="989"/>
    <x v="0"/>
    <x v="1"/>
    <x v="2"/>
    <s v="Brand B"/>
    <s v="SC003"/>
    <x v="26"/>
    <n v="629"/>
    <n v="4.49"/>
    <x v="0"/>
    <n v="0"/>
    <n v="4.49"/>
    <n v="2824.21"/>
    <n v="1.9"/>
    <n v="1195.0999999999999"/>
    <n v="1629.1100000000001"/>
    <n v="0.57683741648106912"/>
    <x v="0"/>
    <n v="0"/>
  </r>
  <r>
    <s v="TX0991"/>
    <x v="990"/>
    <x v="0"/>
    <x v="1"/>
    <x v="1"/>
    <s v="Brand B"/>
    <s v="OR001"/>
    <x v="19"/>
    <n v="606"/>
    <n v="3.49"/>
    <x v="1"/>
    <n v="0.1"/>
    <n v="3.1410000000000005"/>
    <n v="1903.4460000000004"/>
    <n v="1.2"/>
    <n v="727.19999999999993"/>
    <n v="1176.2460000000005"/>
    <n v="0.61795606494746913"/>
    <x v="1"/>
    <n v="211.49400000000003"/>
  </r>
  <r>
    <s v="TX0992"/>
    <x v="991"/>
    <x v="0"/>
    <x v="0"/>
    <x v="0"/>
    <s v="Brand C"/>
    <s v="LA006"/>
    <x v="2"/>
    <n v="440"/>
    <n v="8.99"/>
    <x v="0"/>
    <n v="0"/>
    <n v="8.99"/>
    <n v="3955.6"/>
    <n v="4"/>
    <n v="1760"/>
    <n v="2195.6"/>
    <n v="0.55506117908787544"/>
    <x v="0"/>
    <n v="0"/>
  </r>
  <r>
    <s v="TX0993"/>
    <x v="992"/>
    <x v="2"/>
    <x v="1"/>
    <x v="2"/>
    <s v="Brand A"/>
    <s v="SC004"/>
    <x v="4"/>
    <n v="735"/>
    <n v="8.49"/>
    <x v="0"/>
    <n v="0"/>
    <n v="8.49"/>
    <n v="6240.1500000000005"/>
    <n v="3.5"/>
    <n v="2572.5"/>
    <n v="3667.6500000000005"/>
    <n v="0.58775029446407545"/>
    <x v="0"/>
    <n v="0"/>
  </r>
  <r>
    <s v="TX0994"/>
    <x v="993"/>
    <x v="1"/>
    <x v="2"/>
    <x v="1"/>
    <s v="Brand B"/>
    <s v="OR001"/>
    <x v="19"/>
    <n v="727"/>
    <n v="3.49"/>
    <x v="1"/>
    <n v="0.3"/>
    <n v="2.4430000000000001"/>
    <n v="1776.0610000000001"/>
    <n v="1.2"/>
    <n v="872.4"/>
    <n v="903.66100000000017"/>
    <n v="0.50880065493246018"/>
    <x v="2"/>
    <n v="761.16899999999998"/>
  </r>
  <r>
    <s v="TX0995"/>
    <x v="994"/>
    <x v="1"/>
    <x v="0"/>
    <x v="2"/>
    <s v="Brand A"/>
    <s v="SC004"/>
    <x v="4"/>
    <n v="406"/>
    <n v="8.49"/>
    <x v="1"/>
    <n v="0.2"/>
    <n v="6.7920000000000007"/>
    <n v="2757.5520000000001"/>
    <n v="3.5"/>
    <n v="1421"/>
    <n v="1336.5520000000001"/>
    <n v="0.48468786808009423"/>
    <x v="1"/>
    <n v="689.38800000000003"/>
  </r>
  <r>
    <s v="TX0996"/>
    <x v="995"/>
    <x v="2"/>
    <x v="1"/>
    <x v="2"/>
    <s v="Brand B"/>
    <s v="SC006"/>
    <x v="15"/>
    <n v="781"/>
    <n v="4.99"/>
    <x v="0"/>
    <n v="0"/>
    <n v="4.99"/>
    <n v="3897.19"/>
    <n v="2.1"/>
    <n v="1640.1000000000001"/>
    <n v="2257.09"/>
    <n v="0.57915831663326656"/>
    <x v="0"/>
    <n v="0"/>
  </r>
  <r>
    <s v="TX0997"/>
    <x v="996"/>
    <x v="2"/>
    <x v="1"/>
    <x v="2"/>
    <s v="Brand A"/>
    <s v="SC004"/>
    <x v="4"/>
    <n v="342"/>
    <n v="8.49"/>
    <x v="0"/>
    <n v="0"/>
    <n v="8.49"/>
    <n v="2903.58"/>
    <n v="3.5"/>
    <n v="1197"/>
    <n v="1706.58"/>
    <n v="0.58775029446407534"/>
    <x v="0"/>
    <n v="0"/>
  </r>
  <r>
    <s v="TX0998"/>
    <x v="997"/>
    <x v="0"/>
    <x v="2"/>
    <x v="3"/>
    <s v="Brand B"/>
    <s v="HC008"/>
    <x v="20"/>
    <n v="767"/>
    <n v="4.49"/>
    <x v="0"/>
    <n v="0"/>
    <n v="4.49"/>
    <n v="3443.8300000000004"/>
    <n v="1.9"/>
    <n v="1457.3"/>
    <n v="1986.5300000000004"/>
    <n v="0.57683741648106912"/>
    <x v="0"/>
    <n v="0"/>
  </r>
  <r>
    <s v="TX0999"/>
    <x v="998"/>
    <x v="0"/>
    <x v="2"/>
    <x v="3"/>
    <s v="Brand B"/>
    <s v="HC004"/>
    <x v="7"/>
    <n v="258"/>
    <n v="4.99"/>
    <x v="0"/>
    <n v="0"/>
    <n v="4.99"/>
    <n v="1287.42"/>
    <n v="2.1"/>
    <n v="541.80000000000007"/>
    <n v="745.62"/>
    <n v="0.57915831663326656"/>
    <x v="0"/>
    <n v="0"/>
  </r>
  <r>
    <s v="TX1000"/>
    <x v="999"/>
    <x v="2"/>
    <x v="2"/>
    <x v="3"/>
    <s v="Brand A"/>
    <s v="HC001"/>
    <x v="7"/>
    <n v="522"/>
    <n v="5.99"/>
    <x v="0"/>
    <n v="0"/>
    <n v="5.99"/>
    <n v="3126.78"/>
    <n v="2.4"/>
    <n v="1252.8"/>
    <n v="1873.9800000000002"/>
    <n v="0.5993322203672788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87E1C-C14A-564C-923C-22C3BE77EC6F}" name="PivotTable4" cacheId="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7:B31" firstHeaderRow="1"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items count="4">
        <item x="1"/>
        <item x="2"/>
        <item x="0"/>
        <item t="default"/>
      </items>
    </pivotField>
    <pivotField axis="axisRow" showAll="0">
      <items count="4">
        <item x="1"/>
        <item x="2"/>
        <item x="0"/>
        <item t="default"/>
      </items>
    </pivotField>
    <pivotField showAll="0">
      <items count="5">
        <item x="3"/>
        <item x="0"/>
        <item x="1"/>
        <item x="2"/>
        <item t="default"/>
      </items>
    </pivotField>
    <pivotField showAll="0"/>
    <pivotField showAll="0"/>
    <pivotField showAll="0"/>
    <pivotField showAll="0"/>
    <pivotField showAll="0"/>
    <pivotField showAll="0"/>
    <pivotField numFmtId="9" showAll="0"/>
    <pivotField numFmtId="4" showAll="0"/>
    <pivotField dataField="1" numFmtId="4" showAll="0"/>
    <pivotField numFmtId="4" showAll="0"/>
    <pivotField numFmtId="4" showAll="0"/>
    <pivotField numFmtId="4" showAll="0"/>
    <pivotField numFmtId="10"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4">
    <i>
      <x/>
    </i>
    <i>
      <x v="1"/>
    </i>
    <i>
      <x v="2"/>
    </i>
    <i t="grand">
      <x/>
    </i>
  </rowItems>
  <colItems count="1">
    <i/>
  </colItems>
  <dataFields count="1">
    <dataField name="Sum of Revenue" fld="13"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80F0E-A812-384F-BA5F-3904856CF5DE}" name="PivotTable17" cacheId="6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D7" firstHeaderRow="0" firstDataRow="1" firstDataCol="0"/>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pivotField showAll="0"/>
    <pivotField showAll="0"/>
    <pivotField showAll="0"/>
    <pivotField showAll="0"/>
    <pivotField showAll="0"/>
    <pivotField dataField="1" showAll="0"/>
    <pivotField showAll="0"/>
    <pivotField showAll="0"/>
    <pivotField numFmtId="9" showAll="0"/>
    <pivotField numFmtId="4" showAll="0"/>
    <pivotField dataField="1" numFmtId="3" showAll="0"/>
    <pivotField numFmtId="4" showAll="0"/>
    <pivotField numFmtId="3" showAll="0"/>
    <pivotField dataField="1" numFmtId="3" showAll="0"/>
    <pivotField numFmtId="10"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Items count="1">
    <i/>
  </rowItems>
  <colFields count="1">
    <field x="-2"/>
  </colFields>
  <colItems count="4">
    <i>
      <x/>
    </i>
    <i i="1">
      <x v="1"/>
    </i>
    <i i="2">
      <x v="2"/>
    </i>
    <i i="3">
      <x v="3"/>
    </i>
  </colItems>
  <dataFields count="4">
    <dataField name="Total Revenue" fld="13" baseField="0" baseItem="0" numFmtId="3"/>
    <dataField name="Total Gross Profit " fld="16" baseField="0" baseItem="0" numFmtId="3"/>
    <dataField name="Gross Margin %" fld="22" baseField="0" baseItem="0" numFmtId="10"/>
    <dataField name="Total Unit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71EF06-ABA5-6041-BD05-49AD4E49162E}" name="PivotTable3" cacheId="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9:B23" firstHeaderRow="1"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axis="axisRow" showAll="0">
      <items count="4">
        <item x="1"/>
        <item x="2"/>
        <item x="0"/>
        <item t="default"/>
      </items>
    </pivotField>
    <pivotField showAll="0">
      <items count="4">
        <item x="1"/>
        <item x="2"/>
        <item x="0"/>
        <item t="default"/>
      </items>
    </pivotField>
    <pivotField showAll="0">
      <items count="5">
        <item x="3"/>
        <item x="0"/>
        <item x="1"/>
        <item x="2"/>
        <item t="default"/>
      </items>
    </pivotField>
    <pivotField showAll="0"/>
    <pivotField showAll="0"/>
    <pivotField showAll="0"/>
    <pivotField showAll="0"/>
    <pivotField showAll="0"/>
    <pivotField showAll="0"/>
    <pivotField numFmtId="9" showAll="0"/>
    <pivotField numFmtId="4" showAll="0"/>
    <pivotField dataField="1" numFmtId="4" showAll="0"/>
    <pivotField numFmtId="4" showAll="0"/>
    <pivotField numFmtId="4" showAll="0"/>
    <pivotField numFmtId="4" showAll="0"/>
    <pivotField numFmtId="10"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4">
    <i>
      <x/>
    </i>
    <i>
      <x v="1"/>
    </i>
    <i>
      <x v="2"/>
    </i>
    <i t="grand">
      <x/>
    </i>
  </rowItems>
  <colItems count="1">
    <i/>
  </colItems>
  <dataFields count="1">
    <dataField name="Sum of Revenue" fld="13"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C76BF-9BD6-4548-94C9-EBE5D67068D8}" name="PivotTable2" cacheId="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0:E15" firstHeaderRow="0"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items count="4">
        <item x="1"/>
        <item x="2"/>
        <item x="0"/>
        <item t="default"/>
      </items>
    </pivotField>
    <pivotField showAll="0">
      <items count="4">
        <item x="1"/>
        <item x="2"/>
        <item x="0"/>
        <item t="default"/>
      </items>
    </pivotField>
    <pivotField axis="axisRow" showAll="0">
      <items count="5">
        <item x="3"/>
        <item x="0"/>
        <item x="1"/>
        <item x="2"/>
        <item t="default"/>
      </items>
    </pivotField>
    <pivotField showAll="0"/>
    <pivotField showAll="0"/>
    <pivotField showAll="0"/>
    <pivotField dataField="1" showAll="0"/>
    <pivotField showAll="0"/>
    <pivotField showAll="0"/>
    <pivotField numFmtId="9" showAll="0"/>
    <pivotField showAll="0"/>
    <pivotField dataField="1" showAll="0"/>
    <pivotField showAll="0"/>
    <pivotField showAll="0"/>
    <pivotField dataField="1" showAll="0"/>
    <pivotField numFmtId="10"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4"/>
  </rowFields>
  <rowItems count="5">
    <i>
      <x/>
    </i>
    <i>
      <x v="1"/>
    </i>
    <i>
      <x v="2"/>
    </i>
    <i>
      <x v="3"/>
    </i>
    <i t="grand">
      <x/>
    </i>
  </rowItems>
  <colFields count="1">
    <field x="-2"/>
  </colFields>
  <colItems count="4">
    <i>
      <x/>
    </i>
    <i i="1">
      <x v="1"/>
    </i>
    <i i="2">
      <x v="2"/>
    </i>
    <i i="3">
      <x v="3"/>
    </i>
  </colItems>
  <dataFields count="4">
    <dataField name="Sum of Revenue" fld="13" baseField="0" baseItem="0" numFmtId="3"/>
    <dataField name="Sum of Gross Profit " fld="16" baseField="0" baseItem="0" numFmtId="3"/>
    <dataField name="Gross Margin %" fld="22" baseField="0" baseItem="0" numFmtId="10"/>
    <dataField name="Sum of Units" fld="8" baseField="0" baseItem="0" numFmtId="3"/>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9AAE0E-9742-FD4D-A984-F3B2882BD089}" name="PivotTable5" cacheId="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10:I23" firstHeaderRow="1"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items count="4">
        <item x="1"/>
        <item x="2"/>
        <item x="0"/>
        <item t="default"/>
      </items>
    </pivotField>
    <pivotField showAll="0">
      <items count="4">
        <item x="1"/>
        <item x="2"/>
        <item x="0"/>
        <item t="default"/>
      </items>
    </pivotField>
    <pivotField showAll="0">
      <items count="5">
        <item x="3"/>
        <item x="0"/>
        <item x="1"/>
        <item x="2"/>
        <item t="default"/>
      </items>
    </pivotField>
    <pivotField showAll="0"/>
    <pivotField showAll="0"/>
    <pivotField showAll="0"/>
    <pivotField showAll="0"/>
    <pivotField showAll="0"/>
    <pivotField showAll="0"/>
    <pivotField numFmtId="9" showAll="0"/>
    <pivotField numFmtId="4" showAll="0"/>
    <pivotField dataField="1" numFmtId="4" showAll="0"/>
    <pivotField numFmtId="4" showAll="0"/>
    <pivotField numFmtId="4" showAll="0"/>
    <pivotField numFmtId="4" showAll="0"/>
    <pivotField numFmtId="10"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1"/>
  </rowFields>
  <rowItems count="13">
    <i>
      <x v="1"/>
    </i>
    <i>
      <x v="2"/>
    </i>
    <i>
      <x v="3"/>
    </i>
    <i>
      <x v="4"/>
    </i>
    <i>
      <x v="5"/>
    </i>
    <i>
      <x v="6"/>
    </i>
    <i>
      <x v="7"/>
    </i>
    <i>
      <x v="8"/>
    </i>
    <i>
      <x v="9"/>
    </i>
    <i>
      <x v="10"/>
    </i>
    <i>
      <x v="11"/>
    </i>
    <i>
      <x v="12"/>
    </i>
    <i t="grand">
      <x/>
    </i>
  </rowItems>
  <colItems count="1">
    <i/>
  </colItems>
  <dataFields count="1">
    <dataField name="Sum of Revenue" fld="13"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9DE6F-0B50-734F-B64B-69A4CB6C1B3D}" name="PivotTable7" cacheId="6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G11" firstHeaderRow="0"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pivotField showAll="0"/>
    <pivotField axis="axisRow" showAll="0">
      <items count="5">
        <item x="3"/>
        <item x="0"/>
        <item x="1"/>
        <item x="2"/>
        <item t="default"/>
      </items>
    </pivotField>
    <pivotField showAll="0"/>
    <pivotField showAll="0"/>
    <pivotField showAll="0"/>
    <pivotField dataField="1" showAll="0"/>
    <pivotField showAll="0"/>
    <pivotField showAll="0"/>
    <pivotField numFmtId="9" showAll="0"/>
    <pivotField numFmtId="4" showAll="0"/>
    <pivotField dataField="1" numFmtId="4" showAll="0"/>
    <pivotField numFmtId="4" showAll="0"/>
    <pivotField numFmtId="4" showAll="0"/>
    <pivotField dataField="1" numFmtId="4" showAll="0"/>
    <pivotField numFmtId="10"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4"/>
  </rowFields>
  <rowItems count="5">
    <i>
      <x/>
    </i>
    <i>
      <x v="1"/>
    </i>
    <i>
      <x v="2"/>
    </i>
    <i>
      <x v="3"/>
    </i>
    <i t="grand">
      <x/>
    </i>
  </rowItems>
  <colFields count="1">
    <field x="-2"/>
  </colFields>
  <colItems count="6">
    <i>
      <x/>
    </i>
    <i i="1">
      <x v="1"/>
    </i>
    <i i="2">
      <x v="2"/>
    </i>
    <i i="3">
      <x v="3"/>
    </i>
    <i i="4">
      <x v="4"/>
    </i>
    <i i="5">
      <x v="5"/>
    </i>
  </colItems>
  <dataFields count="6">
    <dataField name="Sum of Revenue" fld="13" baseField="0" baseItem="0" numFmtId="4"/>
    <dataField name="Sum of Gross Profit " fld="16" baseField="0" baseItem="0" numFmtId="4"/>
    <dataField name="Category Revenue" fld="13" showDataAs="percentOfTotal" baseField="0" baseItem="0" numFmtId="10"/>
    <dataField name="Gross Profit Share" fld="16" showDataAs="percentOfTotal" baseField="0" baseItem="0" numFmtId="10"/>
    <dataField name="Gross Margin (By Category)" fld="22" baseField="0" baseItem="0" numFmtId="10"/>
    <dataField name="Sum of Unit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09F3A2-9B04-3B4F-9FFF-7AF890A2DEB9}" name="PivotTable10" cacheId="6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location ref="I6:M11" firstHeaderRow="1" firstDataRow="2"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axis="axisRow" showAll="0">
      <items count="4">
        <item x="1"/>
        <item x="2"/>
        <item x="0"/>
        <item t="default"/>
      </items>
    </pivotField>
    <pivotField axis="axisCol" showAll="0">
      <items count="4">
        <item x="1"/>
        <item x="2"/>
        <item x="0"/>
        <item t="default"/>
      </items>
    </pivotField>
    <pivotField showAll="0"/>
    <pivotField showAll="0"/>
    <pivotField showAll="0"/>
    <pivotField showAll="0"/>
    <pivotField showAll="0"/>
    <pivotField showAll="0"/>
    <pivotField showAll="0"/>
    <pivotField numFmtId="9" showAll="0"/>
    <pivotField numFmtId="4" showAll="0"/>
    <pivotField numFmtId="3" showAll="0"/>
    <pivotField numFmtId="4" showAll="0"/>
    <pivotField numFmtId="3" showAll="0"/>
    <pivotField numFmtId="3" showAll="0"/>
    <pivotField numFmtId="10"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x v="1"/>
    </i>
    <i>
      <x v="2"/>
    </i>
    <i t="grand">
      <x/>
    </i>
  </rowItems>
  <colFields count="1">
    <field x="3"/>
  </colFields>
  <colItems count="4">
    <i>
      <x/>
    </i>
    <i>
      <x v="1"/>
    </i>
    <i>
      <x v="2"/>
    </i>
    <i t="grand">
      <x/>
    </i>
  </colItems>
  <dataFields count="1">
    <dataField name="Gross Margin %" fld="22" baseField="0" baseItem="0" numFmtId="10"/>
  </dataFields>
  <chartFormats count="6">
    <chartFormat chart="0" format="3" series="1">
      <pivotArea type="data" outline="0" fieldPosition="0">
        <references count="1">
          <reference field="3" count="1" selected="0">
            <x v="0"/>
          </reference>
        </references>
      </pivotArea>
    </chartFormat>
    <chartFormat chart="0" format="4" series="1">
      <pivotArea type="data" outline="0" fieldPosition="0">
        <references count="1">
          <reference field="3" count="1" selected="0">
            <x v="1"/>
          </reference>
        </references>
      </pivotArea>
    </chartFormat>
    <chartFormat chart="0" format="5" series="1">
      <pivotArea type="data" outline="0" fieldPosition="0">
        <references count="1">
          <reference field="3" count="1" selected="0">
            <x v="2"/>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7A1FF4-269D-4F45-8132-D0306CCEB219}" name="PivotTable9" cacheId="6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A6:E11" firstHeaderRow="1" firstDataRow="2"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axis="axisRow" showAll="0">
      <items count="4">
        <item x="1"/>
        <item x="2"/>
        <item x="0"/>
        <item t="default"/>
      </items>
    </pivotField>
    <pivotField axis="axisCol" showAll="0">
      <items count="4">
        <item x="1"/>
        <item x="2"/>
        <item x="0"/>
        <item t="default"/>
      </items>
    </pivotField>
    <pivotField showAll="0"/>
    <pivotField showAll="0"/>
    <pivotField showAll="0"/>
    <pivotField showAll="0"/>
    <pivotField showAll="0"/>
    <pivotField showAll="0"/>
    <pivotField showAll="0"/>
    <pivotField numFmtId="9" showAll="0"/>
    <pivotField numFmtId="4" showAll="0"/>
    <pivotField dataField="1" numFmtId="3" showAll="0"/>
    <pivotField numFmtId="4" showAll="0"/>
    <pivotField numFmtId="3" showAll="0"/>
    <pivotField numFmtId="3" showAll="0"/>
    <pivotField numFmtId="10"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4">
    <i>
      <x/>
    </i>
    <i>
      <x v="1"/>
    </i>
    <i>
      <x v="2"/>
    </i>
    <i t="grand">
      <x/>
    </i>
  </rowItems>
  <colFields count="1">
    <field x="3"/>
  </colFields>
  <colItems count="4">
    <i>
      <x/>
    </i>
    <i>
      <x v="1"/>
    </i>
    <i>
      <x v="2"/>
    </i>
    <i t="grand">
      <x/>
    </i>
  </colItems>
  <dataFields count="1">
    <dataField name="Sum of Revenue" fld="13" baseField="0" baseItem="0" numFmtId="3"/>
  </dataField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52CABE-65D6-2A42-A9D1-DC44D583B98E}" name="PivotTable1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1" firstHeaderRow="0"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pivotField showAll="0"/>
    <pivotField showAll="0"/>
    <pivotField showAll="0"/>
    <pivotField showAll="0"/>
    <pivotField showAll="0"/>
    <pivotField dataField="1" showAll="0"/>
    <pivotField showAll="0"/>
    <pivotField showAll="0"/>
    <pivotField numFmtId="9" showAll="0"/>
    <pivotField numFmtId="4" showAll="0"/>
    <pivotField dataField="1" numFmtId="3" showAll="0"/>
    <pivotField numFmtId="4" showAll="0"/>
    <pivotField numFmtId="3" showAll="0"/>
    <pivotField dataField="1" numFmtId="3" showAll="0"/>
    <pivotField numFmtId="10" showAll="0"/>
    <pivotField axis="axisRow" showAll="0" sortType="descending">
      <items count="5">
        <item x="1"/>
        <item x="3"/>
        <item x="0"/>
        <item x="2"/>
        <item t="default"/>
      </items>
      <autoSortScope>
        <pivotArea dataOnly="0" outline="0" fieldPosition="0">
          <references count="1">
            <reference field="4294967294" count="1" selected="0">
              <x v="3"/>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8"/>
  </rowFields>
  <rowItems count="5">
    <i>
      <x v="2"/>
    </i>
    <i>
      <x v="1"/>
    </i>
    <i>
      <x/>
    </i>
    <i>
      <x v="3"/>
    </i>
    <i t="grand">
      <x/>
    </i>
  </rowItems>
  <colFields count="1">
    <field x="-2"/>
  </colFields>
  <colItems count="4">
    <i>
      <x/>
    </i>
    <i i="1">
      <x v="1"/>
    </i>
    <i i="2">
      <x v="2"/>
    </i>
    <i i="3">
      <x v="3"/>
    </i>
  </colItems>
  <dataFields count="4">
    <dataField name="Sum of Units" fld="8" baseField="0" baseItem="0"/>
    <dataField name="Sum of Revenue" fld="13" baseField="0" baseItem="0" numFmtId="3"/>
    <dataField name="Sum of Gross Profit " fld="16" baseField="0" baseItem="0" numFmtId="3"/>
    <dataField name="Gross Margin %" fld="2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27A8C5-5105-1E46-A624-D0FC74D45372}" name="PivotTable14" cacheId="6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6:F8" firstHeaderRow="0" firstDataRow="1"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pivotField showAll="0"/>
    <pivotField showAll="0">
      <items count="5">
        <item x="3"/>
        <item x="0"/>
        <item x="1"/>
        <item x="2"/>
        <item t="default"/>
      </items>
    </pivotField>
    <pivotField showAll="0"/>
    <pivotField showAll="0"/>
    <pivotField showAll="0"/>
    <pivotField dataField="1" showAll="0"/>
    <pivotField showAll="0"/>
    <pivotField axis="axisRow" showAll="0">
      <items count="3">
        <item x="0"/>
        <item x="1"/>
        <item t="default"/>
      </items>
    </pivotField>
    <pivotField numFmtId="9" showAll="0"/>
    <pivotField numFmtId="4" showAll="0"/>
    <pivotField dataField="1" numFmtId="3" showAll="0"/>
    <pivotField numFmtId="4" showAll="0"/>
    <pivotField numFmtId="3" showAll="0"/>
    <pivotField dataField="1" numFmtId="3" showAll="0"/>
    <pivotField numFmtId="10" showAll="0"/>
    <pivotField showAll="0">
      <items count="5">
        <item x="2"/>
        <item x="0"/>
        <item x="3"/>
        <item x="1"/>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0"/>
  </rowFields>
  <rowItems count="2">
    <i>
      <x/>
    </i>
    <i>
      <x v="1"/>
    </i>
  </rowItems>
  <colFields count="1">
    <field x="-2"/>
  </colFields>
  <colItems count="5">
    <i>
      <x/>
    </i>
    <i i="1">
      <x v="1"/>
    </i>
    <i i="2">
      <x v="2"/>
    </i>
    <i i="3">
      <x v="3"/>
    </i>
    <i i="4">
      <x v="4"/>
    </i>
  </colItems>
  <dataFields count="5">
    <dataField name="Sum of Revenue" fld="13" baseField="0" baseItem="0" numFmtId="3"/>
    <dataField name="Sum of Gross Profit " fld="16" baseField="0" baseItem="0" numFmtId="3"/>
    <dataField name="Gross Margin %" fld="22" baseField="0" baseItem="0" numFmtId="10"/>
    <dataField name="Sum of Promotion Cost" fld="19" baseField="0" baseItem="0" numFmtId="3"/>
    <dataField name="Sum of Units" fld="8" baseField="0" baseItem="0"/>
  </dataFields>
  <chartFormats count="15">
    <chartFormat chart="0" format="5"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2"/>
          </reference>
        </references>
      </pivotArea>
    </chartFormat>
    <chartFormat chart="0" format="12" series="1">
      <pivotArea type="data" outline="0" fieldPosition="0">
        <references count="1">
          <reference field="4294967294" count="1" selected="0">
            <x v="3"/>
          </reference>
        </references>
      </pivotArea>
    </chartFormat>
    <chartFormat chart="0" format="13" series="1">
      <pivotArea type="data" outline="0" fieldPosition="0">
        <references count="1">
          <reference field="4294967294" count="1" selected="0">
            <x v="4"/>
          </reference>
        </references>
      </pivotArea>
    </chartFormat>
    <chartFormat chart="0" format="14">
      <pivotArea type="data" outline="0" fieldPosition="0">
        <references count="2">
          <reference field="4294967294" count="1" selected="0">
            <x v="0"/>
          </reference>
          <reference field="10" count="1" selected="0">
            <x v="0"/>
          </reference>
        </references>
      </pivotArea>
    </chartFormat>
    <chartFormat chart="0" format="15">
      <pivotArea type="data" outline="0" fieldPosition="0">
        <references count="2">
          <reference field="4294967294" count="1" selected="0">
            <x v="0"/>
          </reference>
          <reference field="10" count="1" selected="0">
            <x v="1"/>
          </reference>
        </references>
      </pivotArea>
    </chartFormat>
    <chartFormat chart="0" format="16">
      <pivotArea type="data" outline="0" fieldPosition="0">
        <references count="2">
          <reference field="4294967294" count="1" selected="0">
            <x v="1"/>
          </reference>
          <reference field="10" count="1" selected="0">
            <x v="0"/>
          </reference>
        </references>
      </pivotArea>
    </chartFormat>
    <chartFormat chart="0" format="17">
      <pivotArea type="data" outline="0" fieldPosition="0">
        <references count="2">
          <reference field="4294967294" count="1" selected="0">
            <x v="1"/>
          </reference>
          <reference field="10" count="1" selected="0">
            <x v="1"/>
          </reference>
        </references>
      </pivotArea>
    </chartFormat>
    <chartFormat chart="0" format="18">
      <pivotArea type="data" outline="0" fieldPosition="0">
        <references count="2">
          <reference field="4294967294" count="1" selected="0">
            <x v="2"/>
          </reference>
          <reference field="10" count="1" selected="0">
            <x v="0"/>
          </reference>
        </references>
      </pivotArea>
    </chartFormat>
    <chartFormat chart="0" format="19">
      <pivotArea type="data" outline="0" fieldPosition="0">
        <references count="2">
          <reference field="4294967294" count="1" selected="0">
            <x v="2"/>
          </reference>
          <reference field="10" count="1" selected="0">
            <x v="1"/>
          </reference>
        </references>
      </pivotArea>
    </chartFormat>
    <chartFormat chart="0" format="20">
      <pivotArea type="data" outline="0" fieldPosition="0">
        <references count="2">
          <reference field="4294967294" count="1" selected="0">
            <x v="3"/>
          </reference>
          <reference field="10" count="1" selected="0">
            <x v="0"/>
          </reference>
        </references>
      </pivotArea>
    </chartFormat>
    <chartFormat chart="0" format="21">
      <pivotArea type="data" outline="0" fieldPosition="0">
        <references count="2">
          <reference field="4294967294" count="1" selected="0">
            <x v="3"/>
          </reference>
          <reference field="10" count="1" selected="0">
            <x v="1"/>
          </reference>
        </references>
      </pivotArea>
    </chartFormat>
    <chartFormat chart="0" format="22">
      <pivotArea type="data" outline="0" fieldPosition="0">
        <references count="2">
          <reference field="4294967294" count="1" selected="0">
            <x v="4"/>
          </reference>
          <reference field="10" count="1" selected="0">
            <x v="0"/>
          </reference>
        </references>
      </pivotArea>
    </chartFormat>
    <chartFormat chart="0" format="23">
      <pivotArea type="data" outline="0" fieldPosition="0">
        <references count="2">
          <reference field="4294967294" count="1" selected="0">
            <x v="4"/>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5C6EA4-2768-3B43-BD45-75412F104732}" name="PivotTable16" cacheId="6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0:E35" firstHeaderRow="1" firstDataRow="2" firstDataCol="1"/>
  <pivotFields count="23">
    <pivotField showAll="0"/>
    <pivotField numFmtId="14" showAll="0">
      <items count="1001">
        <item x="261"/>
        <item x="347"/>
        <item x="439"/>
        <item x="869"/>
        <item x="103"/>
        <item x="992"/>
        <item x="981"/>
        <item x="789"/>
        <item x="425"/>
        <item x="306"/>
        <item x="675"/>
        <item x="842"/>
        <item x="374"/>
        <item x="42"/>
        <item x="924"/>
        <item x="11"/>
        <item x="0"/>
        <item x="821"/>
        <item x="721"/>
        <item x="654"/>
        <item x="263"/>
        <item x="126"/>
        <item x="456"/>
        <item x="107"/>
        <item x="351"/>
        <item x="153"/>
        <item x="800"/>
        <item x="954"/>
        <item x="457"/>
        <item x="50"/>
        <item x="649"/>
        <item x="446"/>
        <item x="114"/>
        <item x="420"/>
        <item x="421"/>
        <item x="449"/>
        <item x="362"/>
        <item x="383"/>
        <item x="412"/>
        <item x="101"/>
        <item x="367"/>
        <item x="81"/>
        <item x="882"/>
        <item x="519"/>
        <item x="629"/>
        <item x="97"/>
        <item x="628"/>
        <item x="513"/>
        <item x="734"/>
        <item x="361"/>
        <item x="115"/>
        <item x="651"/>
        <item x="10"/>
        <item x="206"/>
        <item x="932"/>
        <item x="769"/>
        <item x="79"/>
        <item x="634"/>
        <item x="489"/>
        <item x="583"/>
        <item x="945"/>
        <item x="17"/>
        <item x="401"/>
        <item x="120"/>
        <item x="208"/>
        <item x="548"/>
        <item x="144"/>
        <item x="551"/>
        <item x="154"/>
        <item x="916"/>
        <item x="121"/>
        <item x="700"/>
        <item x="254"/>
        <item x="617"/>
        <item x="957"/>
        <item x="300"/>
        <item x="360"/>
        <item x="715"/>
        <item x="965"/>
        <item x="804"/>
        <item x="232"/>
        <item x="819"/>
        <item x="970"/>
        <item x="135"/>
        <item x="209"/>
        <item x="450"/>
        <item x="69"/>
        <item x="147"/>
        <item x="779"/>
        <item x="14"/>
        <item x="958"/>
        <item x="699"/>
        <item x="186"/>
        <item x="652"/>
        <item x="330"/>
        <item x="929"/>
        <item x="463"/>
        <item x="814"/>
        <item x="607"/>
        <item x="917"/>
        <item x="830"/>
        <item x="585"/>
        <item x="815"/>
        <item x="229"/>
        <item x="706"/>
        <item x="414"/>
        <item x="813"/>
        <item x="221"/>
        <item x="580"/>
        <item x="477"/>
        <item x="312"/>
        <item x="124"/>
        <item x="46"/>
        <item x="550"/>
        <item x="630"/>
        <item x="586"/>
        <item x="199"/>
        <item x="358"/>
        <item x="885"/>
        <item x="642"/>
        <item x="404"/>
        <item x="592"/>
        <item x="321"/>
        <item x="688"/>
        <item x="681"/>
        <item x="469"/>
        <item x="618"/>
        <item x="858"/>
        <item x="399"/>
        <item x="460"/>
        <item x="986"/>
        <item x="778"/>
        <item x="48"/>
        <item x="157"/>
        <item x="941"/>
        <item x="922"/>
        <item x="589"/>
        <item x="384"/>
        <item x="593"/>
        <item x="844"/>
        <item x="832"/>
        <item x="878"/>
        <item x="900"/>
        <item x="764"/>
        <item x="238"/>
        <item x="307"/>
        <item x="437"/>
        <item x="127"/>
        <item x="504"/>
        <item x="29"/>
        <item x="676"/>
        <item x="364"/>
        <item x="392"/>
        <item x="217"/>
        <item x="96"/>
        <item x="334"/>
        <item x="390"/>
        <item x="423"/>
        <item x="716"/>
        <item x="290"/>
        <item x="503"/>
        <item x="759"/>
        <item x="485"/>
        <item x="433"/>
        <item x="598"/>
        <item x="163"/>
        <item x="226"/>
        <item x="743"/>
        <item x="588"/>
        <item x="176"/>
        <item x="920"/>
        <item x="197"/>
        <item x="241"/>
        <item x="311"/>
        <item x="691"/>
        <item x="987"/>
        <item x="112"/>
        <item x="534"/>
        <item x="202"/>
        <item x="940"/>
        <item x="612"/>
        <item x="770"/>
        <item x="78"/>
        <item x="817"/>
        <item x="288"/>
        <item x="773"/>
        <item x="687"/>
        <item x="783"/>
        <item x="228"/>
        <item x="113"/>
        <item x="877"/>
        <item x="824"/>
        <item x="606"/>
        <item x="641"/>
        <item x="661"/>
        <item x="462"/>
        <item x="483"/>
        <item x="729"/>
        <item x="517"/>
        <item x="473"/>
        <item x="625"/>
        <item x="874"/>
        <item x="562"/>
        <item x="553"/>
        <item x="310"/>
        <item x="852"/>
        <item x="955"/>
        <item x="547"/>
        <item x="291"/>
        <item x="429"/>
        <item x="34"/>
        <item x="976"/>
        <item x="132"/>
        <item x="569"/>
        <item x="298"/>
        <item x="33"/>
        <item x="400"/>
        <item x="299"/>
        <item x="216"/>
        <item x="685"/>
        <item x="159"/>
        <item x="713"/>
        <item x="795"/>
        <item x="145"/>
        <item x="244"/>
        <item x="697"/>
        <item x="438"/>
        <item x="138"/>
        <item x="106"/>
        <item x="735"/>
        <item x="826"/>
        <item x="870"/>
        <item x="522"/>
        <item x="711"/>
        <item x="624"/>
        <item x="701"/>
        <item x="305"/>
        <item x="757"/>
        <item x="72"/>
        <item x="243"/>
        <item x="978"/>
        <item x="969"/>
        <item x="684"/>
        <item x="162"/>
        <item x="161"/>
        <item x="984"/>
        <item x="205"/>
        <item x="866"/>
        <item x="443"/>
        <item x="887"/>
        <item x="884"/>
        <item x="921"/>
        <item x="566"/>
        <item x="742"/>
        <item x="136"/>
        <item x="279"/>
        <item x="949"/>
        <item x="620"/>
        <item x="662"/>
        <item x="737"/>
        <item x="180"/>
        <item x="388"/>
        <item x="393"/>
        <item x="328"/>
        <item x="561"/>
        <item x="988"/>
        <item x="394"/>
        <item x="140"/>
        <item x="837"/>
        <item x="956"/>
        <item x="276"/>
        <item x="621"/>
        <item x="432"/>
        <item x="765"/>
        <item x="823"/>
        <item x="177"/>
        <item x="326"/>
        <item x="749"/>
        <item x="828"/>
        <item x="806"/>
        <item x="725"/>
        <item x="479"/>
        <item x="578"/>
        <item x="960"/>
        <item x="295"/>
        <item x="645"/>
        <item x="251"/>
        <item x="195"/>
        <item x="664"/>
        <item x="671"/>
        <item x="213"/>
        <item x="722"/>
        <item x="505"/>
        <item x="409"/>
        <item x="224"/>
        <item x="698"/>
        <item x="467"/>
        <item x="573"/>
        <item x="387"/>
        <item x="270"/>
        <item x="363"/>
        <item x="491"/>
        <item x="391"/>
        <item x="192"/>
        <item x="996"/>
        <item x="616"/>
        <item x="667"/>
        <item x="595"/>
        <item x="705"/>
        <item x="639"/>
        <item x="445"/>
        <item x="719"/>
        <item x="28"/>
        <item x="673"/>
        <item x="222"/>
        <item x="894"/>
        <item x="708"/>
        <item x="990"/>
        <item x="111"/>
        <item x="368"/>
        <item x="156"/>
        <item x="799"/>
        <item x="60"/>
        <item x="939"/>
        <item x="220"/>
        <item x="322"/>
        <item x="798"/>
        <item x="94"/>
        <item x="215"/>
        <item x="851"/>
        <item x="476"/>
        <item x="726"/>
        <item x="133"/>
        <item x="655"/>
        <item x="863"/>
        <item x="925"/>
        <item x="950"/>
        <item x="187"/>
        <item x="557"/>
        <item x="365"/>
        <item x="160"/>
        <item x="117"/>
        <item x="670"/>
        <item x="907"/>
        <item x="730"/>
        <item x="61"/>
        <item x="282"/>
        <item x="792"/>
        <item x="486"/>
        <item x="303"/>
        <item x="386"/>
        <item x="174"/>
        <item x="54"/>
        <item x="440"/>
        <item x="116"/>
        <item x="514"/>
        <item x="640"/>
        <item x="790"/>
        <item x="52"/>
        <item x="100"/>
        <item x="605"/>
        <item x="85"/>
        <item x="26"/>
        <item x="488"/>
        <item x="936"/>
        <item x="102"/>
        <item x="68"/>
        <item x="521"/>
        <item x="389"/>
        <item x="872"/>
        <item x="301"/>
        <item x="319"/>
        <item x="558"/>
        <item x="508"/>
        <item x="227"/>
        <item x="581"/>
        <item x="58"/>
        <item x="481"/>
        <item x="518"/>
        <item x="434"/>
        <item x="927"/>
        <item x="55"/>
        <item x="356"/>
        <item x="188"/>
        <item x="615"/>
        <item x="768"/>
        <item x="82"/>
        <item x="468"/>
        <item x="776"/>
        <item x="626"/>
        <item x="480"/>
        <item x="70"/>
        <item x="762"/>
        <item x="546"/>
        <item x="766"/>
        <item x="314"/>
        <item x="559"/>
        <item x="897"/>
        <item x="458"/>
        <item x="973"/>
        <item x="343"/>
        <item x="763"/>
        <item x="40"/>
        <item x="168"/>
        <item x="601"/>
        <item x="710"/>
        <item x="231"/>
        <item x="784"/>
        <item x="577"/>
        <item x="324"/>
        <item x="376"/>
        <item x="338"/>
        <item x="293"/>
        <item x="751"/>
        <item x="909"/>
        <item x="130"/>
        <item x="582"/>
        <item x="493"/>
        <item x="348"/>
        <item x="267"/>
        <item x="487"/>
        <item x="233"/>
        <item x="7"/>
        <item x="808"/>
        <item x="193"/>
        <item x="320"/>
        <item x="856"/>
        <item x="104"/>
        <item x="656"/>
        <item x="669"/>
        <item x="37"/>
        <item x="253"/>
        <item x="344"/>
        <item x="341"/>
        <item x="680"/>
        <item x="318"/>
        <item x="829"/>
        <item x="555"/>
        <item x="148"/>
        <item x="861"/>
        <item x="532"/>
        <item x="565"/>
        <item x="75"/>
        <item x="694"/>
        <item x="564"/>
        <item x="962"/>
        <item x="51"/>
        <item x="822"/>
        <item x="422"/>
        <item x="164"/>
        <item x="511"/>
        <item x="807"/>
        <item x="809"/>
        <item x="382"/>
        <item x="9"/>
        <item x="359"/>
        <item x="883"/>
        <item x="791"/>
        <item x="840"/>
        <item x="1"/>
        <item x="142"/>
        <item x="793"/>
        <item x="308"/>
        <item x="915"/>
        <item x="39"/>
        <item x="214"/>
        <item x="530"/>
        <item x="141"/>
        <item x="494"/>
        <item x="265"/>
        <item x="689"/>
        <item x="250"/>
        <item x="560"/>
        <item x="500"/>
        <item x="340"/>
        <item x="658"/>
        <item x="579"/>
        <item x="464"/>
        <item x="418"/>
        <item x="53"/>
        <item x="707"/>
        <item x="507"/>
        <item x="772"/>
        <item x="696"/>
        <item x="378"/>
        <item x="738"/>
        <item x="910"/>
        <item x="381"/>
        <item x="850"/>
        <item x="98"/>
        <item x="859"/>
        <item x="653"/>
        <item x="740"/>
        <item x="225"/>
        <item x="896"/>
        <item x="975"/>
        <item x="149"/>
        <item x="62"/>
        <item x="540"/>
        <item x="325"/>
        <item x="648"/>
        <item x="444"/>
        <item x="903"/>
        <item x="650"/>
        <item x="786"/>
        <item x="974"/>
        <item x="428"/>
        <item x="544"/>
        <item x="65"/>
        <item x="181"/>
        <item x="277"/>
        <item x="554"/>
        <item x="934"/>
        <item x="27"/>
        <item x="623"/>
        <item x="259"/>
        <item x="20"/>
        <item x="178"/>
        <item x="110"/>
        <item x="246"/>
        <item x="63"/>
        <item x="674"/>
        <item x="891"/>
        <item x="175"/>
        <item x="947"/>
        <item x="728"/>
        <item x="657"/>
        <item x="556"/>
        <item x="633"/>
        <item x="512"/>
        <item x="919"/>
        <item x="43"/>
        <item x="459"/>
        <item x="533"/>
        <item x="398"/>
        <item x="572"/>
        <item x="183"/>
        <item x="332"/>
        <item x="587"/>
        <item x="230"/>
        <item x="944"/>
        <item x="297"/>
        <item x="816"/>
        <item x="985"/>
        <item x="967"/>
        <item x="714"/>
        <item x="886"/>
        <item x="119"/>
        <item x="245"/>
        <item x="774"/>
        <item x="128"/>
        <item x="234"/>
        <item x="167"/>
        <item x="264"/>
        <item x="47"/>
        <item x="898"/>
        <item x="753"/>
        <item x="146"/>
        <item x="56"/>
        <item x="568"/>
        <item x="736"/>
        <item x="591"/>
        <item x="173"/>
        <item x="427"/>
        <item x="663"/>
        <item x="510"/>
        <item x="122"/>
        <item x="767"/>
        <item x="329"/>
        <item x="44"/>
        <item x="865"/>
        <item x="717"/>
        <item x="339"/>
        <item x="294"/>
        <item x="86"/>
        <item x="436"/>
        <item x="834"/>
        <item x="18"/>
        <item x="155"/>
        <item x="679"/>
        <item x="372"/>
        <item x="31"/>
        <item x="677"/>
        <item x="377"/>
        <item x="134"/>
        <item x="369"/>
        <item x="67"/>
        <item x="218"/>
        <item x="335"/>
        <item x="292"/>
        <item x="240"/>
        <item x="848"/>
        <item x="979"/>
        <item x="38"/>
        <item x="89"/>
        <item x="151"/>
        <item x="158"/>
        <item x="137"/>
        <item x="430"/>
        <item x="397"/>
        <item x="964"/>
        <item x="538"/>
        <item x="285"/>
        <item x="933"/>
        <item x="797"/>
        <item x="843"/>
        <item x="631"/>
        <item x="200"/>
        <item x="739"/>
        <item x="49"/>
        <item x="926"/>
        <item x="36"/>
        <item x="337"/>
        <item x="23"/>
        <item x="724"/>
        <item x="526"/>
        <item x="594"/>
        <item x="545"/>
        <item x="260"/>
        <item x="77"/>
        <item x="266"/>
        <item x="527"/>
        <item x="182"/>
        <item x="632"/>
        <item x="997"/>
        <item x="461"/>
        <item x="189"/>
        <item x="604"/>
        <item x="76"/>
        <item x="302"/>
        <item x="403"/>
        <item x="881"/>
        <item x="835"/>
        <item x="304"/>
        <item x="818"/>
        <item x="105"/>
        <item x="775"/>
        <item x="686"/>
        <item x="999"/>
        <item x="395"/>
        <item x="968"/>
        <item x="875"/>
        <item x="972"/>
        <item x="350"/>
        <item x="499"/>
        <item x="613"/>
        <item x="951"/>
        <item x="989"/>
        <item x="535"/>
        <item x="5"/>
        <item x="744"/>
        <item x="452"/>
        <item x="204"/>
        <item x="83"/>
        <item x="905"/>
        <item x="695"/>
        <item x="15"/>
        <item x="357"/>
        <item x="723"/>
        <item x="961"/>
        <item x="838"/>
        <item x="371"/>
        <item x="854"/>
        <item x="190"/>
        <item x="831"/>
        <item x="66"/>
        <item x="801"/>
        <item x="574"/>
        <item x="750"/>
        <item x="509"/>
        <item x="935"/>
        <item x="796"/>
        <item x="785"/>
        <item x="495"/>
        <item x="118"/>
        <item x="87"/>
        <item x="523"/>
        <item x="614"/>
        <item x="918"/>
        <item x="811"/>
        <item x="271"/>
        <item x="207"/>
        <item x="731"/>
        <item x="860"/>
        <item x="169"/>
        <item x="660"/>
        <item x="447"/>
        <item x="273"/>
        <item x="802"/>
        <item x="280"/>
        <item x="501"/>
        <item x="755"/>
        <item x="45"/>
        <item x="352"/>
        <item x="466"/>
        <item x="895"/>
        <item x="196"/>
        <item x="788"/>
        <item x="930"/>
        <item x="520"/>
        <item x="211"/>
        <item x="410"/>
        <item x="712"/>
        <item x="415"/>
        <item x="862"/>
        <item x="646"/>
        <item x="284"/>
        <item x="754"/>
        <item x="570"/>
        <item x="998"/>
        <item x="316"/>
        <item x="165"/>
        <item x="937"/>
        <item x="787"/>
        <item x="747"/>
        <item x="890"/>
        <item x="575"/>
        <item x="346"/>
        <item x="600"/>
        <item x="35"/>
        <item x="539"/>
        <item x="370"/>
        <item x="262"/>
        <item x="236"/>
        <item x="32"/>
        <item x="497"/>
        <item x="247"/>
        <item x="8"/>
        <item x="966"/>
        <item x="857"/>
        <item x="643"/>
        <item x="810"/>
        <item x="349"/>
        <item x="868"/>
        <item x="402"/>
        <item x="248"/>
        <item x="210"/>
        <item x="345"/>
        <item x="563"/>
        <item x="880"/>
        <item x="108"/>
        <item x="524"/>
        <item x="203"/>
        <item x="379"/>
        <item x="465"/>
        <item x="692"/>
        <item x="74"/>
        <item x="123"/>
        <item x="943"/>
        <item x="172"/>
        <item x="323"/>
        <item x="608"/>
        <item x="619"/>
        <item x="484"/>
        <item x="419"/>
        <item x="152"/>
        <item x="839"/>
        <item x="611"/>
        <item x="498"/>
        <item x="274"/>
        <item x="19"/>
        <item x="16"/>
        <item x="841"/>
        <item x="490"/>
        <item x="904"/>
        <item x="836"/>
        <item x="315"/>
        <item x="525"/>
        <item x="902"/>
        <item x="760"/>
        <item x="516"/>
        <item x="977"/>
        <item x="13"/>
        <item x="567"/>
        <item x="375"/>
        <item x="492"/>
        <item x="959"/>
        <item x="73"/>
        <item x="475"/>
        <item x="971"/>
        <item x="166"/>
        <item x="855"/>
        <item x="994"/>
        <item x="354"/>
        <item x="84"/>
        <item x="794"/>
        <item x="602"/>
        <item x="846"/>
        <item x="690"/>
        <item x="219"/>
        <item x="405"/>
        <item x="871"/>
        <item x="139"/>
        <item x="609"/>
        <item x="693"/>
        <item x="478"/>
        <item x="406"/>
        <item x="99"/>
        <item x="24"/>
        <item x="482"/>
        <item x="131"/>
        <item x="91"/>
        <item x="748"/>
        <item x="64"/>
        <item x="296"/>
        <item x="704"/>
        <item x="416"/>
        <item x="741"/>
        <item x="515"/>
        <item x="441"/>
        <item x="590"/>
        <item x="411"/>
        <item x="22"/>
        <item x="635"/>
        <item x="256"/>
        <item x="599"/>
        <item x="179"/>
        <item x="355"/>
        <item x="502"/>
        <item x="366"/>
        <item x="171"/>
        <item x="952"/>
        <item x="201"/>
        <item x="313"/>
        <item x="185"/>
        <item x="983"/>
        <item x="683"/>
        <item x="57"/>
        <item x="864"/>
        <item x="275"/>
        <item x="845"/>
        <item x="876"/>
        <item x="827"/>
        <item x="849"/>
        <item x="198"/>
        <item x="980"/>
        <item x="4"/>
        <item x="252"/>
        <item x="781"/>
        <item x="820"/>
        <item x="666"/>
        <item x="283"/>
        <item x="255"/>
        <item x="873"/>
        <item x="771"/>
        <item x="506"/>
        <item x="90"/>
        <item x="908"/>
        <item x="709"/>
        <item x="455"/>
        <item x="638"/>
        <item x="396"/>
        <item x="150"/>
        <item x="946"/>
        <item x="682"/>
        <item x="258"/>
        <item x="899"/>
        <item x="281"/>
        <item x="71"/>
        <item x="906"/>
        <item x="892"/>
        <item x="636"/>
        <item x="92"/>
        <item x="541"/>
        <item x="853"/>
        <item x="453"/>
        <item x="380"/>
        <item x="408"/>
        <item x="41"/>
        <item x="331"/>
        <item x="571"/>
        <item x="777"/>
        <item x="531"/>
        <item x="3"/>
        <item x="272"/>
        <item x="637"/>
        <item x="888"/>
        <item x="385"/>
        <item x="963"/>
        <item x="184"/>
        <item x="718"/>
        <item x="407"/>
        <item x="596"/>
        <item x="702"/>
        <item x="913"/>
        <item x="668"/>
        <item x="529"/>
        <item x="496"/>
        <item x="59"/>
        <item x="6"/>
        <item x="659"/>
        <item x="542"/>
        <item x="470"/>
        <item x="317"/>
        <item x="309"/>
        <item x="80"/>
        <item x="88"/>
        <item x="129"/>
        <item x="472"/>
        <item x="242"/>
        <item x="442"/>
        <item x="249"/>
        <item x="431"/>
        <item x="454"/>
        <item x="576"/>
        <item x="647"/>
        <item x="780"/>
        <item x="597"/>
        <item x="938"/>
        <item x="948"/>
        <item x="901"/>
        <item x="125"/>
        <item x="451"/>
        <item x="327"/>
        <item x="536"/>
        <item x="803"/>
        <item x="923"/>
        <item x="278"/>
        <item x="448"/>
        <item x="12"/>
        <item x="413"/>
        <item x="289"/>
        <item x="665"/>
        <item x="223"/>
        <item x="191"/>
        <item x="752"/>
        <item x="257"/>
        <item x="170"/>
        <item x="733"/>
        <item x="239"/>
        <item x="982"/>
        <item x="549"/>
        <item x="471"/>
        <item x="732"/>
        <item x="928"/>
        <item x="2"/>
        <item x="782"/>
        <item x="342"/>
        <item x="703"/>
        <item x="537"/>
        <item x="336"/>
        <item x="353"/>
        <item x="603"/>
        <item x="435"/>
        <item x="268"/>
        <item x="931"/>
        <item x="893"/>
        <item x="942"/>
        <item x="833"/>
        <item x="672"/>
        <item x="93"/>
        <item x="333"/>
        <item x="109"/>
        <item x="235"/>
        <item x="373"/>
        <item x="194"/>
        <item x="25"/>
        <item x="21"/>
        <item x="424"/>
        <item x="417"/>
        <item x="474"/>
        <item x="286"/>
        <item x="746"/>
        <item x="879"/>
        <item x="914"/>
        <item x="627"/>
        <item x="678"/>
        <item x="758"/>
        <item x="720"/>
        <item x="552"/>
        <item x="812"/>
        <item x="543"/>
        <item x="953"/>
        <item x="912"/>
        <item x="825"/>
        <item x="30"/>
        <item x="237"/>
        <item x="622"/>
        <item x="993"/>
        <item x="756"/>
        <item x="995"/>
        <item x="644"/>
        <item x="212"/>
        <item x="143"/>
        <item x="528"/>
        <item x="584"/>
        <item x="287"/>
        <item x="911"/>
        <item x="847"/>
        <item x="761"/>
        <item x="991"/>
        <item x="867"/>
        <item x="610"/>
        <item x="426"/>
        <item x="889"/>
        <item x="745"/>
        <item x="95"/>
        <item x="269"/>
        <item x="805"/>
        <item x="727"/>
        <item t="default"/>
      </items>
    </pivotField>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numFmtId="9" showAll="0"/>
    <pivotField numFmtId="4" showAll="0"/>
    <pivotField numFmtId="3" showAll="0"/>
    <pivotField numFmtId="4" showAll="0"/>
    <pivotField numFmtId="3" showAll="0"/>
    <pivotField numFmtId="3" showAll="0"/>
    <pivotField numFmtId="10" showAll="0"/>
    <pivotField axis="axisCol" showAll="0">
      <items count="5">
        <item x="2"/>
        <item x="0"/>
        <item x="3"/>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4"/>
  </rowFields>
  <rowItems count="4">
    <i>
      <x/>
    </i>
    <i>
      <x v="1"/>
    </i>
    <i>
      <x v="2"/>
    </i>
    <i>
      <x v="3"/>
    </i>
  </rowItems>
  <colFields count="1">
    <field x="18"/>
  </colFields>
  <colItems count="4">
    <i>
      <x/>
    </i>
    <i>
      <x v="1"/>
    </i>
    <i>
      <x v="2"/>
    </i>
    <i>
      <x v="3"/>
    </i>
  </colItems>
  <dataFields count="1">
    <dataField name="Gross Margin %" fld="22" baseField="0" baseItem="0" numFmtId="1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3">
          <reference field="4294967294" count="1" selected="0">
            <x v="0"/>
          </reference>
          <reference field="4" count="1" selected="0">
            <x v="0"/>
          </reference>
          <reference field="18" count="1" selected="0">
            <x v="1"/>
          </reference>
        </references>
      </pivotArea>
    </chartFormat>
    <chartFormat chart="0" format="2" series="1">
      <pivotArea type="data" outline="0" fieldPosition="0">
        <references count="3">
          <reference field="4294967294" count="1" selected="0">
            <x v="0"/>
          </reference>
          <reference field="4" count="1" selected="0">
            <x v="0"/>
          </reference>
          <reference field="18" count="1" selected="0">
            <x v="2"/>
          </reference>
        </references>
      </pivotArea>
    </chartFormat>
    <chartFormat chart="0" format="3" series="1">
      <pivotArea type="data" outline="0" fieldPosition="0">
        <references count="3">
          <reference field="4294967294" count="1" selected="0">
            <x v="0"/>
          </reference>
          <reference field="4" count="1" selected="0">
            <x v="0"/>
          </reference>
          <reference field="18" count="1" selected="0">
            <x v="3"/>
          </reference>
        </references>
      </pivotArea>
    </chartFormat>
    <chartFormat chart="0" format="4" series="1">
      <pivotArea type="data" outline="0" fieldPosition="0">
        <references count="3">
          <reference field="4294967294" count="1" selected="0">
            <x v="0"/>
          </reference>
          <reference field="4" count="1" selected="0">
            <x v="1"/>
          </reference>
          <reference field="18" count="1" selected="0">
            <x v="0"/>
          </reference>
        </references>
      </pivotArea>
    </chartFormat>
    <chartFormat chart="0" format="5" series="1">
      <pivotArea type="data" outline="0" fieldPosition="0">
        <references count="3">
          <reference field="4294967294" count="1" selected="0">
            <x v="0"/>
          </reference>
          <reference field="4" count="1" selected="0">
            <x v="1"/>
          </reference>
          <reference field="18" count="1" selected="0">
            <x v="1"/>
          </reference>
        </references>
      </pivotArea>
    </chartFormat>
    <chartFormat chart="0" format="6" series="1">
      <pivotArea type="data" outline="0" fieldPosition="0">
        <references count="3">
          <reference field="4294967294" count="1" selected="0">
            <x v="0"/>
          </reference>
          <reference field="4" count="1" selected="0">
            <x v="1"/>
          </reference>
          <reference field="18" count="1" selected="0">
            <x v="2"/>
          </reference>
        </references>
      </pivotArea>
    </chartFormat>
    <chartFormat chart="0" format="7" series="1">
      <pivotArea type="data" outline="0" fieldPosition="0">
        <references count="3">
          <reference field="4294967294" count="1" selected="0">
            <x v="0"/>
          </reference>
          <reference field="4" count="1" selected="0">
            <x v="1"/>
          </reference>
          <reference field="18" count="1" selected="0">
            <x v="3"/>
          </reference>
        </references>
      </pivotArea>
    </chartFormat>
    <chartFormat chart="0" format="8" series="1">
      <pivotArea type="data" outline="0" fieldPosition="0">
        <references count="3">
          <reference field="4294967294" count="1" selected="0">
            <x v="0"/>
          </reference>
          <reference field="4" count="1" selected="0">
            <x v="2"/>
          </reference>
          <reference field="18" count="1" selected="0">
            <x v="0"/>
          </reference>
        </references>
      </pivotArea>
    </chartFormat>
    <chartFormat chart="0" format="9" series="1">
      <pivotArea type="data" outline="0" fieldPosition="0">
        <references count="3">
          <reference field="4294967294" count="1" selected="0">
            <x v="0"/>
          </reference>
          <reference field="4" count="1" selected="0">
            <x v="2"/>
          </reference>
          <reference field="18" count="1" selected="0">
            <x v="1"/>
          </reference>
        </references>
      </pivotArea>
    </chartFormat>
    <chartFormat chart="0" format="10" series="1">
      <pivotArea type="data" outline="0" fieldPosition="0">
        <references count="3">
          <reference field="4294967294" count="1" selected="0">
            <x v="0"/>
          </reference>
          <reference field="4" count="1" selected="0">
            <x v="2"/>
          </reference>
          <reference field="18" count="1" selected="0">
            <x v="2"/>
          </reference>
        </references>
      </pivotArea>
    </chartFormat>
    <chartFormat chart="0" format="11" series="1">
      <pivotArea type="data" outline="0" fieldPosition="0">
        <references count="3">
          <reference field="4294967294" count="1" selected="0">
            <x v="0"/>
          </reference>
          <reference field="4" count="1" selected="0">
            <x v="2"/>
          </reference>
          <reference field="18" count="1" selected="0">
            <x v="3"/>
          </reference>
        </references>
      </pivotArea>
    </chartFormat>
    <chartFormat chart="0" format="12" series="1">
      <pivotArea type="data" outline="0" fieldPosition="0">
        <references count="3">
          <reference field="4294967294" count="1" selected="0">
            <x v="0"/>
          </reference>
          <reference field="4" count="1" selected="0">
            <x v="3"/>
          </reference>
          <reference field="18" count="1" selected="0">
            <x v="0"/>
          </reference>
        </references>
      </pivotArea>
    </chartFormat>
    <chartFormat chart="0" format="13" series="1">
      <pivotArea type="data" outline="0" fieldPosition="0">
        <references count="3">
          <reference field="4294967294" count="1" selected="0">
            <x v="0"/>
          </reference>
          <reference field="4" count="1" selected="0">
            <x v="3"/>
          </reference>
          <reference field="18" count="1" selected="0">
            <x v="1"/>
          </reference>
        </references>
      </pivotArea>
    </chartFormat>
    <chartFormat chart="0" format="14" series="1">
      <pivotArea type="data" outline="0" fieldPosition="0">
        <references count="3">
          <reference field="4294967294" count="1" selected="0">
            <x v="0"/>
          </reference>
          <reference field="4" count="1" selected="0">
            <x v="3"/>
          </reference>
          <reference field="18" count="1" selected="0">
            <x v="2"/>
          </reference>
        </references>
      </pivotArea>
    </chartFormat>
    <chartFormat chart="0" format="15" series="1">
      <pivotArea type="data" outline="0" fieldPosition="0">
        <references count="3">
          <reference field="4294967294" count="1" selected="0">
            <x v="0"/>
          </reference>
          <reference field="4" count="1" selected="0">
            <x v="3"/>
          </reference>
          <reference field="18" count="1" selected="0">
            <x v="3"/>
          </reference>
        </references>
      </pivotArea>
    </chartFormat>
    <chartFormat chart="0" format="16" series="1">
      <pivotArea type="data" outline="0" fieldPosition="0">
        <references count="2">
          <reference field="4294967294" count="1" selected="0">
            <x v="0"/>
          </reference>
          <reference field="18" count="1" selected="0">
            <x v="1"/>
          </reference>
        </references>
      </pivotArea>
    </chartFormat>
    <chartFormat chart="0" format="17" series="1">
      <pivotArea type="data" outline="0" fieldPosition="0">
        <references count="2">
          <reference field="4294967294" count="1" selected="0">
            <x v="0"/>
          </reference>
          <reference field="18" count="1" selected="0">
            <x v="2"/>
          </reference>
        </references>
      </pivotArea>
    </chartFormat>
    <chartFormat chart="0" format="18" series="1">
      <pivotArea type="data" outline="0" fieldPosition="0">
        <references count="2">
          <reference field="4294967294" count="1" selected="0">
            <x v="0"/>
          </reference>
          <reference field="18" count="1" selected="0">
            <x v="3"/>
          </reference>
        </references>
      </pivotArea>
    </chartFormat>
    <chartFormat chart="0" format="19"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647ED3-5FEC-1341-8733-B1B584EFBD2C}" sourceName="Country">
  <pivotTables>
    <pivotTable tabId="4" name="PivotTable5"/>
    <pivotTable tabId="4" name="PivotTable2"/>
    <pivotTable tabId="4" name="PivotTable3"/>
    <pivotTable tabId="4" name="PivotTable4"/>
  </pivotTables>
  <data>
    <tabular pivotCacheId="129666477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EF2A8C0-64B3-0B4C-B967-A5CF6E92CB83}" sourceName="Channel">
  <pivotTables>
    <pivotTable tabId="4" name="PivotTable5"/>
    <pivotTable tabId="4" name="PivotTable2"/>
    <pivotTable tabId="4" name="PivotTable3"/>
    <pivotTable tabId="4" name="PivotTable4"/>
  </pivotTables>
  <data>
    <tabular pivotCacheId="129666477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93A2BC-4CEF-CC42-BBA6-AAE18DC62A15}" sourceName="Category">
  <pivotTables>
    <pivotTable tabId="4" name="PivotTable5"/>
    <pivotTable tabId="4" name="PivotTable2"/>
    <pivotTable tabId="4" name="PivotTable3"/>
    <pivotTable tabId="4" name="PivotTable4"/>
  </pivotTables>
  <data>
    <tabular pivotCacheId="129666477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795958-1AC8-694B-94F1-E89AA119443F}" cache="Slicer_Country" caption="Country" rowHeight="251883"/>
  <slicer name="Channel" xr10:uid="{C8FCA589-AEB1-214F-A763-B1A6EE3972C6}" cache="Slicer_Channel" caption="Channel" rowHeight="251883"/>
  <slicer name="Category" xr10:uid="{30A9F00D-3787-CE40-9D95-849C9F453795}"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38FBA-8238-994D-9F2F-B6DA69F09A80}" name="tblProductMaster" displayName="tblProductMaster" ref="A1:F31">
  <autoFilter ref="A1:F31" xr:uid="{32C38FBA-8238-994D-9F2F-B6DA69F09A80}"/>
  <tableColumns count="6">
    <tableColumn id="1" xr3:uid="{410A669B-6D2F-164B-8277-3DAF41F2B98E}" name="SKU"/>
    <tableColumn id="2" xr3:uid="{EA2F1DDE-4C25-EB49-AAA5-FB5EE4BB6F18}" name="Brand"/>
    <tableColumn id="3" xr3:uid="{FB3216F7-730E-0F4B-8DA4-AF49A1574539}" name="Category"/>
    <tableColumn id="4" xr3:uid="{05CBBE0B-FEAC-9540-AF25-3EC37062010B}" name="Product"/>
    <tableColumn id="5" xr3:uid="{EE9A8146-09B2-BA44-8E7A-6491063BE29E}" name="List Price"/>
    <tableColumn id="6" xr3:uid="{4BE0F4D4-D65D-6244-999B-D02657C069A8}" name="Unit Cost"/>
  </tableColumns>
  <tableStyleInfo name="TableStyleMedium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60250-C6E9-514A-97A1-4D46668A0233}" name="Table6" displayName="Table6" ref="A1:T1001" totalsRowShown="0">
  <autoFilter ref="A1:T1001" xr:uid="{3B360250-C6E9-514A-97A1-4D46668A0233}"/>
  <tableColumns count="20">
    <tableColumn id="1" xr3:uid="{BDD33244-0080-854C-95A0-DFD2FE2F2559}" name="Transaction ID"/>
    <tableColumn id="2" xr3:uid="{62667759-BBFF-F24E-B2BF-CFB1587A3830}" name="Date" dataDxfId="12"/>
    <tableColumn id="3" xr3:uid="{50D7DF4E-5558-F547-921C-A3D48812343A}" name="Country"/>
    <tableColumn id="4" xr3:uid="{BF443633-A76C-934F-881C-ECC7903C5DBA}" name="Channel"/>
    <tableColumn id="5" xr3:uid="{CD600050-661A-9446-B40F-A453C3E9A06C}" name="Category"/>
    <tableColumn id="6" xr3:uid="{1F63EC00-527E-CE4B-B3B2-F26373B6FBE1}" name="Brand"/>
    <tableColumn id="7" xr3:uid="{2FC1245C-C325-B345-A62C-B73C99F827D6}" name="SKU"/>
    <tableColumn id="19" xr3:uid="{1C56B123-16AC-D346-A99C-668FC8C0723A}" name="Product" dataDxfId="11">
      <calculatedColumnFormula>_xlfn.XLOOKUP(Table6[[#This Row],[SKU]],tblProductMaster[SKU],tblProductMaster[Product])</calculatedColumnFormula>
    </tableColumn>
    <tableColumn id="8" xr3:uid="{2C61411D-3569-1E48-ACB4-B5D27DD5ECC0}" name="Units"/>
    <tableColumn id="9" xr3:uid="{3ED06A4A-3948-D347-91FA-E5141C5D0901}" name="List Price">
      <calculatedColumnFormula>_xlfn.XLOOKUP(G2,[1]!tblProductMaster[SKU],[1]!tblProductMaster[List Price])</calculatedColumnFormula>
    </tableColumn>
    <tableColumn id="10" xr3:uid="{72AB2009-5C34-CB4B-842B-392CF9ADE1D4}" name="Promotion"/>
    <tableColumn id="11" xr3:uid="{B8C14E79-FD8F-214E-9B53-D5EE409C2597}" name="Discount" dataDxfId="10" dataCellStyle="Percent"/>
    <tableColumn id="12" xr3:uid="{8C6A440E-4765-414D-B397-4D9681CBE653}" name="Net Price" dataDxfId="9">
      <calculatedColumnFormula>J2*(1-L2)</calculatedColumnFormula>
    </tableColumn>
    <tableColumn id="13" xr3:uid="{53AA93F0-C2E9-F844-88F0-8D43FB3DC89F}" name="Revenue" dataDxfId="8">
      <calculatedColumnFormula>M2*I2</calculatedColumnFormula>
    </tableColumn>
    <tableColumn id="14" xr3:uid="{2E0DFABB-1E8B-C343-9103-A8A4C0405659}" name="Unit Cost" dataDxfId="7">
      <calculatedColumnFormula>_xlfn.XLOOKUP(G2,[1]!tblProductMaster[SKU],[1]!tblProductMaster[Unit Cost])</calculatedColumnFormula>
    </tableColumn>
    <tableColumn id="15" xr3:uid="{CAB0EAF3-7997-6846-AF96-B1A48A6F1C3B}" name="COGS" dataDxfId="6">
      <calculatedColumnFormula>O2*I2</calculatedColumnFormula>
    </tableColumn>
    <tableColumn id="16" xr3:uid="{AF7F009D-6A3A-D742-ACA3-0EFA97508260}" name="Gross Profit " dataDxfId="5">
      <calculatedColumnFormula>N2-P2</calculatedColumnFormula>
    </tableColumn>
    <tableColumn id="17" xr3:uid="{034A4DD8-ACCD-264F-A007-3CAC6451955A}" name="Gross Margin (%)" dataDxfId="4" dataCellStyle="Percent">
      <calculatedColumnFormula>Q2/N2</calculatedColumnFormula>
    </tableColumn>
    <tableColumn id="18" xr3:uid="{FC189C52-4C8B-8043-BB54-39517D85F602}" name="Promotion Type"/>
    <tableColumn id="21" xr3:uid="{E2CF9E10-9397-6444-B716-CC77C35FDC17}" name="Promotion Cost" dataDxfId="3">
      <calculatedColumnFormula>Table6[[#This Row],[Discount]]*Table6[[#This Row],[List Price]]*Table6[[#This Row],[Units]]</calculatedColumnFormula>
    </tableColumn>
  </tableColumns>
  <tableStyleInfo name="TableStyleMedium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0E1D31-5DE7-B540-A64E-EF9A5589AF09}" name="Table3" displayName="Table3" ref="A6:C33" totalsRowShown="0">
  <autoFilter ref="A6:C33" xr:uid="{200E1D31-5DE7-B540-A64E-EF9A5589AF09}"/>
  <tableColumns count="3">
    <tableColumn id="1" xr3:uid="{51FFB7CE-B948-454A-800A-1EFF03B87C1F}" name="Products" dataDxfId="2"/>
    <tableColumn id="2" xr3:uid="{0E0E4933-2E77-A445-B455-A5BF5D84B347}" name="Revenue" dataDxfId="1"/>
    <tableColumn id="3" xr3:uid="{09A0DA92-62F0-DF48-BF9C-56987520C18B}" name="Gross Margin %" dataDxfId="0"/>
  </tableColumns>
  <tableStyleInfo name="TableStyleMedium2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D6DD51-D87D-1642-8900-DAAA8D23452C}" sourceName="Date">
  <pivotTables>
    <pivotTable tabId="4" name="PivotTable2"/>
    <pivotTable tabId="4" name="PivotTable3"/>
    <pivotTable tabId="4" name="PivotTable4"/>
    <pivotTable tabId="4" name="PivotTable5"/>
  </pivotTables>
  <state minimalRefreshVersion="6" lastRefreshVersion="6" pivotCacheId="1296664770" filterType="unknown">
    <bounds startDate="2026-01-01T00:42:03" endDate="2027-01-01T10:56:4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95E150B-0397-2B47-91A9-90EBA0CFDE67}" cache="NativeTimeline_Date" caption="Date" level="2" selectionLevel="2"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8754D-1DF5-3049-B3C9-E986BFA8150D}">
  <dimension ref="A1:K21"/>
  <sheetViews>
    <sheetView showGridLines="0" workbookViewId="0">
      <pane ySplit="3" topLeftCell="A4" activePane="bottomLeft" state="frozen"/>
      <selection pane="bottomLeft" activeCell="T22" sqref="T22"/>
    </sheetView>
  </sheetViews>
  <sheetFormatPr baseColWidth="10" defaultRowHeight="16" x14ac:dyDescent="0.2"/>
  <sheetData>
    <row r="1" spans="1:11" x14ac:dyDescent="0.2">
      <c r="A1" s="21"/>
      <c r="B1" s="21"/>
      <c r="C1" s="21"/>
      <c r="D1" s="21"/>
      <c r="E1" s="21"/>
      <c r="F1" s="21"/>
      <c r="G1" s="21"/>
      <c r="H1" s="21"/>
      <c r="I1" s="21"/>
      <c r="J1" s="21"/>
      <c r="K1" s="21"/>
    </row>
    <row r="2" spans="1:11" ht="24" x14ac:dyDescent="0.3">
      <c r="A2" s="22" t="s">
        <v>1139</v>
      </c>
      <c r="B2" s="22"/>
      <c r="C2" s="22"/>
      <c r="D2" s="22"/>
      <c r="E2" s="22"/>
      <c r="F2" s="22"/>
      <c r="G2" s="22"/>
      <c r="H2" s="22"/>
      <c r="I2" s="22"/>
      <c r="J2" s="22"/>
      <c r="K2" s="22"/>
    </row>
    <row r="3" spans="1:11" x14ac:dyDescent="0.2">
      <c r="A3" s="21"/>
      <c r="B3" s="21"/>
      <c r="C3" s="21"/>
      <c r="D3" s="21"/>
      <c r="E3" s="21"/>
      <c r="F3" s="21"/>
      <c r="G3" s="21"/>
      <c r="H3" s="21"/>
      <c r="I3" s="21"/>
      <c r="J3" s="21"/>
      <c r="K3" s="21"/>
    </row>
    <row r="4" spans="1:11" x14ac:dyDescent="0.2">
      <c r="A4" s="11" t="s">
        <v>1163</v>
      </c>
      <c r="B4" s="11"/>
      <c r="C4" s="11"/>
      <c r="D4" s="11"/>
      <c r="E4" s="11"/>
      <c r="F4" s="11"/>
      <c r="G4" s="11"/>
      <c r="H4" s="11"/>
      <c r="I4" s="11"/>
      <c r="J4" s="11"/>
      <c r="K4" s="11"/>
    </row>
    <row r="6" spans="1:11" x14ac:dyDescent="0.2">
      <c r="A6" s="20" t="s">
        <v>1140</v>
      </c>
      <c r="B6" s="20"/>
      <c r="C6" s="20"/>
      <c r="D6" s="20"/>
      <c r="E6" s="20"/>
      <c r="F6" s="20"/>
      <c r="G6" s="20"/>
      <c r="H6" s="20"/>
      <c r="I6" s="20"/>
      <c r="J6" s="20"/>
      <c r="K6" s="20"/>
    </row>
    <row r="7" spans="1:11" ht="32" customHeight="1" x14ac:dyDescent="0.2">
      <c r="A7" s="23" t="s">
        <v>1153</v>
      </c>
      <c r="B7" s="23"/>
      <c r="C7" s="23"/>
      <c r="D7" s="23"/>
      <c r="E7" s="23"/>
      <c r="F7" s="23"/>
      <c r="G7" s="23"/>
      <c r="H7" s="23"/>
      <c r="I7" s="23"/>
      <c r="J7" s="23"/>
      <c r="K7" s="23"/>
    </row>
    <row r="9" spans="1:11" x14ac:dyDescent="0.2">
      <c r="A9" s="20" t="s">
        <v>1141</v>
      </c>
      <c r="B9" s="20"/>
      <c r="C9" s="20"/>
      <c r="D9" s="20"/>
      <c r="E9" s="20"/>
      <c r="F9" s="20"/>
      <c r="G9" s="20"/>
      <c r="H9" s="20"/>
      <c r="I9" s="20"/>
      <c r="J9" s="20"/>
      <c r="K9" s="20"/>
    </row>
    <row r="10" spans="1:11" x14ac:dyDescent="0.2">
      <c r="A10" t="s">
        <v>1161</v>
      </c>
    </row>
    <row r="12" spans="1:11" x14ac:dyDescent="0.2">
      <c r="A12" s="12" t="s">
        <v>1154</v>
      </c>
      <c r="B12" s="12"/>
      <c r="C12" s="12"/>
      <c r="D12" s="12"/>
      <c r="E12" s="12"/>
      <c r="F12" s="12"/>
      <c r="G12" s="12"/>
      <c r="H12" s="12"/>
      <c r="I12" s="12"/>
      <c r="J12" s="12"/>
      <c r="K12" s="12"/>
    </row>
    <row r="13" spans="1:11" x14ac:dyDescent="0.2">
      <c r="A13" t="s">
        <v>1155</v>
      </c>
    </row>
    <row r="14" spans="1:11" x14ac:dyDescent="0.2">
      <c r="A14" t="s">
        <v>1156</v>
      </c>
    </row>
    <row r="15" spans="1:11" x14ac:dyDescent="0.2">
      <c r="A15" t="s">
        <v>1157</v>
      </c>
    </row>
    <row r="16" spans="1:11" x14ac:dyDescent="0.2">
      <c r="A16" t="s">
        <v>1158</v>
      </c>
    </row>
    <row r="17" spans="1:11" x14ac:dyDescent="0.2">
      <c r="A17" t="s">
        <v>1159</v>
      </c>
    </row>
    <row r="18" spans="1:11" x14ac:dyDescent="0.2">
      <c r="A18" t="s">
        <v>1160</v>
      </c>
    </row>
    <row r="20" spans="1:11" x14ac:dyDescent="0.2">
      <c r="A20" s="12" t="s">
        <v>1142</v>
      </c>
      <c r="B20" s="12"/>
      <c r="C20" s="12"/>
      <c r="D20" s="12"/>
      <c r="E20" s="12"/>
      <c r="F20" s="12"/>
      <c r="G20" s="12"/>
      <c r="H20" s="12"/>
      <c r="I20" s="12"/>
      <c r="J20" s="12"/>
      <c r="K20" s="12"/>
    </row>
    <row r="21" spans="1:11" x14ac:dyDescent="0.2">
      <c r="A21" t="s">
        <v>1143</v>
      </c>
    </row>
  </sheetData>
  <mergeCells count="6">
    <mergeCell ref="A9:K9"/>
    <mergeCell ref="A1:K1"/>
    <mergeCell ref="A2:K2"/>
    <mergeCell ref="A3:K3"/>
    <mergeCell ref="A7:K7"/>
    <mergeCell ref="A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0DF9-2E35-164E-B819-C523EA42BA03}">
  <dimension ref="A1:F31"/>
  <sheetViews>
    <sheetView showGridLines="0" workbookViewId="0">
      <selection activeCell="P29" sqref="P29"/>
    </sheetView>
  </sheetViews>
  <sheetFormatPr baseColWidth="10" defaultRowHeight="16" x14ac:dyDescent="0.2"/>
  <cols>
    <col min="4" max="4" width="22.1640625" customWidth="1"/>
  </cols>
  <sheetData>
    <row r="1" spans="1:6" x14ac:dyDescent="0.2">
      <c r="A1" s="1" t="s">
        <v>0</v>
      </c>
      <c r="B1" s="1" t="s">
        <v>1</v>
      </c>
      <c r="C1" s="1" t="s">
        <v>2</v>
      </c>
      <c r="D1" s="1" t="s">
        <v>3</v>
      </c>
      <c r="E1" s="1" t="s">
        <v>4</v>
      </c>
      <c r="F1" s="1" t="s">
        <v>5</v>
      </c>
    </row>
    <row r="2" spans="1:6" x14ac:dyDescent="0.2">
      <c r="A2" t="s">
        <v>6</v>
      </c>
      <c r="B2" t="s">
        <v>7</v>
      </c>
      <c r="C2" t="s">
        <v>8</v>
      </c>
      <c r="D2" t="s">
        <v>9</v>
      </c>
      <c r="E2">
        <v>5.99</v>
      </c>
      <c r="F2">
        <v>2.4</v>
      </c>
    </row>
    <row r="3" spans="1:6" x14ac:dyDescent="0.2">
      <c r="A3" t="s">
        <v>10</v>
      </c>
      <c r="B3" t="s">
        <v>7</v>
      </c>
      <c r="C3" t="s">
        <v>8</v>
      </c>
      <c r="D3" t="s">
        <v>11</v>
      </c>
      <c r="E3">
        <v>8.99</v>
      </c>
      <c r="F3">
        <v>3.6</v>
      </c>
    </row>
    <row r="4" spans="1:6" x14ac:dyDescent="0.2">
      <c r="A4" t="s">
        <v>12</v>
      </c>
      <c r="B4" t="s">
        <v>7</v>
      </c>
      <c r="C4" t="s">
        <v>8</v>
      </c>
      <c r="D4" t="s">
        <v>13</v>
      </c>
      <c r="E4">
        <v>5.49</v>
      </c>
      <c r="F4">
        <v>2.2000000000000002</v>
      </c>
    </row>
    <row r="5" spans="1:6" x14ac:dyDescent="0.2">
      <c r="A5" t="s">
        <v>14</v>
      </c>
      <c r="B5" t="s">
        <v>15</v>
      </c>
      <c r="C5" t="s">
        <v>8</v>
      </c>
      <c r="D5" t="s">
        <v>9</v>
      </c>
      <c r="E5">
        <v>4.99</v>
      </c>
      <c r="F5">
        <v>2.1</v>
      </c>
    </row>
    <row r="6" spans="1:6" x14ac:dyDescent="0.2">
      <c r="A6" t="s">
        <v>16</v>
      </c>
      <c r="B6" t="s">
        <v>15</v>
      </c>
      <c r="C6" t="s">
        <v>8</v>
      </c>
      <c r="D6" t="s">
        <v>13</v>
      </c>
      <c r="E6">
        <v>4.79</v>
      </c>
      <c r="F6">
        <v>2</v>
      </c>
    </row>
    <row r="7" spans="1:6" x14ac:dyDescent="0.2">
      <c r="A7" t="s">
        <v>17</v>
      </c>
      <c r="B7" t="s">
        <v>18</v>
      </c>
      <c r="C7" t="s">
        <v>8</v>
      </c>
      <c r="D7" t="s">
        <v>19</v>
      </c>
      <c r="E7">
        <v>6.49</v>
      </c>
      <c r="F7">
        <v>2.8</v>
      </c>
    </row>
    <row r="8" spans="1:6" x14ac:dyDescent="0.2">
      <c r="A8" t="s">
        <v>20</v>
      </c>
      <c r="B8" t="s">
        <v>18</v>
      </c>
      <c r="C8" t="s">
        <v>8</v>
      </c>
      <c r="D8" t="s">
        <v>21</v>
      </c>
      <c r="E8">
        <v>7.49</v>
      </c>
      <c r="F8">
        <v>3.1</v>
      </c>
    </row>
    <row r="9" spans="1:6" x14ac:dyDescent="0.2">
      <c r="A9" t="s">
        <v>22</v>
      </c>
      <c r="B9" t="s">
        <v>15</v>
      </c>
      <c r="C9" t="s">
        <v>8</v>
      </c>
      <c r="D9" t="s">
        <v>23</v>
      </c>
      <c r="E9">
        <v>4.49</v>
      </c>
      <c r="F9">
        <v>1.9</v>
      </c>
    </row>
    <row r="10" spans="1:6" x14ac:dyDescent="0.2">
      <c r="A10" t="s">
        <v>24</v>
      </c>
      <c r="B10" t="s">
        <v>7</v>
      </c>
      <c r="C10" t="s">
        <v>25</v>
      </c>
      <c r="D10" t="s">
        <v>26</v>
      </c>
      <c r="E10">
        <v>7.99</v>
      </c>
      <c r="F10">
        <v>3.1</v>
      </c>
    </row>
    <row r="11" spans="1:6" x14ac:dyDescent="0.2">
      <c r="A11" t="s">
        <v>27</v>
      </c>
      <c r="B11" t="s">
        <v>18</v>
      </c>
      <c r="C11" t="s">
        <v>25</v>
      </c>
      <c r="D11" t="s">
        <v>28</v>
      </c>
      <c r="E11">
        <v>9.99</v>
      </c>
      <c r="F11">
        <v>4.2</v>
      </c>
    </row>
    <row r="12" spans="1:6" x14ac:dyDescent="0.2">
      <c r="A12" t="s">
        <v>29</v>
      </c>
      <c r="B12" t="s">
        <v>15</v>
      </c>
      <c r="C12" t="s">
        <v>25</v>
      </c>
      <c r="D12" t="s">
        <v>30</v>
      </c>
      <c r="E12">
        <v>4.49</v>
      </c>
      <c r="F12">
        <v>1.9</v>
      </c>
    </row>
    <row r="13" spans="1:6" x14ac:dyDescent="0.2">
      <c r="A13" t="s">
        <v>31</v>
      </c>
      <c r="B13" t="s">
        <v>7</v>
      </c>
      <c r="C13" t="s">
        <v>25</v>
      </c>
      <c r="D13" t="s">
        <v>32</v>
      </c>
      <c r="E13">
        <v>8.49</v>
      </c>
      <c r="F13">
        <v>3.5</v>
      </c>
    </row>
    <row r="14" spans="1:6" x14ac:dyDescent="0.2">
      <c r="A14" t="s">
        <v>33</v>
      </c>
      <c r="B14" t="s">
        <v>7</v>
      </c>
      <c r="C14" t="s">
        <v>25</v>
      </c>
      <c r="D14" t="s">
        <v>34</v>
      </c>
      <c r="E14">
        <v>10.99</v>
      </c>
      <c r="F14">
        <v>4.5999999999999996</v>
      </c>
    </row>
    <row r="15" spans="1:6" x14ac:dyDescent="0.2">
      <c r="A15" t="s">
        <v>35</v>
      </c>
      <c r="B15" t="s">
        <v>15</v>
      </c>
      <c r="C15" t="s">
        <v>25</v>
      </c>
      <c r="D15" t="s">
        <v>36</v>
      </c>
      <c r="E15">
        <v>4.99</v>
      </c>
      <c r="F15">
        <v>2.1</v>
      </c>
    </row>
    <row r="16" spans="1:6" x14ac:dyDescent="0.2">
      <c r="A16" t="s">
        <v>37</v>
      </c>
      <c r="B16" t="s">
        <v>18</v>
      </c>
      <c r="C16" t="s">
        <v>25</v>
      </c>
      <c r="D16" t="s">
        <v>38</v>
      </c>
      <c r="E16">
        <v>5.49</v>
      </c>
      <c r="F16">
        <v>2.2999999999999998</v>
      </c>
    </row>
    <row r="17" spans="1:6" x14ac:dyDescent="0.2">
      <c r="A17" t="s">
        <v>39</v>
      </c>
      <c r="B17" t="s">
        <v>15</v>
      </c>
      <c r="C17" t="s">
        <v>40</v>
      </c>
      <c r="D17" t="s">
        <v>41</v>
      </c>
      <c r="E17">
        <v>8.49</v>
      </c>
      <c r="F17">
        <v>3.8</v>
      </c>
    </row>
    <row r="18" spans="1:6" x14ac:dyDescent="0.2">
      <c r="A18" t="s">
        <v>42</v>
      </c>
      <c r="B18" t="s">
        <v>18</v>
      </c>
      <c r="C18" t="s">
        <v>40</v>
      </c>
      <c r="D18" t="s">
        <v>43</v>
      </c>
      <c r="E18">
        <v>11.99</v>
      </c>
      <c r="F18">
        <v>5.2</v>
      </c>
    </row>
    <row r="19" spans="1:6" x14ac:dyDescent="0.2">
      <c r="A19" t="s">
        <v>44</v>
      </c>
      <c r="B19" t="s">
        <v>7</v>
      </c>
      <c r="C19" t="s">
        <v>40</v>
      </c>
      <c r="D19" t="s">
        <v>45</v>
      </c>
      <c r="E19">
        <v>6.99</v>
      </c>
      <c r="F19">
        <v>2.9</v>
      </c>
    </row>
    <row r="20" spans="1:6" x14ac:dyDescent="0.2">
      <c r="A20" t="s">
        <v>46</v>
      </c>
      <c r="B20" t="s">
        <v>15</v>
      </c>
      <c r="C20" t="s">
        <v>40</v>
      </c>
      <c r="D20" t="s">
        <v>47</v>
      </c>
      <c r="E20">
        <v>5.99</v>
      </c>
      <c r="F20">
        <v>2.5</v>
      </c>
    </row>
    <row r="21" spans="1:6" x14ac:dyDescent="0.2">
      <c r="A21" t="s">
        <v>48</v>
      </c>
      <c r="B21" t="s">
        <v>7</v>
      </c>
      <c r="C21" t="s">
        <v>40</v>
      </c>
      <c r="D21" t="s">
        <v>49</v>
      </c>
      <c r="E21">
        <v>9.49</v>
      </c>
      <c r="F21">
        <v>4</v>
      </c>
    </row>
    <row r="22" spans="1:6" x14ac:dyDescent="0.2">
      <c r="A22" t="s">
        <v>50</v>
      </c>
      <c r="B22" t="s">
        <v>18</v>
      </c>
      <c r="C22" t="s">
        <v>40</v>
      </c>
      <c r="D22" t="s">
        <v>51</v>
      </c>
      <c r="E22">
        <v>8.99</v>
      </c>
      <c r="F22">
        <v>4</v>
      </c>
    </row>
    <row r="23" spans="1:6" x14ac:dyDescent="0.2">
      <c r="A23" t="s">
        <v>52</v>
      </c>
      <c r="B23" t="s">
        <v>15</v>
      </c>
      <c r="C23" t="s">
        <v>40</v>
      </c>
      <c r="D23" t="s">
        <v>53</v>
      </c>
      <c r="E23">
        <v>10.49</v>
      </c>
      <c r="F23">
        <v>4.5999999999999996</v>
      </c>
    </row>
    <row r="24" spans="1:6" x14ac:dyDescent="0.2">
      <c r="A24" t="s">
        <v>54</v>
      </c>
      <c r="B24" t="s">
        <v>18</v>
      </c>
      <c r="C24" t="s">
        <v>40</v>
      </c>
      <c r="D24" t="s">
        <v>45</v>
      </c>
      <c r="E24">
        <v>5.49</v>
      </c>
      <c r="F24">
        <v>2.4</v>
      </c>
    </row>
    <row r="25" spans="1:6" x14ac:dyDescent="0.2">
      <c r="A25" t="s">
        <v>55</v>
      </c>
      <c r="B25" t="s">
        <v>15</v>
      </c>
      <c r="C25" t="s">
        <v>56</v>
      </c>
      <c r="D25" t="s">
        <v>57</v>
      </c>
      <c r="E25">
        <v>3.49</v>
      </c>
      <c r="F25">
        <v>1.2</v>
      </c>
    </row>
    <row r="26" spans="1:6" x14ac:dyDescent="0.2">
      <c r="A26" t="s">
        <v>58</v>
      </c>
      <c r="B26" t="s">
        <v>7</v>
      </c>
      <c r="C26" t="s">
        <v>56</v>
      </c>
      <c r="D26" t="s">
        <v>59</v>
      </c>
      <c r="E26">
        <v>4.99</v>
      </c>
      <c r="F26">
        <v>1.8</v>
      </c>
    </row>
    <row r="27" spans="1:6" x14ac:dyDescent="0.2">
      <c r="A27" t="s">
        <v>60</v>
      </c>
      <c r="B27" t="s">
        <v>18</v>
      </c>
      <c r="C27" t="s">
        <v>56</v>
      </c>
      <c r="D27" t="s">
        <v>61</v>
      </c>
      <c r="E27">
        <v>4.49</v>
      </c>
      <c r="F27">
        <v>1.7</v>
      </c>
    </row>
    <row r="28" spans="1:6" x14ac:dyDescent="0.2">
      <c r="A28" t="s">
        <v>62</v>
      </c>
      <c r="B28" t="s">
        <v>15</v>
      </c>
      <c r="C28" t="s">
        <v>56</v>
      </c>
      <c r="D28" t="s">
        <v>63</v>
      </c>
      <c r="E28">
        <v>5.99</v>
      </c>
      <c r="F28">
        <v>2.4</v>
      </c>
    </row>
    <row r="29" spans="1:6" x14ac:dyDescent="0.2">
      <c r="A29" t="s">
        <v>64</v>
      </c>
      <c r="B29" t="s">
        <v>7</v>
      </c>
      <c r="C29" t="s">
        <v>56</v>
      </c>
      <c r="D29" t="s">
        <v>65</v>
      </c>
      <c r="E29">
        <v>3.99</v>
      </c>
      <c r="F29">
        <v>1.5</v>
      </c>
    </row>
    <row r="30" spans="1:6" x14ac:dyDescent="0.2">
      <c r="A30" t="s">
        <v>66</v>
      </c>
      <c r="B30" t="s">
        <v>7</v>
      </c>
      <c r="C30" t="s">
        <v>56</v>
      </c>
      <c r="D30" t="s">
        <v>67</v>
      </c>
      <c r="E30">
        <v>12.99</v>
      </c>
      <c r="F30">
        <v>5.2</v>
      </c>
    </row>
    <row r="31" spans="1:6" x14ac:dyDescent="0.2">
      <c r="A31" t="s">
        <v>68</v>
      </c>
      <c r="B31" t="s">
        <v>18</v>
      </c>
      <c r="C31" t="s">
        <v>56</v>
      </c>
      <c r="D31" t="s">
        <v>69</v>
      </c>
      <c r="E31">
        <v>3.29</v>
      </c>
      <c r="F31">
        <v>1.1000000000000001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0630-5D06-6245-84FB-E9D430DA48C5}">
  <dimension ref="A1:T1001"/>
  <sheetViews>
    <sheetView tabSelected="1" workbookViewId="0">
      <selection activeCell="H3" sqref="H3"/>
    </sheetView>
  </sheetViews>
  <sheetFormatPr baseColWidth="10" defaultRowHeight="16" x14ac:dyDescent="0.2"/>
  <cols>
    <col min="8" max="8" width="18.6640625" customWidth="1"/>
    <col min="12" max="12" width="10.83203125" style="9"/>
    <col min="13" max="13" width="10.83203125" style="8"/>
    <col min="14" max="14" width="10.83203125" style="9"/>
    <col min="15" max="16" width="10.83203125" style="8"/>
    <col min="18" max="18" width="14" customWidth="1"/>
  </cols>
  <sheetData>
    <row r="1" spans="1:20" x14ac:dyDescent="0.2">
      <c r="A1" t="s">
        <v>70</v>
      </c>
      <c r="B1" s="2" t="s">
        <v>71</v>
      </c>
      <c r="C1" t="s">
        <v>72</v>
      </c>
      <c r="D1" t="s">
        <v>73</v>
      </c>
      <c r="E1" t="s">
        <v>2</v>
      </c>
      <c r="F1" t="s">
        <v>1</v>
      </c>
      <c r="G1" t="s">
        <v>0</v>
      </c>
      <c r="H1" t="s">
        <v>3</v>
      </c>
      <c r="I1" t="s">
        <v>74</v>
      </c>
      <c r="J1" t="s">
        <v>4</v>
      </c>
      <c r="K1" t="s">
        <v>75</v>
      </c>
      <c r="L1" s="3" t="s">
        <v>76</v>
      </c>
      <c r="M1" s="9" t="s">
        <v>77</v>
      </c>
      <c r="N1" s="8" t="s">
        <v>78</v>
      </c>
      <c r="O1" s="9" t="s">
        <v>5</v>
      </c>
      <c r="P1" s="8" t="s">
        <v>79</v>
      </c>
      <c r="Q1" s="8" t="s">
        <v>80</v>
      </c>
      <c r="R1" s="4" t="s">
        <v>81</v>
      </c>
      <c r="S1" t="s">
        <v>82</v>
      </c>
      <c r="T1" t="s">
        <v>1095</v>
      </c>
    </row>
    <row r="2" spans="1:20" x14ac:dyDescent="0.2">
      <c r="A2" t="s">
        <v>83</v>
      </c>
      <c r="B2" s="2">
        <v>46028.118754236893</v>
      </c>
      <c r="C2" t="s">
        <v>84</v>
      </c>
      <c r="D2" t="s">
        <v>85</v>
      </c>
      <c r="E2" t="s">
        <v>40</v>
      </c>
      <c r="F2" t="s">
        <v>18</v>
      </c>
      <c r="G2" t="s">
        <v>42</v>
      </c>
      <c r="H2" t="str">
        <f>_xlfn.XLOOKUP(Table6[[#This Row],[SKU]],tblProductMaster[SKU],tblProductMaster[Product])</f>
        <v>Detergent Capsules</v>
      </c>
      <c r="I2">
        <v>776</v>
      </c>
      <c r="J2">
        <f>_xlfn.XLOOKUP(G2,[1]!tblProductMaster[SKU],[1]!tblProductMaster[List Price])</f>
        <v>11.99</v>
      </c>
      <c r="K2" t="s">
        <v>86</v>
      </c>
      <c r="L2" s="3">
        <v>0</v>
      </c>
      <c r="M2" s="9">
        <f>J2*(1-L2)</f>
        <v>11.99</v>
      </c>
      <c r="N2" s="8">
        <f>M2*I2</f>
        <v>9304.24</v>
      </c>
      <c r="O2" s="9">
        <f>_xlfn.XLOOKUP(G2,[1]!tblProductMaster[SKU],[1]!tblProductMaster[Unit Cost])</f>
        <v>5.2</v>
      </c>
      <c r="P2" s="8">
        <f>O2*I2</f>
        <v>4035.2000000000003</v>
      </c>
      <c r="Q2" s="8">
        <f>N2-P2</f>
        <v>5269.0399999999991</v>
      </c>
      <c r="R2" s="4">
        <f>Q2/N2</f>
        <v>0.56630525437864876</v>
      </c>
      <c r="S2" t="s">
        <v>87</v>
      </c>
      <c r="T2">
        <f>Table6[[#This Row],[Discount]]*Table6[[#This Row],[List Price]]*Table6[[#This Row],[Units]]</f>
        <v>0</v>
      </c>
    </row>
    <row r="3" spans="1:20" x14ac:dyDescent="0.2">
      <c r="A3" t="s">
        <v>88</v>
      </c>
      <c r="B3" s="2">
        <v>46188.512724111788</v>
      </c>
      <c r="C3" t="s">
        <v>84</v>
      </c>
      <c r="D3" t="s">
        <v>85</v>
      </c>
      <c r="E3" t="s">
        <v>40</v>
      </c>
      <c r="F3" t="s">
        <v>15</v>
      </c>
      <c r="G3" t="s">
        <v>39</v>
      </c>
      <c r="H3" t="str">
        <f>_xlfn.XLOOKUP(Table6[[#This Row],[SKU]],tblProductMaster[SKU],tblProductMaster[Product])</f>
        <v>Detergent 1L</v>
      </c>
      <c r="I3">
        <v>443</v>
      </c>
      <c r="J3">
        <f>_xlfn.XLOOKUP(G3,[1]!tblProductMaster[SKU],[1]!tblProductMaster[List Price])</f>
        <v>8.49</v>
      </c>
      <c r="K3" t="s">
        <v>89</v>
      </c>
      <c r="L3" s="3">
        <v>0.2</v>
      </c>
      <c r="M3" s="9">
        <f t="shared" ref="M3:M66" si="0">J3*(1-L3)</f>
        <v>6.7920000000000007</v>
      </c>
      <c r="N3" s="8">
        <f t="shared" ref="N3:N66" si="1">M3*I3</f>
        <v>3008.8560000000002</v>
      </c>
      <c r="O3" s="9">
        <f>_xlfn.XLOOKUP(G3,[1]!tblProductMaster[SKU],[1]!tblProductMaster[Unit Cost])</f>
        <v>3.8</v>
      </c>
      <c r="P3" s="8">
        <f t="shared" ref="P3:P66" si="2">O3*I3</f>
        <v>1683.3999999999999</v>
      </c>
      <c r="Q3" s="8">
        <f t="shared" ref="Q3:Q66" si="3">N3-P3</f>
        <v>1325.4560000000004</v>
      </c>
      <c r="R3" s="4">
        <f t="shared" ref="R3:R66" si="4">Q3/N3</f>
        <v>0.44051825677267381</v>
      </c>
      <c r="S3" t="s">
        <v>90</v>
      </c>
      <c r="T3">
        <f>Table6[[#This Row],[Discount]]*Table6[[#This Row],[List Price]]*Table6[[#This Row],[Units]]</f>
        <v>752.21400000000006</v>
      </c>
    </row>
    <row r="4" spans="1:20" x14ac:dyDescent="0.2">
      <c r="A4" t="s">
        <v>91</v>
      </c>
      <c r="B4" s="2">
        <v>46362.513673361806</v>
      </c>
      <c r="C4" t="s">
        <v>84</v>
      </c>
      <c r="D4" t="s">
        <v>85</v>
      </c>
      <c r="E4" t="s">
        <v>40</v>
      </c>
      <c r="F4" t="s">
        <v>18</v>
      </c>
      <c r="G4" t="s">
        <v>50</v>
      </c>
      <c r="H4" t="str">
        <f>_xlfn.XLOOKUP(Table6[[#This Row],[SKU]],tblProductMaster[SKU],tblProductMaster[Product])</f>
        <v>Sensitive Detergent</v>
      </c>
      <c r="I4">
        <v>237</v>
      </c>
      <c r="J4">
        <f>_xlfn.XLOOKUP(G4,[1]!tblProductMaster[SKU],[1]!tblProductMaster[List Price])</f>
        <v>8.99</v>
      </c>
      <c r="K4" t="s">
        <v>86</v>
      </c>
      <c r="L4" s="3">
        <v>0</v>
      </c>
      <c r="M4" s="9">
        <f t="shared" si="0"/>
        <v>8.99</v>
      </c>
      <c r="N4" s="8">
        <f t="shared" si="1"/>
        <v>2130.63</v>
      </c>
      <c r="O4" s="9">
        <f>_xlfn.XLOOKUP(G4,[1]!tblProductMaster[SKU],[1]!tblProductMaster[Unit Cost])</f>
        <v>4</v>
      </c>
      <c r="P4" s="8">
        <f t="shared" si="2"/>
        <v>948</v>
      </c>
      <c r="Q4" s="8">
        <f t="shared" si="3"/>
        <v>1182.6300000000001</v>
      </c>
      <c r="R4" s="4">
        <f t="shared" si="4"/>
        <v>0.55506117908787544</v>
      </c>
      <c r="S4" t="s">
        <v>87</v>
      </c>
      <c r="T4">
        <f>Table6[[#This Row],[Discount]]*Table6[[#This Row],[List Price]]*Table6[[#This Row],[Units]]</f>
        <v>0</v>
      </c>
    </row>
    <row r="5" spans="1:20" x14ac:dyDescent="0.2">
      <c r="A5" t="s">
        <v>92</v>
      </c>
      <c r="B5" s="2">
        <v>46340.884594825875</v>
      </c>
      <c r="C5" t="s">
        <v>93</v>
      </c>
      <c r="D5" t="s">
        <v>85</v>
      </c>
      <c r="E5" t="s">
        <v>56</v>
      </c>
      <c r="F5" t="s">
        <v>15</v>
      </c>
      <c r="G5" t="s">
        <v>62</v>
      </c>
      <c r="H5" t="str">
        <f>_xlfn.XLOOKUP(Table6[[#This Row],[SKU]],tblProductMaster[SKU],tblProductMaster[Product])</f>
        <v>Mouthwash 500ml</v>
      </c>
      <c r="I5">
        <v>1121</v>
      </c>
      <c r="J5">
        <f>_xlfn.XLOOKUP(G5,[1]!tblProductMaster[SKU],[1]!tblProductMaster[List Price])</f>
        <v>5.99</v>
      </c>
      <c r="K5" t="s">
        <v>89</v>
      </c>
      <c r="L5" s="3">
        <v>0.2</v>
      </c>
      <c r="M5" s="9">
        <f t="shared" si="0"/>
        <v>4.7920000000000007</v>
      </c>
      <c r="N5" s="8">
        <f t="shared" si="1"/>
        <v>5371.8320000000003</v>
      </c>
      <c r="O5" s="9">
        <f>_xlfn.XLOOKUP(G5,[1]!tblProductMaster[SKU],[1]!tblProductMaster[Unit Cost])</f>
        <v>2.4</v>
      </c>
      <c r="P5" s="8">
        <f t="shared" si="2"/>
        <v>2690.4</v>
      </c>
      <c r="Q5" s="8">
        <f t="shared" si="3"/>
        <v>2681.4320000000002</v>
      </c>
      <c r="R5" s="4">
        <f t="shared" si="4"/>
        <v>0.4991652754590985</v>
      </c>
      <c r="S5" t="s">
        <v>94</v>
      </c>
      <c r="T5">
        <f>Table6[[#This Row],[Discount]]*Table6[[#This Row],[List Price]]*Table6[[#This Row],[Units]]</f>
        <v>1342.9580000000001</v>
      </c>
    </row>
    <row r="6" spans="1:20" x14ac:dyDescent="0.2">
      <c r="A6" t="s">
        <v>95</v>
      </c>
      <c r="B6" s="2">
        <v>46328.882482839501</v>
      </c>
      <c r="C6" t="s">
        <v>84</v>
      </c>
      <c r="D6" t="s">
        <v>96</v>
      </c>
      <c r="E6" t="s">
        <v>25</v>
      </c>
      <c r="F6" t="s">
        <v>7</v>
      </c>
      <c r="G6" t="s">
        <v>31</v>
      </c>
      <c r="H6" t="str">
        <f>_xlfn.XLOOKUP(Table6[[#This Row],[SKU]],tblProductMaster[SKU],tblProductMaster[Product])</f>
        <v>Facial Cleanser</v>
      </c>
      <c r="I6">
        <v>391</v>
      </c>
      <c r="J6">
        <f>_xlfn.XLOOKUP(G6,[1]!tblProductMaster[SKU],[1]!tblProductMaster[List Price])</f>
        <v>8.49</v>
      </c>
      <c r="K6" t="s">
        <v>86</v>
      </c>
      <c r="L6" s="3">
        <v>0</v>
      </c>
      <c r="M6" s="9">
        <f t="shared" si="0"/>
        <v>8.49</v>
      </c>
      <c r="N6" s="8">
        <f t="shared" si="1"/>
        <v>3319.59</v>
      </c>
      <c r="O6" s="9">
        <f>_xlfn.XLOOKUP(G6,[1]!tblProductMaster[SKU],[1]!tblProductMaster[Unit Cost])</f>
        <v>3.5</v>
      </c>
      <c r="P6" s="8">
        <f t="shared" si="2"/>
        <v>1368.5</v>
      </c>
      <c r="Q6" s="8">
        <f t="shared" si="3"/>
        <v>1951.0900000000001</v>
      </c>
      <c r="R6" s="4">
        <f t="shared" si="4"/>
        <v>0.58775029446407545</v>
      </c>
      <c r="S6" t="s">
        <v>87</v>
      </c>
      <c r="T6">
        <f>Table6[[#This Row],[Discount]]*Table6[[#This Row],[List Price]]*Table6[[#This Row],[Units]]</f>
        <v>0</v>
      </c>
    </row>
    <row r="7" spans="1:20" x14ac:dyDescent="0.2">
      <c r="A7" t="s">
        <v>97</v>
      </c>
      <c r="B7" s="2">
        <v>46254.205747141474</v>
      </c>
      <c r="C7" t="s">
        <v>98</v>
      </c>
      <c r="D7" t="s">
        <v>96</v>
      </c>
      <c r="E7" t="s">
        <v>56</v>
      </c>
      <c r="F7" t="s">
        <v>15</v>
      </c>
      <c r="G7" t="s">
        <v>62</v>
      </c>
      <c r="H7" t="str">
        <f>_xlfn.XLOOKUP(Table6[[#This Row],[SKU]],tblProductMaster[SKU],tblProductMaster[Product])</f>
        <v>Mouthwash 500ml</v>
      </c>
      <c r="I7">
        <v>695</v>
      </c>
      <c r="J7">
        <f>_xlfn.XLOOKUP(G7,[1]!tblProductMaster[SKU],[1]!tblProductMaster[List Price])</f>
        <v>5.99</v>
      </c>
      <c r="K7" t="s">
        <v>89</v>
      </c>
      <c r="L7" s="3">
        <v>0.1</v>
      </c>
      <c r="M7" s="9">
        <f t="shared" si="0"/>
        <v>5.391</v>
      </c>
      <c r="N7" s="8">
        <f t="shared" si="1"/>
        <v>3746.7449999999999</v>
      </c>
      <c r="O7" s="9">
        <f>_xlfn.XLOOKUP(G7,[1]!tblProductMaster[SKU],[1]!tblProductMaster[Unit Cost])</f>
        <v>2.4</v>
      </c>
      <c r="P7" s="8">
        <f t="shared" si="2"/>
        <v>1668</v>
      </c>
      <c r="Q7" s="8">
        <f t="shared" si="3"/>
        <v>2078.7449999999999</v>
      </c>
      <c r="R7" s="4">
        <f t="shared" si="4"/>
        <v>0.5548135781858653</v>
      </c>
      <c r="S7" t="s">
        <v>99</v>
      </c>
      <c r="T7">
        <f>Table6[[#This Row],[Discount]]*Table6[[#This Row],[List Price]]*Table6[[#This Row],[Units]]</f>
        <v>416.30500000000006</v>
      </c>
    </row>
    <row r="8" spans="1:20" x14ac:dyDescent="0.2">
      <c r="A8" t="s">
        <v>100</v>
      </c>
      <c r="B8" s="2">
        <v>46346.872045996781</v>
      </c>
      <c r="C8" t="s">
        <v>93</v>
      </c>
      <c r="D8" t="s">
        <v>85</v>
      </c>
      <c r="E8" t="s">
        <v>25</v>
      </c>
      <c r="F8" t="s">
        <v>18</v>
      </c>
      <c r="G8" t="s">
        <v>37</v>
      </c>
      <c r="H8" t="str">
        <f>_xlfn.XLOOKUP(Table6[[#This Row],[SKU]],tblProductMaster[SKU],tblProductMaster[Product])</f>
        <v>Body Wash</v>
      </c>
      <c r="I8">
        <v>341</v>
      </c>
      <c r="J8">
        <f>_xlfn.XLOOKUP(G8,[1]!tblProductMaster[SKU],[1]!tblProductMaster[List Price])</f>
        <v>5.49</v>
      </c>
      <c r="K8" t="s">
        <v>86</v>
      </c>
      <c r="L8" s="3">
        <v>0</v>
      </c>
      <c r="M8" s="9">
        <f t="shared" si="0"/>
        <v>5.49</v>
      </c>
      <c r="N8" s="8">
        <f t="shared" si="1"/>
        <v>1872.0900000000001</v>
      </c>
      <c r="O8" s="9">
        <f>_xlfn.XLOOKUP(G8,[1]!tblProductMaster[SKU],[1]!tblProductMaster[Unit Cost])</f>
        <v>2.2999999999999998</v>
      </c>
      <c r="P8" s="8">
        <f t="shared" si="2"/>
        <v>784.3</v>
      </c>
      <c r="Q8" s="8">
        <f t="shared" si="3"/>
        <v>1087.7900000000002</v>
      </c>
      <c r="R8" s="4">
        <f t="shared" si="4"/>
        <v>0.58105646630236796</v>
      </c>
      <c r="S8" t="s">
        <v>87</v>
      </c>
      <c r="T8">
        <f>Table6[[#This Row],[Discount]]*Table6[[#This Row],[List Price]]*Table6[[#This Row],[Units]]</f>
        <v>0</v>
      </c>
    </row>
    <row r="9" spans="1:20" x14ac:dyDescent="0.2">
      <c r="A9" t="s">
        <v>101</v>
      </c>
      <c r="B9" s="2">
        <v>46172.365538408951</v>
      </c>
      <c r="C9" t="s">
        <v>84</v>
      </c>
      <c r="D9" t="s">
        <v>96</v>
      </c>
      <c r="E9" t="s">
        <v>25</v>
      </c>
      <c r="F9" t="s">
        <v>7</v>
      </c>
      <c r="G9" t="s">
        <v>24</v>
      </c>
      <c r="H9" t="str">
        <f>_xlfn.XLOOKUP(Table6[[#This Row],[SKU]],tblProductMaster[SKU],tblProductMaster[Product])</f>
        <v>Body Lotion 400ml</v>
      </c>
      <c r="I9">
        <v>787</v>
      </c>
      <c r="J9">
        <f>_xlfn.XLOOKUP(G9,[1]!tblProductMaster[SKU],[1]!tblProductMaster[List Price])</f>
        <v>7.99</v>
      </c>
      <c r="K9" t="s">
        <v>86</v>
      </c>
      <c r="L9" s="3">
        <v>0</v>
      </c>
      <c r="M9" s="9">
        <f t="shared" si="0"/>
        <v>7.99</v>
      </c>
      <c r="N9" s="8">
        <f t="shared" si="1"/>
        <v>6288.13</v>
      </c>
      <c r="O9" s="9">
        <f>_xlfn.XLOOKUP(G9,[1]!tblProductMaster[SKU],[1]!tblProductMaster[Unit Cost])</f>
        <v>3.1</v>
      </c>
      <c r="P9" s="8">
        <f t="shared" si="2"/>
        <v>2439.7000000000003</v>
      </c>
      <c r="Q9" s="8">
        <f t="shared" si="3"/>
        <v>3848.43</v>
      </c>
      <c r="R9" s="4">
        <f t="shared" si="4"/>
        <v>0.61201501877346676</v>
      </c>
      <c r="S9" t="s">
        <v>87</v>
      </c>
      <c r="T9">
        <f>Table6[[#This Row],[Discount]]*Table6[[#This Row],[List Price]]*Table6[[#This Row],[Units]]</f>
        <v>0</v>
      </c>
    </row>
    <row r="10" spans="1:20" x14ac:dyDescent="0.2">
      <c r="A10" t="s">
        <v>102</v>
      </c>
      <c r="B10" s="2">
        <v>46290.629916220001</v>
      </c>
      <c r="C10" t="s">
        <v>84</v>
      </c>
      <c r="D10" t="s">
        <v>96</v>
      </c>
      <c r="E10" t="s">
        <v>8</v>
      </c>
      <c r="F10" t="s">
        <v>7</v>
      </c>
      <c r="G10" t="s">
        <v>6</v>
      </c>
      <c r="H10" t="str">
        <f>_xlfn.XLOOKUP(Table6[[#This Row],[SKU]],tblProductMaster[SKU],tblProductMaster[Product])</f>
        <v>Shampoo 250ml</v>
      </c>
      <c r="I10">
        <v>444</v>
      </c>
      <c r="J10">
        <f>_xlfn.XLOOKUP(G10,[1]!tblProductMaster[SKU],[1]!tblProductMaster[List Price])</f>
        <v>5.99</v>
      </c>
      <c r="K10" t="s">
        <v>86</v>
      </c>
      <c r="L10" s="3">
        <v>0</v>
      </c>
      <c r="M10" s="9">
        <f t="shared" si="0"/>
        <v>5.99</v>
      </c>
      <c r="N10" s="8">
        <f t="shared" si="1"/>
        <v>2659.56</v>
      </c>
      <c r="O10" s="9">
        <f>_xlfn.XLOOKUP(G10,[1]!tblProductMaster[SKU],[1]!tblProductMaster[Unit Cost])</f>
        <v>2.4</v>
      </c>
      <c r="P10" s="8">
        <f t="shared" si="2"/>
        <v>1065.5999999999999</v>
      </c>
      <c r="Q10" s="8">
        <f t="shared" si="3"/>
        <v>1593.96</v>
      </c>
      <c r="R10" s="4">
        <f t="shared" si="4"/>
        <v>0.59933222036727885</v>
      </c>
      <c r="S10" t="s">
        <v>87</v>
      </c>
      <c r="T10">
        <f>Table6[[#This Row],[Discount]]*Table6[[#This Row],[List Price]]*Table6[[#This Row],[Units]]</f>
        <v>0</v>
      </c>
    </row>
    <row r="11" spans="1:20" x14ac:dyDescent="0.2">
      <c r="A11" t="s">
        <v>103</v>
      </c>
      <c r="B11" s="2">
        <v>46187.48094296483</v>
      </c>
      <c r="C11" t="s">
        <v>84</v>
      </c>
      <c r="D11" t="s">
        <v>104</v>
      </c>
      <c r="E11" t="s">
        <v>25</v>
      </c>
      <c r="F11" t="s">
        <v>18</v>
      </c>
      <c r="G11" t="s">
        <v>27</v>
      </c>
      <c r="H11" t="str">
        <f>_xlfn.XLOOKUP(Table6[[#This Row],[SKU]],tblProductMaster[SKU],tblProductMaster[Product])</f>
        <v>Face Cream 50ml</v>
      </c>
      <c r="I11">
        <v>706</v>
      </c>
      <c r="J11">
        <f>_xlfn.XLOOKUP(G11,[1]!tblProductMaster[SKU],[1]!tblProductMaster[List Price])</f>
        <v>9.99</v>
      </c>
      <c r="K11" t="s">
        <v>86</v>
      </c>
      <c r="L11" s="3">
        <v>0</v>
      </c>
      <c r="M11" s="9">
        <f t="shared" si="0"/>
        <v>9.99</v>
      </c>
      <c r="N11" s="8">
        <f t="shared" si="1"/>
        <v>7052.9400000000005</v>
      </c>
      <c r="O11" s="9">
        <f>_xlfn.XLOOKUP(G11,[1]!tblProductMaster[SKU],[1]!tblProductMaster[Unit Cost])</f>
        <v>4.2</v>
      </c>
      <c r="P11" s="8">
        <f t="shared" si="2"/>
        <v>2965.2000000000003</v>
      </c>
      <c r="Q11" s="8">
        <f t="shared" si="3"/>
        <v>4087.7400000000002</v>
      </c>
      <c r="R11" s="4">
        <f t="shared" si="4"/>
        <v>0.57957957957957962</v>
      </c>
      <c r="S11" t="s">
        <v>87</v>
      </c>
      <c r="T11">
        <f>Table6[[#This Row],[Discount]]*Table6[[#This Row],[List Price]]*Table6[[#This Row],[Units]]</f>
        <v>0</v>
      </c>
    </row>
    <row r="12" spans="1:20" x14ac:dyDescent="0.2">
      <c r="A12" t="s">
        <v>105</v>
      </c>
      <c r="B12" s="2">
        <v>46041.826949802868</v>
      </c>
      <c r="C12" t="s">
        <v>84</v>
      </c>
      <c r="D12" t="s">
        <v>85</v>
      </c>
      <c r="E12" t="s">
        <v>8</v>
      </c>
      <c r="F12" t="s">
        <v>15</v>
      </c>
      <c r="G12" t="s">
        <v>14</v>
      </c>
      <c r="H12" t="str">
        <f>_xlfn.XLOOKUP(Table6[[#This Row],[SKU]],tblProductMaster[SKU],tblProductMaster[Product])</f>
        <v>Shampoo 250ml</v>
      </c>
      <c r="I12">
        <v>683</v>
      </c>
      <c r="J12">
        <f>_xlfn.XLOOKUP(G12,[1]!tblProductMaster[SKU],[1]!tblProductMaster[List Price])</f>
        <v>4.99</v>
      </c>
      <c r="K12" t="s">
        <v>86</v>
      </c>
      <c r="L12" s="3">
        <v>0</v>
      </c>
      <c r="M12" s="9">
        <f t="shared" si="0"/>
        <v>4.99</v>
      </c>
      <c r="N12" s="8">
        <f t="shared" si="1"/>
        <v>3408.17</v>
      </c>
      <c r="O12" s="9">
        <f>_xlfn.XLOOKUP(G12,[1]!tblProductMaster[SKU],[1]!tblProductMaster[Unit Cost])</f>
        <v>2.1</v>
      </c>
      <c r="P12" s="8">
        <f t="shared" si="2"/>
        <v>1434.3</v>
      </c>
      <c r="Q12" s="8">
        <f t="shared" si="3"/>
        <v>1973.8700000000001</v>
      </c>
      <c r="R12" s="4">
        <f t="shared" si="4"/>
        <v>0.57915831663326656</v>
      </c>
      <c r="S12" t="s">
        <v>87</v>
      </c>
      <c r="T12">
        <f>Table6[[#This Row],[Discount]]*Table6[[#This Row],[List Price]]*Table6[[#This Row],[Units]]</f>
        <v>0</v>
      </c>
    </row>
    <row r="13" spans="1:20" x14ac:dyDescent="0.2">
      <c r="A13" t="s">
        <v>106</v>
      </c>
      <c r="B13" s="2">
        <v>46027.669406878318</v>
      </c>
      <c r="C13" t="s">
        <v>93</v>
      </c>
      <c r="D13" t="s">
        <v>85</v>
      </c>
      <c r="E13" t="s">
        <v>40</v>
      </c>
      <c r="F13" t="s">
        <v>7</v>
      </c>
      <c r="G13" t="s">
        <v>44</v>
      </c>
      <c r="H13" t="str">
        <f>_xlfn.XLOOKUP(Table6[[#This Row],[SKU]],tblProductMaster[SKU],tblProductMaster[Product])</f>
        <v>Fabric Softener</v>
      </c>
      <c r="I13">
        <v>529</v>
      </c>
      <c r="J13">
        <f>_xlfn.XLOOKUP(G13,[1]!tblProductMaster[SKU],[1]!tblProductMaster[List Price])</f>
        <v>6.99</v>
      </c>
      <c r="K13" t="s">
        <v>89</v>
      </c>
      <c r="L13" s="3">
        <v>0.3</v>
      </c>
      <c r="M13" s="9">
        <f t="shared" si="0"/>
        <v>4.8929999999999998</v>
      </c>
      <c r="N13" s="8">
        <f t="shared" si="1"/>
        <v>2588.3969999999999</v>
      </c>
      <c r="O13" s="9">
        <f>_xlfn.XLOOKUP(G13,[1]!tblProductMaster[SKU],[1]!tblProductMaster[Unit Cost])</f>
        <v>2.9</v>
      </c>
      <c r="P13" s="8">
        <f t="shared" si="2"/>
        <v>1534.1</v>
      </c>
      <c r="Q13" s="8">
        <f t="shared" si="3"/>
        <v>1054.297</v>
      </c>
      <c r="R13" s="4">
        <f t="shared" si="4"/>
        <v>0.40731657469854898</v>
      </c>
      <c r="S13" t="s">
        <v>99</v>
      </c>
      <c r="T13">
        <f>Table6[[#This Row],[Discount]]*Table6[[#This Row],[List Price]]*Table6[[#This Row],[Units]]</f>
        <v>1109.3129999999999</v>
      </c>
    </row>
    <row r="14" spans="1:20" x14ac:dyDescent="0.2">
      <c r="A14" t="s">
        <v>107</v>
      </c>
      <c r="B14" s="2">
        <v>46356.636008931768</v>
      </c>
      <c r="C14" t="s">
        <v>98</v>
      </c>
      <c r="D14" t="s">
        <v>96</v>
      </c>
      <c r="E14" t="s">
        <v>56</v>
      </c>
      <c r="F14" t="s">
        <v>7</v>
      </c>
      <c r="G14" t="s">
        <v>64</v>
      </c>
      <c r="H14" t="str">
        <f>_xlfn.XLOOKUP(Table6[[#This Row],[SKU]],tblProductMaster[SKU],tblProductMaster[Product])</f>
        <v>Toothbrush</v>
      </c>
      <c r="I14">
        <v>403</v>
      </c>
      <c r="J14">
        <f>_xlfn.XLOOKUP(G14,[1]!tblProductMaster[SKU],[1]!tblProductMaster[List Price])</f>
        <v>3.99</v>
      </c>
      <c r="K14" t="s">
        <v>89</v>
      </c>
      <c r="L14" s="3">
        <v>0.1</v>
      </c>
      <c r="M14" s="9">
        <f t="shared" si="0"/>
        <v>3.5910000000000002</v>
      </c>
      <c r="N14" s="8">
        <f t="shared" si="1"/>
        <v>1447.173</v>
      </c>
      <c r="O14" s="9">
        <f>_xlfn.XLOOKUP(G14,[1]!tblProductMaster[SKU],[1]!tblProductMaster[Unit Cost])</f>
        <v>1.5</v>
      </c>
      <c r="P14" s="8">
        <f t="shared" si="2"/>
        <v>604.5</v>
      </c>
      <c r="Q14" s="8">
        <f t="shared" si="3"/>
        <v>842.673</v>
      </c>
      <c r="R14" s="4">
        <f t="shared" si="4"/>
        <v>0.58228905597326652</v>
      </c>
      <c r="S14" t="s">
        <v>94</v>
      </c>
      <c r="T14">
        <f>Table6[[#This Row],[Discount]]*Table6[[#This Row],[List Price]]*Table6[[#This Row],[Units]]</f>
        <v>160.797</v>
      </c>
    </row>
    <row r="15" spans="1:20" x14ac:dyDescent="0.2">
      <c r="A15" t="s">
        <v>108</v>
      </c>
      <c r="B15" s="2">
        <v>46309.587452035237</v>
      </c>
      <c r="C15" t="s">
        <v>93</v>
      </c>
      <c r="D15" t="s">
        <v>85</v>
      </c>
      <c r="E15" t="s">
        <v>40</v>
      </c>
      <c r="F15" t="s">
        <v>18</v>
      </c>
      <c r="G15" t="s">
        <v>42</v>
      </c>
      <c r="H15" t="str">
        <f>_xlfn.XLOOKUP(Table6[[#This Row],[SKU]],tblProductMaster[SKU],tblProductMaster[Product])</f>
        <v>Detergent Capsules</v>
      </c>
      <c r="I15">
        <v>227</v>
      </c>
      <c r="J15">
        <f>_xlfn.XLOOKUP(G15,[1]!tblProductMaster[SKU],[1]!tblProductMaster[List Price])</f>
        <v>11.99</v>
      </c>
      <c r="K15" t="s">
        <v>86</v>
      </c>
      <c r="L15" s="3">
        <v>0</v>
      </c>
      <c r="M15" s="9">
        <f t="shared" si="0"/>
        <v>11.99</v>
      </c>
      <c r="N15" s="8">
        <f t="shared" si="1"/>
        <v>2721.73</v>
      </c>
      <c r="O15" s="9">
        <f>_xlfn.XLOOKUP(G15,[1]!tblProductMaster[SKU],[1]!tblProductMaster[Unit Cost])</f>
        <v>5.2</v>
      </c>
      <c r="P15" s="8">
        <f t="shared" si="2"/>
        <v>1180.4000000000001</v>
      </c>
      <c r="Q15" s="8">
        <f t="shared" si="3"/>
        <v>1541.33</v>
      </c>
      <c r="R15" s="4">
        <f t="shared" si="4"/>
        <v>0.56630525437864887</v>
      </c>
      <c r="S15" t="s">
        <v>87</v>
      </c>
      <c r="T15">
        <f>Table6[[#This Row],[Discount]]*Table6[[#This Row],[List Price]]*Table6[[#This Row],[Units]]</f>
        <v>0</v>
      </c>
    </row>
    <row r="16" spans="1:20" x14ac:dyDescent="0.2">
      <c r="A16" t="s">
        <v>109</v>
      </c>
      <c r="B16" s="2">
        <v>46052.590915072375</v>
      </c>
      <c r="C16" t="s">
        <v>84</v>
      </c>
      <c r="D16" t="s">
        <v>85</v>
      </c>
      <c r="E16" t="s">
        <v>25</v>
      </c>
      <c r="F16" t="s">
        <v>18</v>
      </c>
      <c r="G16" t="s">
        <v>27</v>
      </c>
      <c r="H16" t="str">
        <f>_xlfn.XLOOKUP(Table6[[#This Row],[SKU]],tblProductMaster[SKU],tblProductMaster[Product])</f>
        <v>Face Cream 50ml</v>
      </c>
      <c r="I16">
        <v>746</v>
      </c>
      <c r="J16">
        <f>_xlfn.XLOOKUP(G16,[1]!tblProductMaster[SKU],[1]!tblProductMaster[List Price])</f>
        <v>9.99</v>
      </c>
      <c r="K16" t="s">
        <v>86</v>
      </c>
      <c r="L16" s="3">
        <v>0</v>
      </c>
      <c r="M16" s="9">
        <f t="shared" si="0"/>
        <v>9.99</v>
      </c>
      <c r="N16" s="8">
        <f t="shared" si="1"/>
        <v>7452.54</v>
      </c>
      <c r="O16" s="9">
        <f>_xlfn.XLOOKUP(G16,[1]!tblProductMaster[SKU],[1]!tblProductMaster[Unit Cost])</f>
        <v>4.2</v>
      </c>
      <c r="P16" s="8">
        <f t="shared" si="2"/>
        <v>3133.2000000000003</v>
      </c>
      <c r="Q16" s="8">
        <f t="shared" si="3"/>
        <v>4319.34</v>
      </c>
      <c r="R16" s="4">
        <f t="shared" si="4"/>
        <v>0.57957957957957962</v>
      </c>
      <c r="S16" t="s">
        <v>87</v>
      </c>
      <c r="T16">
        <f>Table6[[#This Row],[Discount]]*Table6[[#This Row],[List Price]]*Table6[[#This Row],[Units]]</f>
        <v>0</v>
      </c>
    </row>
    <row r="17" spans="1:20" x14ac:dyDescent="0.2">
      <c r="A17" t="s">
        <v>110</v>
      </c>
      <c r="B17" s="2">
        <v>46259.654346860298</v>
      </c>
      <c r="C17" t="s">
        <v>98</v>
      </c>
      <c r="D17" t="s">
        <v>96</v>
      </c>
      <c r="E17" t="s">
        <v>56</v>
      </c>
      <c r="F17" t="s">
        <v>7</v>
      </c>
      <c r="G17" t="s">
        <v>58</v>
      </c>
      <c r="H17" t="str">
        <f>_xlfn.XLOOKUP(Table6[[#This Row],[SKU]],tblProductMaster[SKU],tblProductMaster[Product])</f>
        <v>Whitening Toothpaste</v>
      </c>
      <c r="I17">
        <v>240</v>
      </c>
      <c r="J17">
        <f>_xlfn.XLOOKUP(G17,[1]!tblProductMaster[SKU],[1]!tblProductMaster[List Price])</f>
        <v>4.99</v>
      </c>
      <c r="K17" t="s">
        <v>86</v>
      </c>
      <c r="L17" s="3">
        <v>0</v>
      </c>
      <c r="M17" s="9">
        <f t="shared" si="0"/>
        <v>4.99</v>
      </c>
      <c r="N17" s="8">
        <f t="shared" si="1"/>
        <v>1197.6000000000001</v>
      </c>
      <c r="O17" s="9">
        <f>_xlfn.XLOOKUP(G17,[1]!tblProductMaster[SKU],[1]!tblProductMaster[Unit Cost])</f>
        <v>1.8</v>
      </c>
      <c r="P17" s="8">
        <f t="shared" si="2"/>
        <v>432</v>
      </c>
      <c r="Q17" s="8">
        <f t="shared" si="3"/>
        <v>765.60000000000014</v>
      </c>
      <c r="R17" s="4">
        <f t="shared" si="4"/>
        <v>0.63927855711422854</v>
      </c>
      <c r="S17" t="s">
        <v>87</v>
      </c>
      <c r="T17">
        <f>Table6[[#This Row],[Discount]]*Table6[[#This Row],[List Price]]*Table6[[#This Row],[Units]]</f>
        <v>0</v>
      </c>
    </row>
    <row r="18" spans="1:20" x14ac:dyDescent="0.2">
      <c r="A18" t="s">
        <v>111</v>
      </c>
      <c r="B18" s="2">
        <v>46305.612318213833</v>
      </c>
      <c r="C18" t="s">
        <v>84</v>
      </c>
      <c r="D18" t="s">
        <v>104</v>
      </c>
      <c r="E18" t="s">
        <v>40</v>
      </c>
      <c r="F18" t="s">
        <v>15</v>
      </c>
      <c r="G18" t="s">
        <v>46</v>
      </c>
      <c r="H18" t="str">
        <f>_xlfn.XLOOKUP(Table6[[#This Row],[SKU]],tblProductMaster[SKU],tblProductMaster[Product])</f>
        <v>Stain Remover</v>
      </c>
      <c r="I18">
        <v>593</v>
      </c>
      <c r="J18">
        <f>_xlfn.XLOOKUP(G18,[1]!tblProductMaster[SKU],[1]!tblProductMaster[List Price])</f>
        <v>5.99</v>
      </c>
      <c r="K18" t="s">
        <v>86</v>
      </c>
      <c r="L18" s="3">
        <v>0</v>
      </c>
      <c r="M18" s="9">
        <f t="shared" si="0"/>
        <v>5.99</v>
      </c>
      <c r="N18" s="8">
        <f t="shared" si="1"/>
        <v>3552.07</v>
      </c>
      <c r="O18" s="9">
        <f>_xlfn.XLOOKUP(G18,[1]!tblProductMaster[SKU],[1]!tblProductMaster[Unit Cost])</f>
        <v>2.5</v>
      </c>
      <c r="P18" s="8">
        <f t="shared" si="2"/>
        <v>1482.5</v>
      </c>
      <c r="Q18" s="8">
        <f t="shared" si="3"/>
        <v>2069.5700000000002</v>
      </c>
      <c r="R18" s="4">
        <f t="shared" si="4"/>
        <v>0.58263772954924875</v>
      </c>
      <c r="S18" t="s">
        <v>87</v>
      </c>
      <c r="T18">
        <f>Table6[[#This Row],[Discount]]*Table6[[#This Row],[List Price]]*Table6[[#This Row],[Units]]</f>
        <v>0</v>
      </c>
    </row>
    <row r="19" spans="1:20" x14ac:dyDescent="0.2">
      <c r="A19" t="s">
        <v>112</v>
      </c>
      <c r="B19" s="2">
        <v>46042.788368565278</v>
      </c>
      <c r="C19" t="s">
        <v>84</v>
      </c>
      <c r="D19" t="s">
        <v>96</v>
      </c>
      <c r="E19" t="s">
        <v>8</v>
      </c>
      <c r="F19" t="s">
        <v>18</v>
      </c>
      <c r="G19" t="s">
        <v>17</v>
      </c>
      <c r="H19" t="str">
        <f>_xlfn.XLOOKUP(Table6[[#This Row],[SKU]],tblProductMaster[SKU],tblProductMaster[Product])</f>
        <v>Anti-Dandruff Shampoo</v>
      </c>
      <c r="I19">
        <v>1169</v>
      </c>
      <c r="J19">
        <f>_xlfn.XLOOKUP(G19,[1]!tblProductMaster[SKU],[1]!tblProductMaster[List Price])</f>
        <v>6.49</v>
      </c>
      <c r="K19" t="s">
        <v>89</v>
      </c>
      <c r="L19" s="3">
        <v>0.2</v>
      </c>
      <c r="M19" s="9">
        <f t="shared" si="0"/>
        <v>5.1920000000000002</v>
      </c>
      <c r="N19" s="8">
        <f t="shared" si="1"/>
        <v>6069.4480000000003</v>
      </c>
      <c r="O19" s="9">
        <f>_xlfn.XLOOKUP(G19,[1]!tblProductMaster[SKU],[1]!tblProductMaster[Unit Cost])</f>
        <v>2.8</v>
      </c>
      <c r="P19" s="8">
        <f t="shared" si="2"/>
        <v>3273.2</v>
      </c>
      <c r="Q19" s="8">
        <f t="shared" si="3"/>
        <v>2796.2480000000005</v>
      </c>
      <c r="R19" s="4">
        <f t="shared" si="4"/>
        <v>0.46070878274268112</v>
      </c>
      <c r="S19" t="s">
        <v>94</v>
      </c>
      <c r="T19">
        <f>Table6[[#This Row],[Discount]]*Table6[[#This Row],[List Price]]*Table6[[#This Row],[Units]]</f>
        <v>1517.3620000000001</v>
      </c>
    </row>
    <row r="20" spans="1:20" x14ac:dyDescent="0.2">
      <c r="A20" t="s">
        <v>113</v>
      </c>
      <c r="B20" s="2">
        <v>46231.258748599517</v>
      </c>
      <c r="C20" t="s">
        <v>93</v>
      </c>
      <c r="D20" t="s">
        <v>96</v>
      </c>
      <c r="E20" t="s">
        <v>40</v>
      </c>
      <c r="F20" t="s">
        <v>18</v>
      </c>
      <c r="G20" t="s">
        <v>54</v>
      </c>
      <c r="H20" t="str">
        <f>_xlfn.XLOOKUP(Table6[[#This Row],[SKU]],tblProductMaster[SKU],tblProductMaster[Product])</f>
        <v>Fabric Softener</v>
      </c>
      <c r="I20">
        <v>700</v>
      </c>
      <c r="J20">
        <f>_xlfn.XLOOKUP(G20,[1]!tblProductMaster[SKU],[1]!tblProductMaster[List Price])</f>
        <v>5.49</v>
      </c>
      <c r="K20" t="s">
        <v>86</v>
      </c>
      <c r="L20" s="3">
        <v>0</v>
      </c>
      <c r="M20" s="9">
        <f t="shared" si="0"/>
        <v>5.49</v>
      </c>
      <c r="N20" s="8">
        <f t="shared" si="1"/>
        <v>3843</v>
      </c>
      <c r="O20" s="9">
        <f>_xlfn.XLOOKUP(G20,[1]!tblProductMaster[SKU],[1]!tblProductMaster[Unit Cost])</f>
        <v>2.4</v>
      </c>
      <c r="P20" s="8">
        <f t="shared" si="2"/>
        <v>1680</v>
      </c>
      <c r="Q20" s="8">
        <f t="shared" si="3"/>
        <v>2163</v>
      </c>
      <c r="R20" s="4">
        <f t="shared" si="4"/>
        <v>0.56284153005464477</v>
      </c>
      <c r="S20" t="s">
        <v>87</v>
      </c>
      <c r="T20">
        <f>Table6[[#This Row],[Discount]]*Table6[[#This Row],[List Price]]*Table6[[#This Row],[Units]]</f>
        <v>0</v>
      </c>
    </row>
    <row r="21" spans="1:20" x14ac:dyDescent="0.2">
      <c r="A21" t="s">
        <v>114</v>
      </c>
      <c r="B21" s="2">
        <v>46305.445030696159</v>
      </c>
      <c r="C21" t="s">
        <v>93</v>
      </c>
      <c r="D21" t="s">
        <v>85</v>
      </c>
      <c r="E21" t="s">
        <v>56</v>
      </c>
      <c r="F21" t="s">
        <v>18</v>
      </c>
      <c r="G21" t="s">
        <v>60</v>
      </c>
      <c r="H21" t="str">
        <f>_xlfn.XLOOKUP(Table6[[#This Row],[SKU]],tblProductMaster[SKU],tblProductMaster[Product])</f>
        <v>Sensitive Toothpaste</v>
      </c>
      <c r="I21">
        <v>647</v>
      </c>
      <c r="J21">
        <f>_xlfn.XLOOKUP(G21,[1]!tblProductMaster[SKU],[1]!tblProductMaster[List Price])</f>
        <v>4.49</v>
      </c>
      <c r="K21" t="s">
        <v>89</v>
      </c>
      <c r="L21" s="3">
        <v>0.1</v>
      </c>
      <c r="M21" s="9">
        <f t="shared" si="0"/>
        <v>4.0410000000000004</v>
      </c>
      <c r="N21" s="8">
        <f t="shared" si="1"/>
        <v>2614.527</v>
      </c>
      <c r="O21" s="9">
        <f>_xlfn.XLOOKUP(G21,[1]!tblProductMaster[SKU],[1]!tblProductMaster[Unit Cost])</f>
        <v>1.7</v>
      </c>
      <c r="P21" s="8">
        <f t="shared" si="2"/>
        <v>1099.8999999999999</v>
      </c>
      <c r="Q21" s="8">
        <f t="shared" si="3"/>
        <v>1514.6270000000002</v>
      </c>
      <c r="R21" s="4">
        <f t="shared" si="4"/>
        <v>0.57931205147240783</v>
      </c>
      <c r="S21" t="s">
        <v>99</v>
      </c>
      <c r="T21">
        <f>Table6[[#This Row],[Discount]]*Table6[[#This Row],[List Price]]*Table6[[#This Row],[Units]]</f>
        <v>290.50300000000004</v>
      </c>
    </row>
    <row r="22" spans="1:20" x14ac:dyDescent="0.2">
      <c r="A22" t="s">
        <v>115</v>
      </c>
      <c r="B22" s="2">
        <v>46209.10634253273</v>
      </c>
      <c r="C22" t="s">
        <v>93</v>
      </c>
      <c r="D22" t="s">
        <v>85</v>
      </c>
      <c r="E22" t="s">
        <v>40</v>
      </c>
      <c r="F22" t="s">
        <v>15</v>
      </c>
      <c r="G22" t="s">
        <v>46</v>
      </c>
      <c r="H22" t="str">
        <f>_xlfn.XLOOKUP(Table6[[#This Row],[SKU]],tblProductMaster[SKU],tblProductMaster[Product])</f>
        <v>Stain Remover</v>
      </c>
      <c r="I22">
        <v>695</v>
      </c>
      <c r="J22">
        <f>_xlfn.XLOOKUP(G22,[1]!tblProductMaster[SKU],[1]!tblProductMaster[List Price])</f>
        <v>5.99</v>
      </c>
      <c r="K22" t="s">
        <v>86</v>
      </c>
      <c r="L22" s="3">
        <v>0</v>
      </c>
      <c r="M22" s="9">
        <f t="shared" si="0"/>
        <v>5.99</v>
      </c>
      <c r="N22" s="8">
        <f t="shared" si="1"/>
        <v>4163.05</v>
      </c>
      <c r="O22" s="9">
        <f>_xlfn.XLOOKUP(G22,[1]!tblProductMaster[SKU],[1]!tblProductMaster[Unit Cost])</f>
        <v>2.5</v>
      </c>
      <c r="P22" s="8">
        <f t="shared" si="2"/>
        <v>1737.5</v>
      </c>
      <c r="Q22" s="8">
        <f t="shared" si="3"/>
        <v>2425.5500000000002</v>
      </c>
      <c r="R22" s="4">
        <f t="shared" si="4"/>
        <v>0.58263772954924875</v>
      </c>
      <c r="S22" t="s">
        <v>87</v>
      </c>
      <c r="T22">
        <f>Table6[[#This Row],[Discount]]*Table6[[#This Row],[List Price]]*Table6[[#This Row],[Units]]</f>
        <v>0</v>
      </c>
    </row>
    <row r="23" spans="1:20" x14ac:dyDescent="0.2">
      <c r="A23" t="s">
        <v>116</v>
      </c>
      <c r="B23" s="2">
        <v>46369.591036009362</v>
      </c>
      <c r="C23" t="s">
        <v>84</v>
      </c>
      <c r="D23" t="s">
        <v>104</v>
      </c>
      <c r="E23" t="s">
        <v>25</v>
      </c>
      <c r="F23" t="s">
        <v>15</v>
      </c>
      <c r="G23" t="s">
        <v>35</v>
      </c>
      <c r="H23" t="str">
        <f>_xlfn.XLOOKUP(Table6[[#This Row],[SKU]],tblProductMaster[SKU],tblProductMaster[Product])</f>
        <v>Hand Cream</v>
      </c>
      <c r="I23">
        <v>1155</v>
      </c>
      <c r="J23">
        <f>_xlfn.XLOOKUP(G23,[1]!tblProductMaster[SKU],[1]!tblProductMaster[List Price])</f>
        <v>4.99</v>
      </c>
      <c r="K23" t="s">
        <v>89</v>
      </c>
      <c r="L23" s="3">
        <v>0.3</v>
      </c>
      <c r="M23" s="9">
        <f t="shared" si="0"/>
        <v>3.4929999999999999</v>
      </c>
      <c r="N23" s="8">
        <f t="shared" si="1"/>
        <v>4034.415</v>
      </c>
      <c r="O23" s="9">
        <f>_xlfn.XLOOKUP(G23,[1]!tblProductMaster[SKU],[1]!tblProductMaster[Unit Cost])</f>
        <v>2.1</v>
      </c>
      <c r="P23" s="8">
        <f t="shared" si="2"/>
        <v>2425.5</v>
      </c>
      <c r="Q23" s="8">
        <f t="shared" si="3"/>
        <v>1608.915</v>
      </c>
      <c r="R23" s="4">
        <f t="shared" si="4"/>
        <v>0.39879759519038077</v>
      </c>
      <c r="S23" t="s">
        <v>94</v>
      </c>
      <c r="T23">
        <f>Table6[[#This Row],[Discount]]*Table6[[#This Row],[List Price]]*Table6[[#This Row],[Units]]</f>
        <v>1729.0350000000001</v>
      </c>
    </row>
    <row r="24" spans="1:20" x14ac:dyDescent="0.2">
      <c r="A24" t="s">
        <v>117</v>
      </c>
      <c r="B24" s="2">
        <v>46322.232788566958</v>
      </c>
      <c r="C24" t="s">
        <v>93</v>
      </c>
      <c r="D24" t="s">
        <v>96</v>
      </c>
      <c r="E24" t="s">
        <v>25</v>
      </c>
      <c r="F24" t="s">
        <v>18</v>
      </c>
      <c r="G24" t="s">
        <v>37</v>
      </c>
      <c r="H24" t="str">
        <f>_xlfn.XLOOKUP(Table6[[#This Row],[SKU]],tblProductMaster[SKU],tblProductMaster[Product])</f>
        <v>Body Wash</v>
      </c>
      <c r="I24">
        <v>296</v>
      </c>
      <c r="J24">
        <f>_xlfn.XLOOKUP(G24,[1]!tblProductMaster[SKU],[1]!tblProductMaster[List Price])</f>
        <v>5.49</v>
      </c>
      <c r="K24" t="s">
        <v>86</v>
      </c>
      <c r="L24" s="3">
        <v>0</v>
      </c>
      <c r="M24" s="9">
        <f t="shared" si="0"/>
        <v>5.49</v>
      </c>
      <c r="N24" s="8">
        <f t="shared" si="1"/>
        <v>1625.04</v>
      </c>
      <c r="O24" s="9">
        <f>_xlfn.XLOOKUP(G24,[1]!tblProductMaster[SKU],[1]!tblProductMaster[Unit Cost])</f>
        <v>2.2999999999999998</v>
      </c>
      <c r="P24" s="8">
        <f t="shared" si="2"/>
        <v>680.8</v>
      </c>
      <c r="Q24" s="8">
        <f t="shared" si="3"/>
        <v>944.24</v>
      </c>
      <c r="R24" s="4">
        <f t="shared" si="4"/>
        <v>0.58105646630236796</v>
      </c>
      <c r="S24" t="s">
        <v>87</v>
      </c>
      <c r="T24">
        <f>Table6[[#This Row],[Discount]]*Table6[[#This Row],[List Price]]*Table6[[#This Row],[Units]]</f>
        <v>0</v>
      </c>
    </row>
    <row r="25" spans="1:20" x14ac:dyDescent="0.2">
      <c r="A25" t="s">
        <v>118</v>
      </c>
      <c r="B25" s="2">
        <v>46242.805090202681</v>
      </c>
      <c r="C25" t="s">
        <v>98</v>
      </c>
      <c r="D25" t="s">
        <v>96</v>
      </c>
      <c r="E25" t="s">
        <v>25</v>
      </c>
      <c r="F25" t="s">
        <v>18</v>
      </c>
      <c r="G25" t="s">
        <v>37</v>
      </c>
      <c r="H25" t="str">
        <f>_xlfn.XLOOKUP(Table6[[#This Row],[SKU]],tblProductMaster[SKU],tblProductMaster[Product])</f>
        <v>Body Wash</v>
      </c>
      <c r="I25">
        <v>704</v>
      </c>
      <c r="J25">
        <f>_xlfn.XLOOKUP(G25,[1]!tblProductMaster[SKU],[1]!tblProductMaster[List Price])</f>
        <v>5.49</v>
      </c>
      <c r="K25" t="s">
        <v>86</v>
      </c>
      <c r="L25" s="3">
        <v>0</v>
      </c>
      <c r="M25" s="9">
        <f t="shared" si="0"/>
        <v>5.49</v>
      </c>
      <c r="N25" s="8">
        <f t="shared" si="1"/>
        <v>3864.96</v>
      </c>
      <c r="O25" s="9">
        <f>_xlfn.XLOOKUP(G25,[1]!tblProductMaster[SKU],[1]!tblProductMaster[Unit Cost])</f>
        <v>2.2999999999999998</v>
      </c>
      <c r="P25" s="8">
        <f t="shared" si="2"/>
        <v>1619.1999999999998</v>
      </c>
      <c r="Q25" s="8">
        <f t="shared" si="3"/>
        <v>2245.7600000000002</v>
      </c>
      <c r="R25" s="4">
        <f t="shared" si="4"/>
        <v>0.58105646630236796</v>
      </c>
      <c r="S25" t="s">
        <v>87</v>
      </c>
      <c r="T25">
        <f>Table6[[#This Row],[Discount]]*Table6[[#This Row],[List Price]]*Table6[[#This Row],[Units]]</f>
        <v>0</v>
      </c>
    </row>
    <row r="26" spans="1:20" x14ac:dyDescent="0.2">
      <c r="A26" t="s">
        <v>119</v>
      </c>
      <c r="B26" s="2">
        <v>46318.302098441622</v>
      </c>
      <c r="C26" t="s">
        <v>84</v>
      </c>
      <c r="D26" t="s">
        <v>104</v>
      </c>
      <c r="E26" t="s">
        <v>25</v>
      </c>
      <c r="F26" t="s">
        <v>7</v>
      </c>
      <c r="G26" t="s">
        <v>33</v>
      </c>
      <c r="H26" t="str">
        <f>_xlfn.XLOOKUP(Table6[[#This Row],[SKU]],tblProductMaster[SKU],tblProductMaster[Product])</f>
        <v>Sunscreen 200ml</v>
      </c>
      <c r="I26">
        <v>621</v>
      </c>
      <c r="J26">
        <f>_xlfn.XLOOKUP(G26,[1]!tblProductMaster[SKU],[1]!tblProductMaster[List Price])</f>
        <v>10.99</v>
      </c>
      <c r="K26" t="s">
        <v>86</v>
      </c>
      <c r="L26" s="3">
        <v>0</v>
      </c>
      <c r="M26" s="9">
        <f t="shared" si="0"/>
        <v>10.99</v>
      </c>
      <c r="N26" s="8">
        <f t="shared" si="1"/>
        <v>6824.79</v>
      </c>
      <c r="O26" s="9">
        <f>_xlfn.XLOOKUP(G26,[1]!tblProductMaster[SKU],[1]!tblProductMaster[Unit Cost])</f>
        <v>4.5999999999999996</v>
      </c>
      <c r="P26" s="8">
        <f t="shared" si="2"/>
        <v>2856.6</v>
      </c>
      <c r="Q26" s="8">
        <f t="shared" si="3"/>
        <v>3968.19</v>
      </c>
      <c r="R26" s="4">
        <f t="shared" si="4"/>
        <v>0.58143767060964513</v>
      </c>
      <c r="S26" t="s">
        <v>87</v>
      </c>
      <c r="T26">
        <f>Table6[[#This Row],[Discount]]*Table6[[#This Row],[List Price]]*Table6[[#This Row],[Units]]</f>
        <v>0</v>
      </c>
    </row>
    <row r="27" spans="1:20" x14ac:dyDescent="0.2">
      <c r="A27" t="s">
        <v>120</v>
      </c>
      <c r="B27" s="2">
        <v>46369.375554772865</v>
      </c>
      <c r="C27" t="s">
        <v>93</v>
      </c>
      <c r="D27" t="s">
        <v>85</v>
      </c>
      <c r="E27" t="s">
        <v>56</v>
      </c>
      <c r="F27" t="s">
        <v>15</v>
      </c>
      <c r="G27" t="s">
        <v>62</v>
      </c>
      <c r="H27" t="str">
        <f>_xlfn.XLOOKUP(Table6[[#This Row],[SKU]],tblProductMaster[SKU],tblProductMaster[Product])</f>
        <v>Mouthwash 500ml</v>
      </c>
      <c r="I27">
        <v>952</v>
      </c>
      <c r="J27">
        <f>_xlfn.XLOOKUP(G27,[1]!tblProductMaster[SKU],[1]!tblProductMaster[List Price])</f>
        <v>5.99</v>
      </c>
      <c r="K27" t="s">
        <v>89</v>
      </c>
      <c r="L27" s="3">
        <v>0.2</v>
      </c>
      <c r="M27" s="9">
        <f t="shared" si="0"/>
        <v>4.7920000000000007</v>
      </c>
      <c r="N27" s="8">
        <f t="shared" si="1"/>
        <v>4561.9840000000004</v>
      </c>
      <c r="O27" s="9">
        <f>_xlfn.XLOOKUP(G27,[1]!tblProductMaster[SKU],[1]!tblProductMaster[Unit Cost])</f>
        <v>2.4</v>
      </c>
      <c r="P27" s="8">
        <f t="shared" si="2"/>
        <v>2284.7999999999997</v>
      </c>
      <c r="Q27" s="8">
        <f t="shared" si="3"/>
        <v>2277.1840000000007</v>
      </c>
      <c r="R27" s="4">
        <f t="shared" si="4"/>
        <v>0.49916527545909861</v>
      </c>
      <c r="S27" t="s">
        <v>99</v>
      </c>
      <c r="T27">
        <f>Table6[[#This Row],[Discount]]*Table6[[#This Row],[List Price]]*Table6[[#This Row],[Units]]</f>
        <v>1140.4960000000001</v>
      </c>
    </row>
    <row r="28" spans="1:20" x14ac:dyDescent="0.2">
      <c r="A28" t="s">
        <v>121</v>
      </c>
      <c r="B28" s="2">
        <v>46148.984962010094</v>
      </c>
      <c r="C28" t="s">
        <v>98</v>
      </c>
      <c r="D28" t="s">
        <v>104</v>
      </c>
      <c r="E28" t="s">
        <v>25</v>
      </c>
      <c r="F28" t="s">
        <v>18</v>
      </c>
      <c r="G28" t="s">
        <v>27</v>
      </c>
      <c r="H28" t="str">
        <f>_xlfn.XLOOKUP(Table6[[#This Row],[SKU]],tblProductMaster[SKU],tblProductMaster[Product])</f>
        <v>Face Cream 50ml</v>
      </c>
      <c r="I28">
        <v>572</v>
      </c>
      <c r="J28">
        <f>_xlfn.XLOOKUP(G28,[1]!tblProductMaster[SKU],[1]!tblProductMaster[List Price])</f>
        <v>9.99</v>
      </c>
      <c r="K28" t="s">
        <v>89</v>
      </c>
      <c r="L28" s="3">
        <v>0.1</v>
      </c>
      <c r="M28" s="9">
        <f t="shared" si="0"/>
        <v>8.9909999999999997</v>
      </c>
      <c r="N28" s="8">
        <f t="shared" si="1"/>
        <v>5142.8519999999999</v>
      </c>
      <c r="O28" s="9">
        <f>_xlfn.XLOOKUP(G28,[1]!tblProductMaster[SKU],[1]!tblProductMaster[Unit Cost])</f>
        <v>4.2</v>
      </c>
      <c r="P28" s="8">
        <f t="shared" si="2"/>
        <v>2402.4</v>
      </c>
      <c r="Q28" s="8">
        <f t="shared" si="3"/>
        <v>2740.4519999999998</v>
      </c>
      <c r="R28" s="4">
        <f t="shared" si="4"/>
        <v>0.53286619953286618</v>
      </c>
      <c r="S28" t="s">
        <v>90</v>
      </c>
      <c r="T28">
        <f>Table6[[#This Row],[Discount]]*Table6[[#This Row],[List Price]]*Table6[[#This Row],[Units]]</f>
        <v>571.42800000000011</v>
      </c>
    </row>
    <row r="29" spans="1:20" x14ac:dyDescent="0.2">
      <c r="A29" t="s">
        <v>122</v>
      </c>
      <c r="B29" s="2">
        <v>46208.65856568687</v>
      </c>
      <c r="C29" t="s">
        <v>98</v>
      </c>
      <c r="D29" t="s">
        <v>85</v>
      </c>
      <c r="E29" t="s">
        <v>25</v>
      </c>
      <c r="F29" t="s">
        <v>18</v>
      </c>
      <c r="G29" t="s">
        <v>27</v>
      </c>
      <c r="H29" t="str">
        <f>_xlfn.XLOOKUP(Table6[[#This Row],[SKU]],tblProductMaster[SKU],tblProductMaster[Product])</f>
        <v>Face Cream 50ml</v>
      </c>
      <c r="I29">
        <v>659</v>
      </c>
      <c r="J29">
        <f>_xlfn.XLOOKUP(G29,[1]!tblProductMaster[SKU],[1]!tblProductMaster[List Price])</f>
        <v>9.99</v>
      </c>
      <c r="K29" t="s">
        <v>89</v>
      </c>
      <c r="L29" s="3">
        <v>0.3</v>
      </c>
      <c r="M29" s="9">
        <f t="shared" si="0"/>
        <v>6.9929999999999994</v>
      </c>
      <c r="N29" s="8">
        <f t="shared" si="1"/>
        <v>4608.3869999999997</v>
      </c>
      <c r="O29" s="9">
        <f>_xlfn.XLOOKUP(G29,[1]!tblProductMaster[SKU],[1]!tblProductMaster[Unit Cost])</f>
        <v>4.2</v>
      </c>
      <c r="P29" s="8">
        <f t="shared" si="2"/>
        <v>2767.8</v>
      </c>
      <c r="Q29" s="8">
        <f t="shared" si="3"/>
        <v>1840.5869999999995</v>
      </c>
      <c r="R29" s="4">
        <f t="shared" si="4"/>
        <v>0.39939939939939934</v>
      </c>
      <c r="S29" t="s">
        <v>90</v>
      </c>
      <c r="T29">
        <f>Table6[[#This Row],[Discount]]*Table6[[#This Row],[List Price]]*Table6[[#This Row],[Units]]</f>
        <v>1975.0229999999999</v>
      </c>
    </row>
    <row r="30" spans="1:20" x14ac:dyDescent="0.2">
      <c r="A30" t="s">
        <v>123</v>
      </c>
      <c r="B30" s="2">
        <v>46127.041755011975</v>
      </c>
      <c r="C30" t="s">
        <v>93</v>
      </c>
      <c r="D30" t="s">
        <v>96</v>
      </c>
      <c r="E30" t="s">
        <v>56</v>
      </c>
      <c r="F30" t="s">
        <v>18</v>
      </c>
      <c r="G30" t="s">
        <v>60</v>
      </c>
      <c r="H30" t="str">
        <f>_xlfn.XLOOKUP(Table6[[#This Row],[SKU]],tblProductMaster[SKU],tblProductMaster[Product])</f>
        <v>Sensitive Toothpaste</v>
      </c>
      <c r="I30">
        <v>467</v>
      </c>
      <c r="J30">
        <f>_xlfn.XLOOKUP(G30,[1]!tblProductMaster[SKU],[1]!tblProductMaster[List Price])</f>
        <v>4.49</v>
      </c>
      <c r="K30" t="s">
        <v>86</v>
      </c>
      <c r="L30" s="3">
        <v>0</v>
      </c>
      <c r="M30" s="9">
        <f t="shared" si="0"/>
        <v>4.49</v>
      </c>
      <c r="N30" s="8">
        <f t="shared" si="1"/>
        <v>2096.83</v>
      </c>
      <c r="O30" s="9">
        <f>_xlfn.XLOOKUP(G30,[1]!tblProductMaster[SKU],[1]!tblProductMaster[Unit Cost])</f>
        <v>1.7</v>
      </c>
      <c r="P30" s="8">
        <f t="shared" si="2"/>
        <v>793.9</v>
      </c>
      <c r="Q30" s="8">
        <f t="shared" si="3"/>
        <v>1302.9299999999998</v>
      </c>
      <c r="R30" s="4">
        <f t="shared" si="4"/>
        <v>0.62138084632516699</v>
      </c>
      <c r="S30" t="s">
        <v>87</v>
      </c>
      <c r="T30">
        <f>Table6[[#This Row],[Discount]]*Table6[[#This Row],[List Price]]*Table6[[#This Row],[Units]]</f>
        <v>0</v>
      </c>
    </row>
    <row r="31" spans="1:20" x14ac:dyDescent="0.2">
      <c r="A31" t="s">
        <v>124</v>
      </c>
      <c r="B31" s="2">
        <v>46072.649320113975</v>
      </c>
      <c r="C31" t="s">
        <v>93</v>
      </c>
      <c r="D31" t="s">
        <v>96</v>
      </c>
      <c r="E31" t="s">
        <v>25</v>
      </c>
      <c r="F31" t="s">
        <v>18</v>
      </c>
      <c r="G31" t="s">
        <v>27</v>
      </c>
      <c r="H31" t="str">
        <f>_xlfn.XLOOKUP(Table6[[#This Row],[SKU]],tblProductMaster[SKU],tblProductMaster[Product])</f>
        <v>Face Cream 50ml</v>
      </c>
      <c r="I31">
        <v>393</v>
      </c>
      <c r="J31">
        <f>_xlfn.XLOOKUP(G31,[1]!tblProductMaster[SKU],[1]!tblProductMaster[List Price])</f>
        <v>9.99</v>
      </c>
      <c r="K31" t="s">
        <v>86</v>
      </c>
      <c r="L31" s="3">
        <v>0</v>
      </c>
      <c r="M31" s="9">
        <f t="shared" si="0"/>
        <v>9.99</v>
      </c>
      <c r="N31" s="8">
        <f t="shared" si="1"/>
        <v>3926.07</v>
      </c>
      <c r="O31" s="9">
        <f>_xlfn.XLOOKUP(G31,[1]!tblProductMaster[SKU],[1]!tblProductMaster[Unit Cost])</f>
        <v>4.2</v>
      </c>
      <c r="P31" s="8">
        <f t="shared" si="2"/>
        <v>1650.6000000000001</v>
      </c>
      <c r="Q31" s="8">
        <f t="shared" si="3"/>
        <v>2275.4700000000003</v>
      </c>
      <c r="R31" s="4">
        <f t="shared" si="4"/>
        <v>0.57957957957957962</v>
      </c>
      <c r="S31" t="s">
        <v>87</v>
      </c>
      <c r="T31">
        <f>Table6[[#This Row],[Discount]]*Table6[[#This Row],[List Price]]*Table6[[#This Row],[Units]]</f>
        <v>0</v>
      </c>
    </row>
    <row r="32" spans="1:20" x14ac:dyDescent="0.2">
      <c r="A32" t="s">
        <v>125</v>
      </c>
      <c r="B32" s="2">
        <v>46376.148225468714</v>
      </c>
      <c r="C32" t="s">
        <v>84</v>
      </c>
      <c r="D32" t="s">
        <v>104</v>
      </c>
      <c r="E32" t="s">
        <v>8</v>
      </c>
      <c r="F32" t="s">
        <v>7</v>
      </c>
      <c r="G32" t="s">
        <v>12</v>
      </c>
      <c r="H32" t="str">
        <f>_xlfn.XLOOKUP(Table6[[#This Row],[SKU]],tblProductMaster[SKU],tblProductMaster[Product])</f>
        <v>Conditioner 250ml</v>
      </c>
      <c r="I32">
        <v>588</v>
      </c>
      <c r="J32">
        <f>_xlfn.XLOOKUP(G32,[1]!tblProductMaster[SKU],[1]!tblProductMaster[List Price])</f>
        <v>5.49</v>
      </c>
      <c r="K32" t="s">
        <v>86</v>
      </c>
      <c r="L32" s="3">
        <v>0</v>
      </c>
      <c r="M32" s="9">
        <f t="shared" si="0"/>
        <v>5.49</v>
      </c>
      <c r="N32" s="8">
        <f t="shared" si="1"/>
        <v>3228.1200000000003</v>
      </c>
      <c r="O32" s="9">
        <f>_xlfn.XLOOKUP(G32,[1]!tblProductMaster[SKU],[1]!tblProductMaster[Unit Cost])</f>
        <v>2.2000000000000002</v>
      </c>
      <c r="P32" s="8">
        <f t="shared" si="2"/>
        <v>1293.6000000000001</v>
      </c>
      <c r="Q32" s="8">
        <f t="shared" si="3"/>
        <v>1934.5200000000002</v>
      </c>
      <c r="R32" s="4">
        <f t="shared" si="4"/>
        <v>0.59927140255009104</v>
      </c>
      <c r="S32" t="s">
        <v>87</v>
      </c>
      <c r="T32">
        <f>Table6[[#This Row],[Discount]]*Table6[[#This Row],[List Price]]*Table6[[#This Row],[Units]]</f>
        <v>0</v>
      </c>
    </row>
    <row r="33" spans="1:20" x14ac:dyDescent="0.2">
      <c r="A33" t="s">
        <v>126</v>
      </c>
      <c r="B33" s="2">
        <v>46232.727433677828</v>
      </c>
      <c r="C33" t="s">
        <v>84</v>
      </c>
      <c r="D33" t="s">
        <v>104</v>
      </c>
      <c r="E33" t="s">
        <v>56</v>
      </c>
      <c r="F33" t="s">
        <v>7</v>
      </c>
      <c r="G33" t="s">
        <v>58</v>
      </c>
      <c r="H33" t="str">
        <f>_xlfn.XLOOKUP(Table6[[#This Row],[SKU]],tblProductMaster[SKU],tblProductMaster[Product])</f>
        <v>Whitening Toothpaste</v>
      </c>
      <c r="I33">
        <v>234</v>
      </c>
      <c r="J33">
        <f>_xlfn.XLOOKUP(G33,[1]!tblProductMaster[SKU],[1]!tblProductMaster[List Price])</f>
        <v>4.99</v>
      </c>
      <c r="K33" t="s">
        <v>86</v>
      </c>
      <c r="L33" s="3">
        <v>0</v>
      </c>
      <c r="M33" s="9">
        <f t="shared" si="0"/>
        <v>4.99</v>
      </c>
      <c r="N33" s="8">
        <f t="shared" si="1"/>
        <v>1167.6600000000001</v>
      </c>
      <c r="O33" s="9">
        <f>_xlfn.XLOOKUP(G33,[1]!tblProductMaster[SKU],[1]!tblProductMaster[Unit Cost])</f>
        <v>1.8</v>
      </c>
      <c r="P33" s="8">
        <f t="shared" si="2"/>
        <v>421.2</v>
      </c>
      <c r="Q33" s="8">
        <f t="shared" si="3"/>
        <v>746.46</v>
      </c>
      <c r="R33" s="4">
        <f t="shared" si="4"/>
        <v>0.63927855711422843</v>
      </c>
      <c r="S33" t="s">
        <v>87</v>
      </c>
      <c r="T33">
        <f>Table6[[#This Row],[Discount]]*Table6[[#This Row],[List Price]]*Table6[[#This Row],[Units]]</f>
        <v>0</v>
      </c>
    </row>
    <row r="34" spans="1:20" x14ac:dyDescent="0.2">
      <c r="A34" t="s">
        <v>127</v>
      </c>
      <c r="B34" s="2">
        <v>46289.376798075478</v>
      </c>
      <c r="C34" t="s">
        <v>84</v>
      </c>
      <c r="D34" t="s">
        <v>104</v>
      </c>
      <c r="E34" t="s">
        <v>56</v>
      </c>
      <c r="F34" t="s">
        <v>18</v>
      </c>
      <c r="G34" t="s">
        <v>68</v>
      </c>
      <c r="H34" t="str">
        <f>_xlfn.XLOOKUP(Table6[[#This Row],[SKU]],tblProductMaster[SKU],tblProductMaster[Product])</f>
        <v>Kids Toothpaste</v>
      </c>
      <c r="I34">
        <v>1156</v>
      </c>
      <c r="J34">
        <f>_xlfn.XLOOKUP(G34,[1]!tblProductMaster[SKU],[1]!tblProductMaster[List Price])</f>
        <v>3.29</v>
      </c>
      <c r="K34" t="s">
        <v>89</v>
      </c>
      <c r="L34" s="3">
        <v>0.1</v>
      </c>
      <c r="M34" s="9">
        <f t="shared" si="0"/>
        <v>2.9610000000000003</v>
      </c>
      <c r="N34" s="8">
        <f t="shared" si="1"/>
        <v>3422.9160000000002</v>
      </c>
      <c r="O34" s="9">
        <f>_xlfn.XLOOKUP(G34,[1]!tblProductMaster[SKU],[1]!tblProductMaster[Unit Cost])</f>
        <v>1.1000000000000001</v>
      </c>
      <c r="P34" s="8">
        <f t="shared" si="2"/>
        <v>1271.6000000000001</v>
      </c>
      <c r="Q34" s="8">
        <f t="shared" si="3"/>
        <v>2151.3159999999998</v>
      </c>
      <c r="R34" s="4">
        <f t="shared" si="4"/>
        <v>0.62850388382303268</v>
      </c>
      <c r="S34" t="s">
        <v>90</v>
      </c>
      <c r="T34">
        <f>Table6[[#This Row],[Discount]]*Table6[[#This Row],[List Price]]*Table6[[#This Row],[Units]]</f>
        <v>380.32400000000001</v>
      </c>
    </row>
    <row r="35" spans="1:20" x14ac:dyDescent="0.2">
      <c r="A35" t="s">
        <v>128</v>
      </c>
      <c r="B35" s="2">
        <v>46094.557700937366</v>
      </c>
      <c r="C35" t="s">
        <v>84</v>
      </c>
      <c r="D35" t="s">
        <v>96</v>
      </c>
      <c r="E35" t="s">
        <v>56</v>
      </c>
      <c r="F35" t="s">
        <v>15</v>
      </c>
      <c r="G35" t="s">
        <v>55</v>
      </c>
      <c r="H35" t="str">
        <f>_xlfn.XLOOKUP(Table6[[#This Row],[SKU]],tblProductMaster[SKU],tblProductMaster[Product])</f>
        <v>Toothpaste 75ml</v>
      </c>
      <c r="I35">
        <v>732</v>
      </c>
      <c r="J35">
        <f>_xlfn.XLOOKUP(G35,[1]!tblProductMaster[SKU],[1]!tblProductMaster[List Price])</f>
        <v>3.49</v>
      </c>
      <c r="K35" t="s">
        <v>89</v>
      </c>
      <c r="L35" s="3">
        <v>0.2</v>
      </c>
      <c r="M35" s="9">
        <f t="shared" si="0"/>
        <v>2.7920000000000003</v>
      </c>
      <c r="N35" s="8">
        <f t="shared" si="1"/>
        <v>2043.7440000000001</v>
      </c>
      <c r="O35" s="9">
        <f>_xlfn.XLOOKUP(G35,[1]!tblProductMaster[SKU],[1]!tblProductMaster[Unit Cost])</f>
        <v>1.2</v>
      </c>
      <c r="P35" s="8">
        <f t="shared" si="2"/>
        <v>878.4</v>
      </c>
      <c r="Q35" s="8">
        <f t="shared" si="3"/>
        <v>1165.3440000000001</v>
      </c>
      <c r="R35" s="4">
        <f t="shared" si="4"/>
        <v>0.57020057306590255</v>
      </c>
      <c r="S35" t="s">
        <v>94</v>
      </c>
      <c r="T35">
        <f>Table6[[#This Row],[Discount]]*Table6[[#This Row],[List Price]]*Table6[[#This Row],[Units]]</f>
        <v>510.93600000000004</v>
      </c>
    </row>
    <row r="36" spans="1:20" x14ac:dyDescent="0.2">
      <c r="A36" t="s">
        <v>129</v>
      </c>
      <c r="B36" s="2">
        <v>46093.067871120729</v>
      </c>
      <c r="C36" t="s">
        <v>98</v>
      </c>
      <c r="D36" t="s">
        <v>104</v>
      </c>
      <c r="E36" t="s">
        <v>56</v>
      </c>
      <c r="F36" t="s">
        <v>15</v>
      </c>
      <c r="G36" t="s">
        <v>55</v>
      </c>
      <c r="H36" t="str">
        <f>_xlfn.XLOOKUP(Table6[[#This Row],[SKU]],tblProductMaster[SKU],tblProductMaster[Product])</f>
        <v>Toothpaste 75ml</v>
      </c>
      <c r="I36">
        <v>996</v>
      </c>
      <c r="J36">
        <f>_xlfn.XLOOKUP(G36,[1]!tblProductMaster[SKU],[1]!tblProductMaster[List Price])</f>
        <v>3.49</v>
      </c>
      <c r="K36" t="s">
        <v>89</v>
      </c>
      <c r="L36" s="3">
        <v>0.1</v>
      </c>
      <c r="M36" s="9">
        <f t="shared" si="0"/>
        <v>3.1410000000000005</v>
      </c>
      <c r="N36" s="8">
        <f t="shared" si="1"/>
        <v>3128.4360000000006</v>
      </c>
      <c r="O36" s="9">
        <f>_xlfn.XLOOKUP(G36,[1]!tblProductMaster[SKU],[1]!tblProductMaster[Unit Cost])</f>
        <v>1.2</v>
      </c>
      <c r="P36" s="8">
        <f t="shared" si="2"/>
        <v>1195.2</v>
      </c>
      <c r="Q36" s="8">
        <f t="shared" si="3"/>
        <v>1933.2360000000006</v>
      </c>
      <c r="R36" s="4">
        <f t="shared" si="4"/>
        <v>0.61795606494746902</v>
      </c>
      <c r="S36" t="s">
        <v>90</v>
      </c>
      <c r="T36">
        <f>Table6[[#This Row],[Discount]]*Table6[[#This Row],[List Price]]*Table6[[#This Row],[Units]]</f>
        <v>347.60400000000004</v>
      </c>
    </row>
    <row r="37" spans="1:20" x14ac:dyDescent="0.2">
      <c r="A37" t="s">
        <v>130</v>
      </c>
      <c r="B37" s="2">
        <v>46286.599815510344</v>
      </c>
      <c r="C37" t="s">
        <v>98</v>
      </c>
      <c r="D37" t="s">
        <v>104</v>
      </c>
      <c r="E37" t="s">
        <v>8</v>
      </c>
      <c r="F37" t="s">
        <v>15</v>
      </c>
      <c r="G37" t="s">
        <v>22</v>
      </c>
      <c r="H37" t="str">
        <f>_xlfn.XLOOKUP(Table6[[#This Row],[SKU]],tblProductMaster[SKU],tblProductMaster[Product])</f>
        <v>Styling Gel</v>
      </c>
      <c r="I37">
        <v>825</v>
      </c>
      <c r="J37">
        <f>_xlfn.XLOOKUP(G37,[1]!tblProductMaster[SKU],[1]!tblProductMaster[List Price])</f>
        <v>4.49</v>
      </c>
      <c r="K37" t="s">
        <v>89</v>
      </c>
      <c r="L37" s="3">
        <v>0.2</v>
      </c>
      <c r="M37" s="9">
        <f t="shared" si="0"/>
        <v>3.5920000000000005</v>
      </c>
      <c r="N37" s="8">
        <f t="shared" si="1"/>
        <v>2963.4000000000005</v>
      </c>
      <c r="O37" s="9">
        <f>_xlfn.XLOOKUP(G37,[1]!tblProductMaster[SKU],[1]!tblProductMaster[Unit Cost])</f>
        <v>1.9</v>
      </c>
      <c r="P37" s="8">
        <f t="shared" si="2"/>
        <v>1567.5</v>
      </c>
      <c r="Q37" s="8">
        <f t="shared" si="3"/>
        <v>1395.9000000000005</v>
      </c>
      <c r="R37" s="4">
        <f t="shared" si="4"/>
        <v>0.47104677060133637</v>
      </c>
      <c r="S37" t="s">
        <v>94</v>
      </c>
      <c r="T37">
        <f>Table6[[#This Row],[Discount]]*Table6[[#This Row],[List Price]]*Table6[[#This Row],[Units]]</f>
        <v>740.85000000000014</v>
      </c>
    </row>
    <row r="38" spans="1:20" x14ac:dyDescent="0.2">
      <c r="A38" t="s">
        <v>131</v>
      </c>
      <c r="B38" s="2">
        <v>46241.530255109792</v>
      </c>
      <c r="C38" t="s">
        <v>93</v>
      </c>
      <c r="D38" t="s">
        <v>85</v>
      </c>
      <c r="E38" t="s">
        <v>56</v>
      </c>
      <c r="F38" t="s">
        <v>15</v>
      </c>
      <c r="G38" t="s">
        <v>55</v>
      </c>
      <c r="H38" t="str">
        <f>_xlfn.XLOOKUP(Table6[[#This Row],[SKU]],tblProductMaster[SKU],tblProductMaster[Product])</f>
        <v>Toothpaste 75ml</v>
      </c>
      <c r="I38">
        <v>1030</v>
      </c>
      <c r="J38">
        <f>_xlfn.XLOOKUP(G38,[1]!tblProductMaster[SKU],[1]!tblProductMaster[List Price])</f>
        <v>3.49</v>
      </c>
      <c r="K38" t="s">
        <v>89</v>
      </c>
      <c r="L38" s="3">
        <v>0.3</v>
      </c>
      <c r="M38" s="9">
        <f t="shared" si="0"/>
        <v>2.4430000000000001</v>
      </c>
      <c r="N38" s="8">
        <f t="shared" si="1"/>
        <v>2516.29</v>
      </c>
      <c r="O38" s="9">
        <f>_xlfn.XLOOKUP(G38,[1]!tblProductMaster[SKU],[1]!tblProductMaster[Unit Cost])</f>
        <v>1.2</v>
      </c>
      <c r="P38" s="8">
        <f t="shared" si="2"/>
        <v>1236</v>
      </c>
      <c r="Q38" s="8">
        <f t="shared" si="3"/>
        <v>1280.29</v>
      </c>
      <c r="R38" s="4">
        <f t="shared" si="4"/>
        <v>0.50880065493246007</v>
      </c>
      <c r="S38" t="s">
        <v>99</v>
      </c>
      <c r="T38">
        <f>Table6[[#This Row],[Discount]]*Table6[[#This Row],[List Price]]*Table6[[#This Row],[Units]]</f>
        <v>1078.4099999999999</v>
      </c>
    </row>
    <row r="39" spans="1:20" x14ac:dyDescent="0.2">
      <c r="A39" t="s">
        <v>132</v>
      </c>
      <c r="B39" s="2">
        <v>46176.283600812778</v>
      </c>
      <c r="C39" t="s">
        <v>98</v>
      </c>
      <c r="D39" t="s">
        <v>85</v>
      </c>
      <c r="E39" t="s">
        <v>8</v>
      </c>
      <c r="F39" t="s">
        <v>7</v>
      </c>
      <c r="G39" t="s">
        <v>12</v>
      </c>
      <c r="H39" t="str">
        <f>_xlfn.XLOOKUP(Table6[[#This Row],[SKU]],tblProductMaster[SKU],tblProductMaster[Product])</f>
        <v>Conditioner 250ml</v>
      </c>
      <c r="I39">
        <v>421</v>
      </c>
      <c r="J39">
        <f>_xlfn.XLOOKUP(G39,[1]!tblProductMaster[SKU],[1]!tblProductMaster[List Price])</f>
        <v>5.49</v>
      </c>
      <c r="K39" t="s">
        <v>86</v>
      </c>
      <c r="L39" s="3">
        <v>0</v>
      </c>
      <c r="M39" s="9">
        <f t="shared" si="0"/>
        <v>5.49</v>
      </c>
      <c r="N39" s="8">
        <f t="shared" si="1"/>
        <v>2311.29</v>
      </c>
      <c r="O39" s="9">
        <f>_xlfn.XLOOKUP(G39,[1]!tblProductMaster[SKU],[1]!tblProductMaster[Unit Cost])</f>
        <v>2.2000000000000002</v>
      </c>
      <c r="P39" s="8">
        <f t="shared" si="2"/>
        <v>926.2</v>
      </c>
      <c r="Q39" s="8">
        <f t="shared" si="3"/>
        <v>1385.09</v>
      </c>
      <c r="R39" s="4">
        <f t="shared" si="4"/>
        <v>0.59927140255009104</v>
      </c>
      <c r="S39" t="s">
        <v>87</v>
      </c>
      <c r="T39">
        <f>Table6[[#This Row],[Discount]]*Table6[[#This Row],[List Price]]*Table6[[#This Row],[Units]]</f>
        <v>0</v>
      </c>
    </row>
    <row r="40" spans="1:20" x14ac:dyDescent="0.2">
      <c r="A40" t="s">
        <v>133</v>
      </c>
      <c r="B40" s="2">
        <v>46235.168919961616</v>
      </c>
      <c r="C40" t="s">
        <v>84</v>
      </c>
      <c r="D40" t="s">
        <v>104</v>
      </c>
      <c r="E40" t="s">
        <v>8</v>
      </c>
      <c r="F40" t="s">
        <v>7</v>
      </c>
      <c r="G40" t="s">
        <v>6</v>
      </c>
      <c r="H40" t="str">
        <f>_xlfn.XLOOKUP(Table6[[#This Row],[SKU]],tblProductMaster[SKU],tblProductMaster[Product])</f>
        <v>Shampoo 250ml</v>
      </c>
      <c r="I40">
        <v>503</v>
      </c>
      <c r="J40">
        <f>_xlfn.XLOOKUP(G40,[1]!tblProductMaster[SKU],[1]!tblProductMaster[List Price])</f>
        <v>5.99</v>
      </c>
      <c r="K40" t="s">
        <v>89</v>
      </c>
      <c r="L40" s="3">
        <v>0.1</v>
      </c>
      <c r="M40" s="9">
        <f t="shared" si="0"/>
        <v>5.391</v>
      </c>
      <c r="N40" s="8">
        <f t="shared" si="1"/>
        <v>2711.6730000000002</v>
      </c>
      <c r="O40" s="9">
        <f>_xlfn.XLOOKUP(G40,[1]!tblProductMaster[SKU],[1]!tblProductMaster[Unit Cost])</f>
        <v>2.4</v>
      </c>
      <c r="P40" s="8">
        <f t="shared" si="2"/>
        <v>1207.2</v>
      </c>
      <c r="Q40" s="8">
        <f t="shared" si="3"/>
        <v>1504.4730000000002</v>
      </c>
      <c r="R40" s="4">
        <f t="shared" si="4"/>
        <v>0.5548135781858653</v>
      </c>
      <c r="S40" t="s">
        <v>99</v>
      </c>
      <c r="T40">
        <f>Table6[[#This Row],[Discount]]*Table6[[#This Row],[List Price]]*Table6[[#This Row],[Units]]</f>
        <v>301.29700000000003</v>
      </c>
    </row>
    <row r="41" spans="1:20" x14ac:dyDescent="0.2">
      <c r="A41" t="s">
        <v>134</v>
      </c>
      <c r="B41" s="2">
        <v>46189.431596699083</v>
      </c>
      <c r="C41" t="s">
        <v>93</v>
      </c>
      <c r="D41" t="s">
        <v>85</v>
      </c>
      <c r="E41" t="s">
        <v>8</v>
      </c>
      <c r="F41" t="s">
        <v>18</v>
      </c>
      <c r="G41" t="s">
        <v>17</v>
      </c>
      <c r="H41" t="str">
        <f>_xlfn.XLOOKUP(Table6[[#This Row],[SKU]],tblProductMaster[SKU],tblProductMaster[Product])</f>
        <v>Anti-Dandruff Shampoo</v>
      </c>
      <c r="I41">
        <v>333</v>
      </c>
      <c r="J41">
        <f>_xlfn.XLOOKUP(G41,[1]!tblProductMaster[SKU],[1]!tblProductMaster[List Price])</f>
        <v>6.49</v>
      </c>
      <c r="K41" t="s">
        <v>86</v>
      </c>
      <c r="L41" s="3">
        <v>0</v>
      </c>
      <c r="M41" s="9">
        <f t="shared" si="0"/>
        <v>6.49</v>
      </c>
      <c r="N41" s="8">
        <f t="shared" si="1"/>
        <v>2161.17</v>
      </c>
      <c r="O41" s="9">
        <f>_xlfn.XLOOKUP(G41,[1]!tblProductMaster[SKU],[1]!tblProductMaster[Unit Cost])</f>
        <v>2.8</v>
      </c>
      <c r="P41" s="8">
        <f t="shared" si="2"/>
        <v>932.4</v>
      </c>
      <c r="Q41" s="8">
        <f t="shared" si="3"/>
        <v>1228.77</v>
      </c>
      <c r="R41" s="4">
        <f t="shared" si="4"/>
        <v>0.56856702619414479</v>
      </c>
      <c r="S41" t="s">
        <v>87</v>
      </c>
      <c r="T41">
        <f>Table6[[#This Row],[Discount]]*Table6[[#This Row],[List Price]]*Table6[[#This Row],[Units]]</f>
        <v>0</v>
      </c>
    </row>
    <row r="42" spans="1:20" x14ac:dyDescent="0.2">
      <c r="A42" t="s">
        <v>135</v>
      </c>
      <c r="B42" s="2">
        <v>46166.96149471667</v>
      </c>
      <c r="C42" t="s">
        <v>98</v>
      </c>
      <c r="D42" t="s">
        <v>104</v>
      </c>
      <c r="E42" t="s">
        <v>56</v>
      </c>
      <c r="F42" t="s">
        <v>15</v>
      </c>
      <c r="G42" t="s">
        <v>55</v>
      </c>
      <c r="H42" t="str">
        <f>_xlfn.XLOOKUP(Table6[[#This Row],[SKU]],tblProductMaster[SKU],tblProductMaster[Product])</f>
        <v>Toothpaste 75ml</v>
      </c>
      <c r="I42">
        <v>379</v>
      </c>
      <c r="J42">
        <f>_xlfn.XLOOKUP(G42,[1]!tblProductMaster[SKU],[1]!tblProductMaster[List Price])</f>
        <v>3.49</v>
      </c>
      <c r="K42" t="s">
        <v>86</v>
      </c>
      <c r="L42" s="3">
        <v>0</v>
      </c>
      <c r="M42" s="9">
        <f t="shared" si="0"/>
        <v>3.49</v>
      </c>
      <c r="N42" s="8">
        <f t="shared" si="1"/>
        <v>1322.71</v>
      </c>
      <c r="O42" s="9">
        <f>_xlfn.XLOOKUP(G42,[1]!tblProductMaster[SKU],[1]!tblProductMaster[Unit Cost])</f>
        <v>1.2</v>
      </c>
      <c r="P42" s="8">
        <f t="shared" si="2"/>
        <v>454.8</v>
      </c>
      <c r="Q42" s="8">
        <f t="shared" si="3"/>
        <v>867.91000000000008</v>
      </c>
      <c r="R42" s="4">
        <f t="shared" si="4"/>
        <v>0.65616045845272208</v>
      </c>
      <c r="S42" t="s">
        <v>87</v>
      </c>
      <c r="T42">
        <f>Table6[[#This Row],[Discount]]*Table6[[#This Row],[List Price]]*Table6[[#This Row],[Units]]</f>
        <v>0</v>
      </c>
    </row>
    <row r="43" spans="1:20" x14ac:dyDescent="0.2">
      <c r="A43" t="s">
        <v>136</v>
      </c>
      <c r="B43" s="2">
        <v>46339.03136978855</v>
      </c>
      <c r="C43" t="s">
        <v>93</v>
      </c>
      <c r="D43" t="s">
        <v>104</v>
      </c>
      <c r="E43" t="s">
        <v>40</v>
      </c>
      <c r="F43" t="s">
        <v>7</v>
      </c>
      <c r="G43" t="s">
        <v>48</v>
      </c>
      <c r="H43" t="str">
        <f>_xlfn.XLOOKUP(Table6[[#This Row],[SKU]],tblProductMaster[SKU],tblProductMaster[Product])</f>
        <v>Color Detergent</v>
      </c>
      <c r="I43">
        <v>610</v>
      </c>
      <c r="J43">
        <f>_xlfn.XLOOKUP(G43,[1]!tblProductMaster[SKU],[1]!tblProductMaster[List Price])</f>
        <v>9.49</v>
      </c>
      <c r="K43" t="s">
        <v>89</v>
      </c>
      <c r="L43" s="3">
        <v>0.1</v>
      </c>
      <c r="M43" s="9">
        <f t="shared" si="0"/>
        <v>8.5410000000000004</v>
      </c>
      <c r="N43" s="8">
        <f t="shared" si="1"/>
        <v>5210.01</v>
      </c>
      <c r="O43" s="9">
        <f>_xlfn.XLOOKUP(G43,[1]!tblProductMaster[SKU],[1]!tblProductMaster[Unit Cost])</f>
        <v>4</v>
      </c>
      <c r="P43" s="8">
        <f t="shared" si="2"/>
        <v>2440</v>
      </c>
      <c r="Q43" s="8">
        <f t="shared" si="3"/>
        <v>2770.01</v>
      </c>
      <c r="R43" s="4">
        <f t="shared" si="4"/>
        <v>0.53167076454747686</v>
      </c>
      <c r="S43" t="s">
        <v>94</v>
      </c>
      <c r="T43">
        <f>Table6[[#This Row],[Discount]]*Table6[[#This Row],[List Price]]*Table6[[#This Row],[Units]]</f>
        <v>578.89</v>
      </c>
    </row>
    <row r="44" spans="1:20" x14ac:dyDescent="0.2">
      <c r="A44" t="s">
        <v>137</v>
      </c>
      <c r="B44" s="2">
        <v>46026.984148669333</v>
      </c>
      <c r="C44" t="s">
        <v>84</v>
      </c>
      <c r="D44" t="s">
        <v>85</v>
      </c>
      <c r="E44" t="s">
        <v>56</v>
      </c>
      <c r="F44" t="s">
        <v>7</v>
      </c>
      <c r="G44" t="s">
        <v>58</v>
      </c>
      <c r="H44" t="str">
        <f>_xlfn.XLOOKUP(Table6[[#This Row],[SKU]],tblProductMaster[SKU],tblProductMaster[Product])</f>
        <v>Whitening Toothpaste</v>
      </c>
      <c r="I44">
        <v>273</v>
      </c>
      <c r="J44">
        <f>_xlfn.XLOOKUP(G44,[1]!tblProductMaster[SKU],[1]!tblProductMaster[List Price])</f>
        <v>4.99</v>
      </c>
      <c r="K44" t="s">
        <v>86</v>
      </c>
      <c r="L44" s="3">
        <v>0</v>
      </c>
      <c r="M44" s="9">
        <f t="shared" si="0"/>
        <v>4.99</v>
      </c>
      <c r="N44" s="8">
        <f t="shared" si="1"/>
        <v>1362.27</v>
      </c>
      <c r="O44" s="9">
        <f>_xlfn.XLOOKUP(G44,[1]!tblProductMaster[SKU],[1]!tblProductMaster[Unit Cost])</f>
        <v>1.8</v>
      </c>
      <c r="P44" s="8">
        <f t="shared" si="2"/>
        <v>491.40000000000003</v>
      </c>
      <c r="Q44" s="8">
        <f t="shared" si="3"/>
        <v>870.86999999999989</v>
      </c>
      <c r="R44" s="4">
        <f t="shared" si="4"/>
        <v>0.63927855711422843</v>
      </c>
      <c r="S44" t="s">
        <v>87</v>
      </c>
      <c r="T44">
        <f>Table6[[#This Row],[Discount]]*Table6[[#This Row],[List Price]]*Table6[[#This Row],[Units]]</f>
        <v>0</v>
      </c>
    </row>
    <row r="45" spans="1:20" x14ac:dyDescent="0.2">
      <c r="A45" t="s">
        <v>138</v>
      </c>
      <c r="B45" s="2">
        <v>46214.000532386453</v>
      </c>
      <c r="C45" t="s">
        <v>98</v>
      </c>
      <c r="D45" t="s">
        <v>104</v>
      </c>
      <c r="E45" t="s">
        <v>56</v>
      </c>
      <c r="F45" t="s">
        <v>15</v>
      </c>
      <c r="G45" t="s">
        <v>55</v>
      </c>
      <c r="H45" t="str">
        <f>_xlfn.XLOOKUP(Table6[[#This Row],[SKU]],tblProductMaster[SKU],tblProductMaster[Product])</f>
        <v>Toothpaste 75ml</v>
      </c>
      <c r="I45">
        <v>493</v>
      </c>
      <c r="J45">
        <f>_xlfn.XLOOKUP(G45,[1]!tblProductMaster[SKU],[1]!tblProductMaster[List Price])</f>
        <v>3.49</v>
      </c>
      <c r="K45" t="s">
        <v>86</v>
      </c>
      <c r="L45" s="3">
        <v>0</v>
      </c>
      <c r="M45" s="9">
        <f t="shared" si="0"/>
        <v>3.49</v>
      </c>
      <c r="N45" s="8">
        <f t="shared" si="1"/>
        <v>1720.5700000000002</v>
      </c>
      <c r="O45" s="9">
        <f>_xlfn.XLOOKUP(G45,[1]!tblProductMaster[SKU],[1]!tblProductMaster[Unit Cost])</f>
        <v>1.2</v>
      </c>
      <c r="P45" s="8">
        <f t="shared" si="2"/>
        <v>591.6</v>
      </c>
      <c r="Q45" s="8">
        <f t="shared" si="3"/>
        <v>1128.9700000000003</v>
      </c>
      <c r="R45" s="4">
        <f t="shared" si="4"/>
        <v>0.6561604584527222</v>
      </c>
      <c r="S45" t="s">
        <v>87</v>
      </c>
      <c r="T45">
        <f>Table6[[#This Row],[Discount]]*Table6[[#This Row],[List Price]]*Table6[[#This Row],[Units]]</f>
        <v>0</v>
      </c>
    </row>
    <row r="46" spans="1:20" x14ac:dyDescent="0.2">
      <c r="A46" t="s">
        <v>139</v>
      </c>
      <c r="B46" s="2">
        <v>46228.896153882335</v>
      </c>
      <c r="C46" t="s">
        <v>98</v>
      </c>
      <c r="D46" t="s">
        <v>96</v>
      </c>
      <c r="E46" t="s">
        <v>40</v>
      </c>
      <c r="F46" t="s">
        <v>7</v>
      </c>
      <c r="G46" t="s">
        <v>44</v>
      </c>
      <c r="H46" t="str">
        <f>_xlfn.XLOOKUP(Table6[[#This Row],[SKU]],tblProductMaster[SKU],tblProductMaster[Product])</f>
        <v>Fabric Softener</v>
      </c>
      <c r="I46">
        <v>873</v>
      </c>
      <c r="J46">
        <f>_xlfn.XLOOKUP(G46,[1]!tblProductMaster[SKU],[1]!tblProductMaster[List Price])</f>
        <v>6.99</v>
      </c>
      <c r="K46" t="s">
        <v>89</v>
      </c>
      <c r="L46" s="3">
        <v>0.3</v>
      </c>
      <c r="M46" s="9">
        <f t="shared" si="0"/>
        <v>4.8929999999999998</v>
      </c>
      <c r="N46" s="8">
        <f t="shared" si="1"/>
        <v>4271.5889999999999</v>
      </c>
      <c r="O46" s="9">
        <f>_xlfn.XLOOKUP(G46,[1]!tblProductMaster[SKU],[1]!tblProductMaster[Unit Cost])</f>
        <v>2.9</v>
      </c>
      <c r="P46" s="8">
        <f t="shared" si="2"/>
        <v>2531.6999999999998</v>
      </c>
      <c r="Q46" s="8">
        <f t="shared" si="3"/>
        <v>1739.8890000000001</v>
      </c>
      <c r="R46" s="4">
        <f t="shared" si="4"/>
        <v>0.40731657469854898</v>
      </c>
      <c r="S46" t="s">
        <v>99</v>
      </c>
      <c r="T46">
        <f>Table6[[#This Row],[Discount]]*Table6[[#This Row],[List Price]]*Table6[[#This Row],[Units]]</f>
        <v>1830.681</v>
      </c>
    </row>
    <row r="47" spans="1:20" x14ac:dyDescent="0.2">
      <c r="A47" t="s">
        <v>140</v>
      </c>
      <c r="B47" s="2">
        <v>46277.678022673776</v>
      </c>
      <c r="C47" t="s">
        <v>93</v>
      </c>
      <c r="D47" t="s">
        <v>85</v>
      </c>
      <c r="E47" t="s">
        <v>8</v>
      </c>
      <c r="F47" t="s">
        <v>7</v>
      </c>
      <c r="G47" t="s">
        <v>10</v>
      </c>
      <c r="H47" t="str">
        <f>_xlfn.XLOOKUP(Table6[[#This Row],[SKU]],tblProductMaster[SKU],tblProductMaster[Product])</f>
        <v>Shampoo 500ml</v>
      </c>
      <c r="I47">
        <v>451</v>
      </c>
      <c r="J47">
        <f>_xlfn.XLOOKUP(G47,[1]!tblProductMaster[SKU],[1]!tblProductMaster[List Price])</f>
        <v>8.99</v>
      </c>
      <c r="K47" t="s">
        <v>86</v>
      </c>
      <c r="L47" s="3">
        <v>0</v>
      </c>
      <c r="M47" s="9">
        <f t="shared" si="0"/>
        <v>8.99</v>
      </c>
      <c r="N47" s="8">
        <f t="shared" si="1"/>
        <v>4054.4900000000002</v>
      </c>
      <c r="O47" s="9">
        <f>_xlfn.XLOOKUP(G47,[1]!tblProductMaster[SKU],[1]!tblProductMaster[Unit Cost])</f>
        <v>3.6</v>
      </c>
      <c r="P47" s="8">
        <f t="shared" si="2"/>
        <v>1623.6000000000001</v>
      </c>
      <c r="Q47" s="8">
        <f t="shared" si="3"/>
        <v>2430.8900000000003</v>
      </c>
      <c r="R47" s="4">
        <f t="shared" si="4"/>
        <v>0.59955506117908797</v>
      </c>
      <c r="S47" t="s">
        <v>87</v>
      </c>
      <c r="T47">
        <f>Table6[[#This Row],[Discount]]*Table6[[#This Row],[List Price]]*Table6[[#This Row],[Units]]</f>
        <v>0</v>
      </c>
    </row>
    <row r="48" spans="1:20" x14ac:dyDescent="0.2">
      <c r="A48" t="s">
        <v>141</v>
      </c>
      <c r="B48" s="2">
        <v>46060.306750325712</v>
      </c>
      <c r="C48" t="s">
        <v>98</v>
      </c>
      <c r="D48" t="s">
        <v>96</v>
      </c>
      <c r="E48" t="s">
        <v>8</v>
      </c>
      <c r="F48" t="s">
        <v>18</v>
      </c>
      <c r="G48" t="s">
        <v>17</v>
      </c>
      <c r="H48" t="str">
        <f>_xlfn.XLOOKUP(Table6[[#This Row],[SKU]],tblProductMaster[SKU],tblProductMaster[Product])</f>
        <v>Anti-Dandruff Shampoo</v>
      </c>
      <c r="I48">
        <v>258</v>
      </c>
      <c r="J48">
        <f>_xlfn.XLOOKUP(G48,[1]!tblProductMaster[SKU],[1]!tblProductMaster[List Price])</f>
        <v>6.49</v>
      </c>
      <c r="K48" t="s">
        <v>86</v>
      </c>
      <c r="L48" s="3">
        <v>0</v>
      </c>
      <c r="M48" s="9">
        <f t="shared" si="0"/>
        <v>6.49</v>
      </c>
      <c r="N48" s="8">
        <f t="shared" si="1"/>
        <v>1674.42</v>
      </c>
      <c r="O48" s="9">
        <f>_xlfn.XLOOKUP(G48,[1]!tblProductMaster[SKU],[1]!tblProductMaster[Unit Cost])</f>
        <v>2.8</v>
      </c>
      <c r="P48" s="8">
        <f t="shared" si="2"/>
        <v>722.4</v>
      </c>
      <c r="Q48" s="8">
        <f t="shared" si="3"/>
        <v>952.0200000000001</v>
      </c>
      <c r="R48" s="4">
        <f t="shared" si="4"/>
        <v>0.5685670261941449</v>
      </c>
      <c r="S48" t="s">
        <v>87</v>
      </c>
      <c r="T48">
        <f>Table6[[#This Row],[Discount]]*Table6[[#This Row],[List Price]]*Table6[[#This Row],[Units]]</f>
        <v>0</v>
      </c>
    </row>
    <row r="49" spans="1:20" x14ac:dyDescent="0.2">
      <c r="A49" t="s">
        <v>142</v>
      </c>
      <c r="B49" s="2">
        <v>46222.840901126285</v>
      </c>
      <c r="C49" t="s">
        <v>84</v>
      </c>
      <c r="D49" t="s">
        <v>96</v>
      </c>
      <c r="E49" t="s">
        <v>40</v>
      </c>
      <c r="F49" t="s">
        <v>7</v>
      </c>
      <c r="G49" t="s">
        <v>48</v>
      </c>
      <c r="H49" t="str">
        <f>_xlfn.XLOOKUP(Table6[[#This Row],[SKU]],tblProductMaster[SKU],tblProductMaster[Product])</f>
        <v>Color Detergent</v>
      </c>
      <c r="I49">
        <v>354</v>
      </c>
      <c r="J49">
        <f>_xlfn.XLOOKUP(G49,[1]!tblProductMaster[SKU],[1]!tblProductMaster[List Price])</f>
        <v>9.49</v>
      </c>
      <c r="K49" t="s">
        <v>86</v>
      </c>
      <c r="L49" s="3">
        <v>0</v>
      </c>
      <c r="M49" s="9">
        <f t="shared" si="0"/>
        <v>9.49</v>
      </c>
      <c r="N49" s="8">
        <f t="shared" si="1"/>
        <v>3359.46</v>
      </c>
      <c r="O49" s="9">
        <f>_xlfn.XLOOKUP(G49,[1]!tblProductMaster[SKU],[1]!tblProductMaster[Unit Cost])</f>
        <v>4</v>
      </c>
      <c r="P49" s="8">
        <f t="shared" si="2"/>
        <v>1416</v>
      </c>
      <c r="Q49" s="8">
        <f t="shared" si="3"/>
        <v>1943.46</v>
      </c>
      <c r="R49" s="4">
        <f t="shared" si="4"/>
        <v>0.57850368809272923</v>
      </c>
      <c r="S49" t="s">
        <v>87</v>
      </c>
      <c r="T49">
        <f>Table6[[#This Row],[Discount]]*Table6[[#This Row],[List Price]]*Table6[[#This Row],[Units]]</f>
        <v>0</v>
      </c>
    </row>
    <row r="50" spans="1:20" x14ac:dyDescent="0.2">
      <c r="A50" t="s">
        <v>143</v>
      </c>
      <c r="B50" s="2">
        <v>46067.233079544072</v>
      </c>
      <c r="C50" t="s">
        <v>98</v>
      </c>
      <c r="D50" t="s">
        <v>104</v>
      </c>
      <c r="E50" t="s">
        <v>8</v>
      </c>
      <c r="F50" t="s">
        <v>18</v>
      </c>
      <c r="G50" t="s">
        <v>20</v>
      </c>
      <c r="H50" t="str">
        <f>_xlfn.XLOOKUP(Table6[[#This Row],[SKU]],tblProductMaster[SKU],tblProductMaster[Product])</f>
        <v>Hair Oil</v>
      </c>
      <c r="I50">
        <v>1113</v>
      </c>
      <c r="J50">
        <f>_xlfn.XLOOKUP(G50,[1]!tblProductMaster[SKU],[1]!tblProductMaster[List Price])</f>
        <v>7.49</v>
      </c>
      <c r="K50" t="s">
        <v>89</v>
      </c>
      <c r="L50" s="3">
        <v>0.2</v>
      </c>
      <c r="M50" s="9">
        <f t="shared" si="0"/>
        <v>5.9920000000000009</v>
      </c>
      <c r="N50" s="8">
        <f t="shared" si="1"/>
        <v>6669.0960000000014</v>
      </c>
      <c r="O50" s="9">
        <f>_xlfn.XLOOKUP(G50,[1]!tblProductMaster[SKU],[1]!tblProductMaster[Unit Cost])</f>
        <v>3.1</v>
      </c>
      <c r="P50" s="8">
        <f t="shared" si="2"/>
        <v>3450.3</v>
      </c>
      <c r="Q50" s="8">
        <f t="shared" si="3"/>
        <v>3218.7960000000012</v>
      </c>
      <c r="R50" s="4">
        <f t="shared" si="4"/>
        <v>0.48264352469959954</v>
      </c>
      <c r="S50" t="s">
        <v>94</v>
      </c>
      <c r="T50">
        <f>Table6[[#This Row],[Discount]]*Table6[[#This Row],[List Price]]*Table6[[#This Row],[Units]]</f>
        <v>1667.2740000000003</v>
      </c>
    </row>
    <row r="51" spans="1:20" x14ac:dyDescent="0.2">
      <c r="A51" t="s">
        <v>144</v>
      </c>
      <c r="B51" s="2">
        <v>46241.050024241471</v>
      </c>
      <c r="C51" t="s">
        <v>84</v>
      </c>
      <c r="D51" t="s">
        <v>85</v>
      </c>
      <c r="E51" t="s">
        <v>40</v>
      </c>
      <c r="F51" t="s">
        <v>7</v>
      </c>
      <c r="G51" t="s">
        <v>44</v>
      </c>
      <c r="H51" t="str">
        <f>_xlfn.XLOOKUP(Table6[[#This Row],[SKU]],tblProductMaster[SKU],tblProductMaster[Product])</f>
        <v>Fabric Softener</v>
      </c>
      <c r="I51">
        <v>357</v>
      </c>
      <c r="J51">
        <f>_xlfn.XLOOKUP(G51,[1]!tblProductMaster[SKU],[1]!tblProductMaster[List Price])</f>
        <v>6.99</v>
      </c>
      <c r="K51" t="s">
        <v>86</v>
      </c>
      <c r="L51" s="3">
        <v>0</v>
      </c>
      <c r="M51" s="9">
        <f t="shared" si="0"/>
        <v>6.99</v>
      </c>
      <c r="N51" s="8">
        <f t="shared" si="1"/>
        <v>2495.4300000000003</v>
      </c>
      <c r="O51" s="9">
        <f>_xlfn.XLOOKUP(G51,[1]!tblProductMaster[SKU],[1]!tblProductMaster[Unit Cost])</f>
        <v>2.9</v>
      </c>
      <c r="P51" s="8">
        <f t="shared" si="2"/>
        <v>1035.3</v>
      </c>
      <c r="Q51" s="8">
        <f t="shared" si="3"/>
        <v>1460.1300000000003</v>
      </c>
      <c r="R51" s="4">
        <f t="shared" si="4"/>
        <v>0.58512160228898435</v>
      </c>
      <c r="S51" t="s">
        <v>87</v>
      </c>
      <c r="T51">
        <f>Table6[[#This Row],[Discount]]*Table6[[#This Row],[List Price]]*Table6[[#This Row],[Units]]</f>
        <v>0</v>
      </c>
    </row>
    <row r="52" spans="1:20" x14ac:dyDescent="0.2">
      <c r="A52" t="s">
        <v>145</v>
      </c>
      <c r="B52" s="2">
        <v>46033.123260525506</v>
      </c>
      <c r="C52" t="s">
        <v>93</v>
      </c>
      <c r="D52" t="s">
        <v>85</v>
      </c>
      <c r="E52" t="s">
        <v>8</v>
      </c>
      <c r="F52" t="s">
        <v>7</v>
      </c>
      <c r="G52" t="s">
        <v>10</v>
      </c>
      <c r="H52" t="str">
        <f>_xlfn.XLOOKUP(Table6[[#This Row],[SKU]],tblProductMaster[SKU],tblProductMaster[Product])</f>
        <v>Shampoo 500ml</v>
      </c>
      <c r="I52">
        <v>399</v>
      </c>
      <c r="J52">
        <f>_xlfn.XLOOKUP(G52,[1]!tblProductMaster[SKU],[1]!tblProductMaster[List Price])</f>
        <v>8.99</v>
      </c>
      <c r="K52" t="s">
        <v>86</v>
      </c>
      <c r="L52" s="3">
        <v>0</v>
      </c>
      <c r="M52" s="9">
        <f t="shared" si="0"/>
        <v>8.99</v>
      </c>
      <c r="N52" s="8">
        <f t="shared" si="1"/>
        <v>3587.01</v>
      </c>
      <c r="O52" s="9">
        <f>_xlfn.XLOOKUP(G52,[1]!tblProductMaster[SKU],[1]!tblProductMaster[Unit Cost])</f>
        <v>3.6</v>
      </c>
      <c r="P52" s="8">
        <f t="shared" si="2"/>
        <v>1436.4</v>
      </c>
      <c r="Q52" s="8">
        <f t="shared" si="3"/>
        <v>2150.61</v>
      </c>
      <c r="R52" s="4">
        <f t="shared" si="4"/>
        <v>0.59955506117908786</v>
      </c>
      <c r="S52" t="s">
        <v>87</v>
      </c>
      <c r="T52">
        <f>Table6[[#This Row],[Discount]]*Table6[[#This Row],[List Price]]*Table6[[#This Row],[Units]]</f>
        <v>0</v>
      </c>
    </row>
    <row r="53" spans="1:20" x14ac:dyDescent="0.2">
      <c r="A53" t="s">
        <v>146</v>
      </c>
      <c r="B53" s="2">
        <v>46183.610826494987</v>
      </c>
      <c r="C53" t="s">
        <v>84</v>
      </c>
      <c r="D53" t="s">
        <v>104</v>
      </c>
      <c r="E53" t="s">
        <v>25</v>
      </c>
      <c r="F53" t="s">
        <v>7</v>
      </c>
      <c r="G53" t="s">
        <v>24</v>
      </c>
      <c r="H53" t="str">
        <f>_xlfn.XLOOKUP(Table6[[#This Row],[SKU]],tblProductMaster[SKU],tblProductMaster[Product])</f>
        <v>Body Lotion 400ml</v>
      </c>
      <c r="I53">
        <v>717</v>
      </c>
      <c r="J53">
        <f>_xlfn.XLOOKUP(G53,[1]!tblProductMaster[SKU],[1]!tblProductMaster[List Price])</f>
        <v>7.99</v>
      </c>
      <c r="K53" t="s">
        <v>86</v>
      </c>
      <c r="L53" s="3">
        <v>0</v>
      </c>
      <c r="M53" s="9">
        <f t="shared" si="0"/>
        <v>7.99</v>
      </c>
      <c r="N53" s="8">
        <f t="shared" si="1"/>
        <v>5728.83</v>
      </c>
      <c r="O53" s="9">
        <f>_xlfn.XLOOKUP(G53,[1]!tblProductMaster[SKU],[1]!tblProductMaster[Unit Cost])</f>
        <v>3.1</v>
      </c>
      <c r="P53" s="8">
        <f t="shared" si="2"/>
        <v>2222.7000000000003</v>
      </c>
      <c r="Q53" s="8">
        <f t="shared" si="3"/>
        <v>3506.1299999999997</v>
      </c>
      <c r="R53" s="4">
        <f t="shared" si="4"/>
        <v>0.61201501877346676</v>
      </c>
      <c r="S53" t="s">
        <v>87</v>
      </c>
      <c r="T53">
        <f>Table6[[#This Row],[Discount]]*Table6[[#This Row],[List Price]]*Table6[[#This Row],[Units]]</f>
        <v>0</v>
      </c>
    </row>
    <row r="54" spans="1:20" x14ac:dyDescent="0.2">
      <c r="A54" t="s">
        <v>147</v>
      </c>
      <c r="B54" s="2">
        <v>46146.302935755193</v>
      </c>
      <c r="C54" t="s">
        <v>84</v>
      </c>
      <c r="D54" t="s">
        <v>85</v>
      </c>
      <c r="E54" t="s">
        <v>56</v>
      </c>
      <c r="F54" t="s">
        <v>7</v>
      </c>
      <c r="G54" t="s">
        <v>66</v>
      </c>
      <c r="H54" t="str">
        <f>_xlfn.XLOOKUP(Table6[[#This Row],[SKU]],tblProductMaster[SKU],tblProductMaster[Product])</f>
        <v>Electric Brush Heads</v>
      </c>
      <c r="I54">
        <v>733</v>
      </c>
      <c r="J54">
        <f>_xlfn.XLOOKUP(G54,[1]!tblProductMaster[SKU],[1]!tblProductMaster[List Price])</f>
        <v>12.99</v>
      </c>
      <c r="K54" t="s">
        <v>86</v>
      </c>
      <c r="L54" s="3">
        <v>0</v>
      </c>
      <c r="M54" s="9">
        <f t="shared" si="0"/>
        <v>12.99</v>
      </c>
      <c r="N54" s="8">
        <f t="shared" si="1"/>
        <v>9521.67</v>
      </c>
      <c r="O54" s="9">
        <f>_xlfn.XLOOKUP(G54,[1]!tblProductMaster[SKU],[1]!tblProductMaster[Unit Cost])</f>
        <v>5.2</v>
      </c>
      <c r="P54" s="8">
        <f t="shared" si="2"/>
        <v>3811.6</v>
      </c>
      <c r="Q54" s="8">
        <f t="shared" si="3"/>
        <v>5710.07</v>
      </c>
      <c r="R54" s="4">
        <f t="shared" si="4"/>
        <v>0.59969207082371057</v>
      </c>
      <c r="S54" t="s">
        <v>87</v>
      </c>
      <c r="T54">
        <f>Table6[[#This Row],[Discount]]*Table6[[#This Row],[List Price]]*Table6[[#This Row],[Units]]</f>
        <v>0</v>
      </c>
    </row>
    <row r="55" spans="1:20" x14ac:dyDescent="0.2">
      <c r="A55" t="s">
        <v>148</v>
      </c>
      <c r="B55" s="2">
        <v>46196.880102251613</v>
      </c>
      <c r="C55" t="s">
        <v>93</v>
      </c>
      <c r="D55" t="s">
        <v>96</v>
      </c>
      <c r="E55" t="s">
        <v>40</v>
      </c>
      <c r="F55" t="s">
        <v>18</v>
      </c>
      <c r="G55" t="s">
        <v>42</v>
      </c>
      <c r="H55" t="str">
        <f>_xlfn.XLOOKUP(Table6[[#This Row],[SKU]],tblProductMaster[SKU],tblProductMaster[Product])</f>
        <v>Detergent Capsules</v>
      </c>
      <c r="I55">
        <v>960</v>
      </c>
      <c r="J55">
        <f>_xlfn.XLOOKUP(G55,[1]!tblProductMaster[SKU],[1]!tblProductMaster[List Price])</f>
        <v>11.99</v>
      </c>
      <c r="K55" t="s">
        <v>89</v>
      </c>
      <c r="L55" s="3">
        <v>0.2</v>
      </c>
      <c r="M55" s="9">
        <f t="shared" si="0"/>
        <v>9.5920000000000005</v>
      </c>
      <c r="N55" s="8">
        <f t="shared" si="1"/>
        <v>9208.32</v>
      </c>
      <c r="O55" s="9">
        <f>_xlfn.XLOOKUP(G55,[1]!tblProductMaster[SKU],[1]!tblProductMaster[Unit Cost])</f>
        <v>5.2</v>
      </c>
      <c r="P55" s="8">
        <f t="shared" si="2"/>
        <v>4992</v>
      </c>
      <c r="Q55" s="8">
        <f t="shared" si="3"/>
        <v>4216.32</v>
      </c>
      <c r="R55" s="4">
        <f t="shared" si="4"/>
        <v>0.45788156797331109</v>
      </c>
      <c r="S55" t="s">
        <v>99</v>
      </c>
      <c r="T55">
        <f>Table6[[#This Row],[Discount]]*Table6[[#This Row],[List Price]]*Table6[[#This Row],[Units]]</f>
        <v>2302.08</v>
      </c>
    </row>
    <row r="56" spans="1:20" x14ac:dyDescent="0.2">
      <c r="A56" t="s">
        <v>149</v>
      </c>
      <c r="B56" s="2">
        <v>46141.594403300965</v>
      </c>
      <c r="C56" t="s">
        <v>93</v>
      </c>
      <c r="D56" t="s">
        <v>96</v>
      </c>
      <c r="E56" t="s">
        <v>8</v>
      </c>
      <c r="F56" t="s">
        <v>7</v>
      </c>
      <c r="G56" t="s">
        <v>12</v>
      </c>
      <c r="H56" t="str">
        <f>_xlfn.XLOOKUP(Table6[[#This Row],[SKU]],tblProductMaster[SKU],tblProductMaster[Product])</f>
        <v>Conditioner 250ml</v>
      </c>
      <c r="I56">
        <v>875</v>
      </c>
      <c r="J56">
        <f>_xlfn.XLOOKUP(G56,[1]!tblProductMaster[SKU],[1]!tblProductMaster[List Price])</f>
        <v>5.49</v>
      </c>
      <c r="K56" t="s">
        <v>89</v>
      </c>
      <c r="L56" s="3">
        <v>0.2</v>
      </c>
      <c r="M56" s="9">
        <f t="shared" si="0"/>
        <v>4.3920000000000003</v>
      </c>
      <c r="N56" s="8">
        <f t="shared" si="1"/>
        <v>3843.0000000000005</v>
      </c>
      <c r="O56" s="9">
        <f>_xlfn.XLOOKUP(G56,[1]!tblProductMaster[SKU],[1]!tblProductMaster[Unit Cost])</f>
        <v>2.2000000000000002</v>
      </c>
      <c r="P56" s="8">
        <f t="shared" si="2"/>
        <v>1925.0000000000002</v>
      </c>
      <c r="Q56" s="8">
        <f t="shared" si="3"/>
        <v>1918.0000000000002</v>
      </c>
      <c r="R56" s="4">
        <f t="shared" si="4"/>
        <v>0.49908925318761382</v>
      </c>
      <c r="S56" t="s">
        <v>99</v>
      </c>
      <c r="T56">
        <f>Table6[[#This Row],[Discount]]*Table6[[#This Row],[List Price]]*Table6[[#This Row],[Units]]</f>
        <v>960.75000000000011</v>
      </c>
    </row>
    <row r="57" spans="1:20" x14ac:dyDescent="0.2">
      <c r="A57" t="s">
        <v>150</v>
      </c>
      <c r="B57" s="2">
        <v>46156.406283715653</v>
      </c>
      <c r="C57" t="s">
        <v>93</v>
      </c>
      <c r="D57" t="s">
        <v>85</v>
      </c>
      <c r="E57" t="s">
        <v>56</v>
      </c>
      <c r="F57" t="s">
        <v>18</v>
      </c>
      <c r="G57" t="s">
        <v>68</v>
      </c>
      <c r="H57" t="str">
        <f>_xlfn.XLOOKUP(Table6[[#This Row],[SKU]],tblProductMaster[SKU],tblProductMaster[Product])</f>
        <v>Kids Toothpaste</v>
      </c>
      <c r="I57">
        <v>416</v>
      </c>
      <c r="J57">
        <f>_xlfn.XLOOKUP(G57,[1]!tblProductMaster[SKU],[1]!tblProductMaster[List Price])</f>
        <v>3.29</v>
      </c>
      <c r="K57" t="s">
        <v>86</v>
      </c>
      <c r="L57" s="3">
        <v>0</v>
      </c>
      <c r="M57" s="9">
        <f t="shared" si="0"/>
        <v>3.29</v>
      </c>
      <c r="N57" s="8">
        <f t="shared" si="1"/>
        <v>1368.64</v>
      </c>
      <c r="O57" s="9">
        <f>_xlfn.XLOOKUP(G57,[1]!tblProductMaster[SKU],[1]!tblProductMaster[Unit Cost])</f>
        <v>1.1000000000000001</v>
      </c>
      <c r="P57" s="8">
        <f t="shared" si="2"/>
        <v>457.6</v>
      </c>
      <c r="Q57" s="8">
        <f t="shared" si="3"/>
        <v>911.04000000000008</v>
      </c>
      <c r="R57" s="4">
        <f t="shared" si="4"/>
        <v>0.66565349544072949</v>
      </c>
      <c r="S57" t="s">
        <v>87</v>
      </c>
      <c r="T57">
        <f>Table6[[#This Row],[Discount]]*Table6[[#This Row],[List Price]]*Table6[[#This Row],[Units]]</f>
        <v>0</v>
      </c>
    </row>
    <row r="58" spans="1:20" x14ac:dyDescent="0.2">
      <c r="A58" t="s">
        <v>151</v>
      </c>
      <c r="B58" s="2">
        <v>46224.609279401164</v>
      </c>
      <c r="C58" t="s">
        <v>93</v>
      </c>
      <c r="D58" t="s">
        <v>104</v>
      </c>
      <c r="E58" t="s">
        <v>8</v>
      </c>
      <c r="F58" t="s">
        <v>7</v>
      </c>
      <c r="G58" t="s">
        <v>6</v>
      </c>
      <c r="H58" t="str">
        <f>_xlfn.XLOOKUP(Table6[[#This Row],[SKU]],tblProductMaster[SKU],tblProductMaster[Product])</f>
        <v>Shampoo 250ml</v>
      </c>
      <c r="I58">
        <v>372</v>
      </c>
      <c r="J58">
        <f>_xlfn.XLOOKUP(G58,[1]!tblProductMaster[SKU],[1]!tblProductMaster[List Price])</f>
        <v>5.99</v>
      </c>
      <c r="K58" t="s">
        <v>86</v>
      </c>
      <c r="L58" s="3">
        <v>0</v>
      </c>
      <c r="M58" s="9">
        <f t="shared" si="0"/>
        <v>5.99</v>
      </c>
      <c r="N58" s="8">
        <f t="shared" si="1"/>
        <v>2228.2800000000002</v>
      </c>
      <c r="O58" s="9">
        <f>_xlfn.XLOOKUP(G58,[1]!tblProductMaster[SKU],[1]!tblProductMaster[Unit Cost])</f>
        <v>2.4</v>
      </c>
      <c r="P58" s="8">
        <f t="shared" si="2"/>
        <v>892.8</v>
      </c>
      <c r="Q58" s="8">
        <f t="shared" si="3"/>
        <v>1335.4800000000002</v>
      </c>
      <c r="R58" s="4">
        <f t="shared" si="4"/>
        <v>0.59933222036727885</v>
      </c>
      <c r="S58" t="s">
        <v>87</v>
      </c>
      <c r="T58">
        <f>Table6[[#This Row],[Discount]]*Table6[[#This Row],[List Price]]*Table6[[#This Row],[Units]]</f>
        <v>0</v>
      </c>
    </row>
    <row r="59" spans="1:20" x14ac:dyDescent="0.2">
      <c r="A59" t="s">
        <v>152</v>
      </c>
      <c r="B59" s="2">
        <v>46326.594339615047</v>
      </c>
      <c r="C59" t="s">
        <v>84</v>
      </c>
      <c r="D59" t="s">
        <v>104</v>
      </c>
      <c r="E59" t="s">
        <v>8</v>
      </c>
      <c r="F59" t="s">
        <v>15</v>
      </c>
      <c r="G59" t="s">
        <v>14</v>
      </c>
      <c r="H59" t="str">
        <f>_xlfn.XLOOKUP(Table6[[#This Row],[SKU]],tblProductMaster[SKU],tblProductMaster[Product])</f>
        <v>Shampoo 250ml</v>
      </c>
      <c r="I59">
        <v>478</v>
      </c>
      <c r="J59">
        <f>_xlfn.XLOOKUP(G59,[1]!tblProductMaster[SKU],[1]!tblProductMaster[List Price])</f>
        <v>4.99</v>
      </c>
      <c r="K59" t="s">
        <v>89</v>
      </c>
      <c r="L59" s="3">
        <v>0.2</v>
      </c>
      <c r="M59" s="9">
        <f t="shared" si="0"/>
        <v>3.9920000000000004</v>
      </c>
      <c r="N59" s="8">
        <f t="shared" si="1"/>
        <v>1908.1760000000002</v>
      </c>
      <c r="O59" s="9">
        <f>_xlfn.XLOOKUP(G59,[1]!tblProductMaster[SKU],[1]!tblProductMaster[Unit Cost])</f>
        <v>2.1</v>
      </c>
      <c r="P59" s="8">
        <f t="shared" si="2"/>
        <v>1003.8000000000001</v>
      </c>
      <c r="Q59" s="8">
        <f t="shared" si="3"/>
        <v>904.37600000000009</v>
      </c>
      <c r="R59" s="4">
        <f t="shared" si="4"/>
        <v>0.4739478957915832</v>
      </c>
      <c r="S59" t="s">
        <v>94</v>
      </c>
      <c r="T59">
        <f>Table6[[#This Row],[Discount]]*Table6[[#This Row],[List Price]]*Table6[[#This Row],[Units]]</f>
        <v>477.04400000000004</v>
      </c>
    </row>
    <row r="60" spans="1:20" x14ac:dyDescent="0.2">
      <c r="A60" t="s">
        <v>153</v>
      </c>
      <c r="B60" s="2">
        <v>46154.329395112785</v>
      </c>
      <c r="C60" t="s">
        <v>93</v>
      </c>
      <c r="D60" t="s">
        <v>85</v>
      </c>
      <c r="E60" t="s">
        <v>8</v>
      </c>
      <c r="F60" t="s">
        <v>7</v>
      </c>
      <c r="G60" t="s">
        <v>10</v>
      </c>
      <c r="H60" t="str">
        <f>_xlfn.XLOOKUP(Table6[[#This Row],[SKU]],tblProductMaster[SKU],tblProductMaster[Product])</f>
        <v>Shampoo 500ml</v>
      </c>
      <c r="I60">
        <v>212</v>
      </c>
      <c r="J60">
        <f>_xlfn.XLOOKUP(G60,[1]!tblProductMaster[SKU],[1]!tblProductMaster[List Price])</f>
        <v>8.99</v>
      </c>
      <c r="K60" t="s">
        <v>86</v>
      </c>
      <c r="L60" s="3">
        <v>0</v>
      </c>
      <c r="M60" s="9">
        <f t="shared" si="0"/>
        <v>8.99</v>
      </c>
      <c r="N60" s="8">
        <f t="shared" si="1"/>
        <v>1905.88</v>
      </c>
      <c r="O60" s="9">
        <f>_xlfn.XLOOKUP(G60,[1]!tblProductMaster[SKU],[1]!tblProductMaster[Unit Cost])</f>
        <v>3.6</v>
      </c>
      <c r="P60" s="8">
        <f t="shared" si="2"/>
        <v>763.2</v>
      </c>
      <c r="Q60" s="8">
        <f t="shared" si="3"/>
        <v>1142.68</v>
      </c>
      <c r="R60" s="4">
        <f t="shared" si="4"/>
        <v>0.59955506117908786</v>
      </c>
      <c r="S60" t="s">
        <v>87</v>
      </c>
      <c r="T60">
        <f>Table6[[#This Row],[Discount]]*Table6[[#This Row],[List Price]]*Table6[[#This Row],[Units]]</f>
        <v>0</v>
      </c>
    </row>
    <row r="61" spans="1:20" x14ac:dyDescent="0.2">
      <c r="A61" t="s">
        <v>154</v>
      </c>
      <c r="B61" s="2">
        <v>46346.64003667052</v>
      </c>
      <c r="C61" t="s">
        <v>93</v>
      </c>
      <c r="D61" t="s">
        <v>85</v>
      </c>
      <c r="E61" t="s">
        <v>8</v>
      </c>
      <c r="F61" t="s">
        <v>15</v>
      </c>
      <c r="G61" t="s">
        <v>22</v>
      </c>
      <c r="H61" t="str">
        <f>_xlfn.XLOOKUP(Table6[[#This Row],[SKU]],tblProductMaster[SKU],tblProductMaster[Product])</f>
        <v>Styling Gel</v>
      </c>
      <c r="I61">
        <v>232</v>
      </c>
      <c r="J61">
        <f>_xlfn.XLOOKUP(G61,[1]!tblProductMaster[SKU],[1]!tblProductMaster[List Price])</f>
        <v>4.49</v>
      </c>
      <c r="K61" t="s">
        <v>86</v>
      </c>
      <c r="L61" s="3">
        <v>0</v>
      </c>
      <c r="M61" s="9">
        <f t="shared" si="0"/>
        <v>4.49</v>
      </c>
      <c r="N61" s="8">
        <f t="shared" si="1"/>
        <v>1041.68</v>
      </c>
      <c r="O61" s="9">
        <f>_xlfn.XLOOKUP(G61,[1]!tblProductMaster[SKU],[1]!tblProductMaster[Unit Cost])</f>
        <v>1.9</v>
      </c>
      <c r="P61" s="8">
        <f t="shared" si="2"/>
        <v>440.79999999999995</v>
      </c>
      <c r="Q61" s="8">
        <f t="shared" si="3"/>
        <v>600.88000000000011</v>
      </c>
      <c r="R61" s="4">
        <f t="shared" si="4"/>
        <v>0.57683741648106912</v>
      </c>
      <c r="S61" t="s">
        <v>87</v>
      </c>
      <c r="T61">
        <f>Table6[[#This Row],[Discount]]*Table6[[#This Row],[List Price]]*Table6[[#This Row],[Units]]</f>
        <v>0</v>
      </c>
    </row>
    <row r="62" spans="1:20" x14ac:dyDescent="0.2">
      <c r="A62" t="s">
        <v>155</v>
      </c>
      <c r="B62" s="2">
        <v>46130.1828301149</v>
      </c>
      <c r="C62" t="s">
        <v>84</v>
      </c>
      <c r="D62" t="s">
        <v>85</v>
      </c>
      <c r="E62" t="s">
        <v>25</v>
      </c>
      <c r="F62" t="s">
        <v>7</v>
      </c>
      <c r="G62" t="s">
        <v>31</v>
      </c>
      <c r="H62" t="str">
        <f>_xlfn.XLOOKUP(Table6[[#This Row],[SKU]],tblProductMaster[SKU],tblProductMaster[Product])</f>
        <v>Facial Cleanser</v>
      </c>
      <c r="I62">
        <v>725</v>
      </c>
      <c r="J62">
        <f>_xlfn.XLOOKUP(G62,[1]!tblProductMaster[SKU],[1]!tblProductMaster[List Price])</f>
        <v>8.49</v>
      </c>
      <c r="K62" t="s">
        <v>86</v>
      </c>
      <c r="L62" s="3">
        <v>0</v>
      </c>
      <c r="M62" s="9">
        <f t="shared" si="0"/>
        <v>8.49</v>
      </c>
      <c r="N62" s="8">
        <f t="shared" si="1"/>
        <v>6155.25</v>
      </c>
      <c r="O62" s="9">
        <f>_xlfn.XLOOKUP(G62,[1]!tblProductMaster[SKU],[1]!tblProductMaster[Unit Cost])</f>
        <v>3.5</v>
      </c>
      <c r="P62" s="8">
        <f t="shared" si="2"/>
        <v>2537.5</v>
      </c>
      <c r="Q62" s="8">
        <f t="shared" si="3"/>
        <v>3617.75</v>
      </c>
      <c r="R62" s="4">
        <f t="shared" si="4"/>
        <v>0.58775029446407534</v>
      </c>
      <c r="S62" t="s">
        <v>87</v>
      </c>
      <c r="T62">
        <f>Table6[[#This Row],[Discount]]*Table6[[#This Row],[List Price]]*Table6[[#This Row],[Units]]</f>
        <v>0</v>
      </c>
    </row>
    <row r="63" spans="1:20" x14ac:dyDescent="0.2">
      <c r="A63" t="s">
        <v>156</v>
      </c>
      <c r="B63" s="2">
        <v>46137.895180013184</v>
      </c>
      <c r="C63" t="s">
        <v>84</v>
      </c>
      <c r="D63" t="s">
        <v>96</v>
      </c>
      <c r="E63" t="s">
        <v>56</v>
      </c>
      <c r="F63" t="s">
        <v>7</v>
      </c>
      <c r="G63" t="s">
        <v>64</v>
      </c>
      <c r="H63" t="str">
        <f>_xlfn.XLOOKUP(Table6[[#This Row],[SKU]],tblProductMaster[SKU],tblProductMaster[Product])</f>
        <v>Toothbrush</v>
      </c>
      <c r="I63">
        <v>556</v>
      </c>
      <c r="J63">
        <f>_xlfn.XLOOKUP(G63,[1]!tblProductMaster[SKU],[1]!tblProductMaster[List Price])</f>
        <v>3.99</v>
      </c>
      <c r="K63" t="s">
        <v>86</v>
      </c>
      <c r="L63" s="3">
        <v>0</v>
      </c>
      <c r="M63" s="9">
        <f t="shared" si="0"/>
        <v>3.99</v>
      </c>
      <c r="N63" s="8">
        <f t="shared" si="1"/>
        <v>2218.44</v>
      </c>
      <c r="O63" s="9">
        <f>_xlfn.XLOOKUP(G63,[1]!tblProductMaster[SKU],[1]!tblProductMaster[Unit Cost])</f>
        <v>1.5</v>
      </c>
      <c r="P63" s="8">
        <f t="shared" si="2"/>
        <v>834</v>
      </c>
      <c r="Q63" s="8">
        <f t="shared" si="3"/>
        <v>1384.44</v>
      </c>
      <c r="R63" s="4">
        <f t="shared" si="4"/>
        <v>0.62406015037593987</v>
      </c>
      <c r="S63" t="s">
        <v>87</v>
      </c>
      <c r="T63">
        <f>Table6[[#This Row],[Discount]]*Table6[[#This Row],[List Price]]*Table6[[#This Row],[Units]]</f>
        <v>0</v>
      </c>
    </row>
    <row r="64" spans="1:20" x14ac:dyDescent="0.2">
      <c r="A64" t="s">
        <v>157</v>
      </c>
      <c r="B64" s="2">
        <v>46204.09267559243</v>
      </c>
      <c r="C64" t="s">
        <v>84</v>
      </c>
      <c r="D64" t="s">
        <v>96</v>
      </c>
      <c r="E64" t="s">
        <v>56</v>
      </c>
      <c r="F64" t="s">
        <v>15</v>
      </c>
      <c r="G64" t="s">
        <v>62</v>
      </c>
      <c r="H64" t="str">
        <f>_xlfn.XLOOKUP(Table6[[#This Row],[SKU]],tblProductMaster[SKU],tblProductMaster[Product])</f>
        <v>Mouthwash 500ml</v>
      </c>
      <c r="I64">
        <v>461</v>
      </c>
      <c r="J64">
        <f>_xlfn.XLOOKUP(G64,[1]!tblProductMaster[SKU],[1]!tblProductMaster[List Price])</f>
        <v>5.99</v>
      </c>
      <c r="K64" t="s">
        <v>86</v>
      </c>
      <c r="L64" s="3">
        <v>0</v>
      </c>
      <c r="M64" s="9">
        <f t="shared" si="0"/>
        <v>5.99</v>
      </c>
      <c r="N64" s="8">
        <f t="shared" si="1"/>
        <v>2761.39</v>
      </c>
      <c r="O64" s="9">
        <f>_xlfn.XLOOKUP(G64,[1]!tblProductMaster[SKU],[1]!tblProductMaster[Unit Cost])</f>
        <v>2.4</v>
      </c>
      <c r="P64" s="8">
        <f t="shared" si="2"/>
        <v>1106.3999999999999</v>
      </c>
      <c r="Q64" s="8">
        <f t="shared" si="3"/>
        <v>1654.99</v>
      </c>
      <c r="R64" s="4">
        <f t="shared" si="4"/>
        <v>0.59933222036727885</v>
      </c>
      <c r="S64" t="s">
        <v>87</v>
      </c>
      <c r="T64">
        <f>Table6[[#This Row],[Discount]]*Table6[[#This Row],[List Price]]*Table6[[#This Row],[Units]]</f>
        <v>0</v>
      </c>
    </row>
    <row r="65" spans="1:20" x14ac:dyDescent="0.2">
      <c r="A65" t="s">
        <v>158</v>
      </c>
      <c r="B65" s="2">
        <v>46210.763848743409</v>
      </c>
      <c r="C65" t="s">
        <v>93</v>
      </c>
      <c r="D65" t="s">
        <v>104</v>
      </c>
      <c r="E65" t="s">
        <v>56</v>
      </c>
      <c r="F65" t="s">
        <v>18</v>
      </c>
      <c r="G65" t="s">
        <v>60</v>
      </c>
      <c r="H65" t="str">
        <f>_xlfn.XLOOKUP(Table6[[#This Row],[SKU]],tblProductMaster[SKU],tblProductMaster[Product])</f>
        <v>Sensitive Toothpaste</v>
      </c>
      <c r="I65">
        <v>748</v>
      </c>
      <c r="J65">
        <f>_xlfn.XLOOKUP(G65,[1]!tblProductMaster[SKU],[1]!tblProductMaster[List Price])</f>
        <v>4.49</v>
      </c>
      <c r="K65" t="s">
        <v>86</v>
      </c>
      <c r="L65" s="3">
        <v>0</v>
      </c>
      <c r="M65" s="9">
        <f t="shared" si="0"/>
        <v>4.49</v>
      </c>
      <c r="N65" s="8">
        <f t="shared" si="1"/>
        <v>3358.52</v>
      </c>
      <c r="O65" s="9">
        <f>_xlfn.XLOOKUP(G65,[1]!tblProductMaster[SKU],[1]!tblProductMaster[Unit Cost])</f>
        <v>1.7</v>
      </c>
      <c r="P65" s="8">
        <f t="shared" si="2"/>
        <v>1271.5999999999999</v>
      </c>
      <c r="Q65" s="8">
        <f t="shared" si="3"/>
        <v>2086.92</v>
      </c>
      <c r="R65" s="4">
        <f t="shared" si="4"/>
        <v>0.6213808463251671</v>
      </c>
      <c r="S65" t="s">
        <v>87</v>
      </c>
      <c r="T65">
        <f>Table6[[#This Row],[Discount]]*Table6[[#This Row],[List Price]]*Table6[[#This Row],[Units]]</f>
        <v>0</v>
      </c>
    </row>
    <row r="66" spans="1:20" x14ac:dyDescent="0.2">
      <c r="A66" t="s">
        <v>159</v>
      </c>
      <c r="B66" s="2">
        <v>46319.910653161583</v>
      </c>
      <c r="C66" t="s">
        <v>98</v>
      </c>
      <c r="D66" t="s">
        <v>85</v>
      </c>
      <c r="E66" t="s">
        <v>40</v>
      </c>
      <c r="F66" t="s">
        <v>18</v>
      </c>
      <c r="G66" t="s">
        <v>50</v>
      </c>
      <c r="H66" t="str">
        <f>_xlfn.XLOOKUP(Table6[[#This Row],[SKU]],tblProductMaster[SKU],tblProductMaster[Product])</f>
        <v>Sensitive Detergent</v>
      </c>
      <c r="I66">
        <v>344</v>
      </c>
      <c r="J66">
        <f>_xlfn.XLOOKUP(G66,[1]!tblProductMaster[SKU],[1]!tblProductMaster[List Price])</f>
        <v>8.99</v>
      </c>
      <c r="K66" t="s">
        <v>86</v>
      </c>
      <c r="L66" s="3">
        <v>0</v>
      </c>
      <c r="M66" s="9">
        <f t="shared" si="0"/>
        <v>8.99</v>
      </c>
      <c r="N66" s="8">
        <f t="shared" si="1"/>
        <v>3092.56</v>
      </c>
      <c r="O66" s="9">
        <f>_xlfn.XLOOKUP(G66,[1]!tblProductMaster[SKU],[1]!tblProductMaster[Unit Cost])</f>
        <v>4</v>
      </c>
      <c r="P66" s="8">
        <f t="shared" si="2"/>
        <v>1376</v>
      </c>
      <c r="Q66" s="8">
        <f t="shared" si="3"/>
        <v>1716.56</v>
      </c>
      <c r="R66" s="4">
        <f t="shared" si="4"/>
        <v>0.55506117908787544</v>
      </c>
      <c r="S66" t="s">
        <v>87</v>
      </c>
      <c r="T66">
        <f>Table6[[#This Row],[Discount]]*Table6[[#This Row],[List Price]]*Table6[[#This Row],[Units]]</f>
        <v>0</v>
      </c>
    </row>
    <row r="67" spans="1:20" x14ac:dyDescent="0.2">
      <c r="A67" t="s">
        <v>160</v>
      </c>
      <c r="B67" s="2">
        <v>46206.351581948693</v>
      </c>
      <c r="C67" t="s">
        <v>93</v>
      </c>
      <c r="D67" t="s">
        <v>104</v>
      </c>
      <c r="E67" t="s">
        <v>56</v>
      </c>
      <c r="F67" t="s">
        <v>18</v>
      </c>
      <c r="G67" t="s">
        <v>68</v>
      </c>
      <c r="H67" t="str">
        <f>_xlfn.XLOOKUP(Table6[[#This Row],[SKU]],tblProductMaster[SKU],tblProductMaster[Product])</f>
        <v>Kids Toothpaste</v>
      </c>
      <c r="I67">
        <v>455</v>
      </c>
      <c r="J67">
        <f>_xlfn.XLOOKUP(G67,[1]!tblProductMaster[SKU],[1]!tblProductMaster[List Price])</f>
        <v>3.29</v>
      </c>
      <c r="K67" t="s">
        <v>86</v>
      </c>
      <c r="L67" s="3">
        <v>0</v>
      </c>
      <c r="M67" s="9">
        <f t="shared" ref="M67:M130" si="5">J67*(1-L67)</f>
        <v>3.29</v>
      </c>
      <c r="N67" s="8">
        <f t="shared" ref="N67:N130" si="6">M67*I67</f>
        <v>1496.95</v>
      </c>
      <c r="O67" s="9">
        <f>_xlfn.XLOOKUP(G67,[1]!tblProductMaster[SKU],[1]!tblProductMaster[Unit Cost])</f>
        <v>1.1000000000000001</v>
      </c>
      <c r="P67" s="8">
        <f t="shared" ref="P67:P130" si="7">O67*I67</f>
        <v>500.50000000000006</v>
      </c>
      <c r="Q67" s="8">
        <f t="shared" ref="Q67:Q130" si="8">N67-P67</f>
        <v>996.45</v>
      </c>
      <c r="R67" s="4">
        <f t="shared" ref="R67:R130" si="9">Q67/N67</f>
        <v>0.66565349544072949</v>
      </c>
      <c r="S67" t="s">
        <v>87</v>
      </c>
      <c r="T67">
        <f>Table6[[#This Row],[Discount]]*Table6[[#This Row],[List Price]]*Table6[[#This Row],[Units]]</f>
        <v>0</v>
      </c>
    </row>
    <row r="68" spans="1:20" x14ac:dyDescent="0.2">
      <c r="A68" t="s">
        <v>161</v>
      </c>
      <c r="B68" s="2">
        <v>46263.115896869429</v>
      </c>
      <c r="C68" t="s">
        <v>93</v>
      </c>
      <c r="D68" t="s">
        <v>96</v>
      </c>
      <c r="E68" t="s">
        <v>40</v>
      </c>
      <c r="F68" t="s">
        <v>7</v>
      </c>
      <c r="G68" t="s">
        <v>44</v>
      </c>
      <c r="H68" t="str">
        <f>_xlfn.XLOOKUP(Table6[[#This Row],[SKU]],tblProductMaster[SKU],tblProductMaster[Product])</f>
        <v>Fabric Softener</v>
      </c>
      <c r="I68">
        <v>1000</v>
      </c>
      <c r="J68">
        <f>_xlfn.XLOOKUP(G68,[1]!tblProductMaster[SKU],[1]!tblProductMaster[List Price])</f>
        <v>6.99</v>
      </c>
      <c r="K68" t="s">
        <v>89</v>
      </c>
      <c r="L68" s="3">
        <v>0.2</v>
      </c>
      <c r="M68" s="9">
        <f t="shared" si="5"/>
        <v>5.5920000000000005</v>
      </c>
      <c r="N68" s="8">
        <f t="shared" si="6"/>
        <v>5592.0000000000009</v>
      </c>
      <c r="O68" s="9">
        <f>_xlfn.XLOOKUP(G68,[1]!tblProductMaster[SKU],[1]!tblProductMaster[Unit Cost])</f>
        <v>2.9</v>
      </c>
      <c r="P68" s="8">
        <f t="shared" si="7"/>
        <v>2900</v>
      </c>
      <c r="Q68" s="8">
        <f t="shared" si="8"/>
        <v>2692.0000000000009</v>
      </c>
      <c r="R68" s="4">
        <f t="shared" si="9"/>
        <v>0.48140200286123042</v>
      </c>
      <c r="S68" t="s">
        <v>99</v>
      </c>
      <c r="T68">
        <f>Table6[[#This Row],[Discount]]*Table6[[#This Row],[List Price]]*Table6[[#This Row],[Units]]</f>
        <v>1398.0000000000002</v>
      </c>
    </row>
    <row r="69" spans="1:20" x14ac:dyDescent="0.2">
      <c r="A69" t="s">
        <v>162</v>
      </c>
      <c r="B69" s="2">
        <v>46234.630584026221</v>
      </c>
      <c r="C69" t="s">
        <v>84</v>
      </c>
      <c r="D69" t="s">
        <v>104</v>
      </c>
      <c r="E69" t="s">
        <v>40</v>
      </c>
      <c r="F69" t="s">
        <v>15</v>
      </c>
      <c r="G69" t="s">
        <v>52</v>
      </c>
      <c r="H69" t="str">
        <f>_xlfn.XLOOKUP(Table6[[#This Row],[SKU]],tblProductMaster[SKU],tblProductMaster[Product])</f>
        <v>Laundry Pods</v>
      </c>
      <c r="I69">
        <v>929</v>
      </c>
      <c r="J69">
        <f>_xlfn.XLOOKUP(G69,[1]!tblProductMaster[SKU],[1]!tblProductMaster[List Price])</f>
        <v>10.49</v>
      </c>
      <c r="K69" t="s">
        <v>89</v>
      </c>
      <c r="L69" s="3">
        <v>0.3</v>
      </c>
      <c r="M69" s="9">
        <f t="shared" si="5"/>
        <v>7.343</v>
      </c>
      <c r="N69" s="8">
        <f t="shared" si="6"/>
        <v>6821.6469999999999</v>
      </c>
      <c r="O69" s="9">
        <f>_xlfn.XLOOKUP(G69,[1]!tblProductMaster[SKU],[1]!tblProductMaster[Unit Cost])</f>
        <v>4.5999999999999996</v>
      </c>
      <c r="P69" s="8">
        <f t="shared" si="7"/>
        <v>4273.3999999999996</v>
      </c>
      <c r="Q69" s="8">
        <f t="shared" si="8"/>
        <v>2548.2470000000003</v>
      </c>
      <c r="R69" s="4">
        <f t="shared" si="9"/>
        <v>0.37355304371510284</v>
      </c>
      <c r="S69" t="s">
        <v>99</v>
      </c>
      <c r="T69">
        <f>Table6[[#This Row],[Discount]]*Table6[[#This Row],[List Price]]*Table6[[#This Row],[Units]]</f>
        <v>2923.5629999999996</v>
      </c>
    </row>
    <row r="70" spans="1:20" x14ac:dyDescent="0.2">
      <c r="A70" t="s">
        <v>163</v>
      </c>
      <c r="B70" s="2">
        <v>46150.556052848464</v>
      </c>
      <c r="C70" t="s">
        <v>98</v>
      </c>
      <c r="D70" t="s">
        <v>85</v>
      </c>
      <c r="E70" t="s">
        <v>8</v>
      </c>
      <c r="F70" t="s">
        <v>15</v>
      </c>
      <c r="G70" t="s">
        <v>14</v>
      </c>
      <c r="H70" t="str">
        <f>_xlfn.XLOOKUP(Table6[[#This Row],[SKU]],tblProductMaster[SKU],tblProductMaster[Product])</f>
        <v>Shampoo 250ml</v>
      </c>
      <c r="I70">
        <v>219</v>
      </c>
      <c r="J70">
        <f>_xlfn.XLOOKUP(G70,[1]!tblProductMaster[SKU],[1]!tblProductMaster[List Price])</f>
        <v>4.99</v>
      </c>
      <c r="K70" t="s">
        <v>86</v>
      </c>
      <c r="L70" s="3">
        <v>0</v>
      </c>
      <c r="M70" s="9">
        <f t="shared" si="5"/>
        <v>4.99</v>
      </c>
      <c r="N70" s="8">
        <f t="shared" si="6"/>
        <v>1092.81</v>
      </c>
      <c r="O70" s="9">
        <f>_xlfn.XLOOKUP(G70,[1]!tblProductMaster[SKU],[1]!tblProductMaster[Unit Cost])</f>
        <v>2.1</v>
      </c>
      <c r="P70" s="8">
        <f t="shared" si="7"/>
        <v>459.90000000000003</v>
      </c>
      <c r="Q70" s="8">
        <f t="shared" si="8"/>
        <v>632.90999999999985</v>
      </c>
      <c r="R70" s="4">
        <f t="shared" si="9"/>
        <v>0.57915831663326645</v>
      </c>
      <c r="S70" t="s">
        <v>87</v>
      </c>
      <c r="T70">
        <f>Table6[[#This Row],[Discount]]*Table6[[#This Row],[List Price]]*Table6[[#This Row],[Units]]</f>
        <v>0</v>
      </c>
    </row>
    <row r="71" spans="1:20" x14ac:dyDescent="0.2">
      <c r="A71" t="s">
        <v>164</v>
      </c>
      <c r="B71" s="2">
        <v>46051.278117780821</v>
      </c>
      <c r="C71" t="s">
        <v>98</v>
      </c>
      <c r="D71" t="s">
        <v>96</v>
      </c>
      <c r="E71" t="s">
        <v>56</v>
      </c>
      <c r="F71" t="s">
        <v>15</v>
      </c>
      <c r="G71" t="s">
        <v>55</v>
      </c>
      <c r="H71" t="str">
        <f>_xlfn.XLOOKUP(Table6[[#This Row],[SKU]],tblProductMaster[SKU],tblProductMaster[Product])</f>
        <v>Toothpaste 75ml</v>
      </c>
      <c r="I71">
        <v>411</v>
      </c>
      <c r="J71">
        <f>_xlfn.XLOOKUP(G71,[1]!tblProductMaster[SKU],[1]!tblProductMaster[List Price])</f>
        <v>3.49</v>
      </c>
      <c r="K71" t="s">
        <v>89</v>
      </c>
      <c r="L71" s="3">
        <v>0.2</v>
      </c>
      <c r="M71" s="9">
        <f t="shared" si="5"/>
        <v>2.7920000000000003</v>
      </c>
      <c r="N71" s="8">
        <f t="shared" si="6"/>
        <v>1147.5120000000002</v>
      </c>
      <c r="O71" s="9">
        <f>_xlfn.XLOOKUP(G71,[1]!tblProductMaster[SKU],[1]!tblProductMaster[Unit Cost])</f>
        <v>1.2</v>
      </c>
      <c r="P71" s="8">
        <f t="shared" si="7"/>
        <v>493.2</v>
      </c>
      <c r="Q71" s="8">
        <f t="shared" si="8"/>
        <v>654.31200000000013</v>
      </c>
      <c r="R71" s="4">
        <f t="shared" si="9"/>
        <v>0.57020057306590255</v>
      </c>
      <c r="S71" t="s">
        <v>94</v>
      </c>
      <c r="T71">
        <f>Table6[[#This Row],[Discount]]*Table6[[#This Row],[List Price]]*Table6[[#This Row],[Units]]</f>
        <v>286.87800000000004</v>
      </c>
    </row>
    <row r="72" spans="1:20" x14ac:dyDescent="0.2">
      <c r="A72" t="s">
        <v>165</v>
      </c>
      <c r="B72" s="2">
        <v>46161.044319039196</v>
      </c>
      <c r="C72" t="s">
        <v>84</v>
      </c>
      <c r="D72" t="s">
        <v>96</v>
      </c>
      <c r="E72" t="s">
        <v>8</v>
      </c>
      <c r="F72" t="s">
        <v>7</v>
      </c>
      <c r="G72" t="s">
        <v>10</v>
      </c>
      <c r="H72" t="str">
        <f>_xlfn.XLOOKUP(Table6[[#This Row],[SKU]],tblProductMaster[SKU],tblProductMaster[Product])</f>
        <v>Shampoo 500ml</v>
      </c>
      <c r="I72">
        <v>382</v>
      </c>
      <c r="J72">
        <f>_xlfn.XLOOKUP(G72,[1]!tblProductMaster[SKU],[1]!tblProductMaster[List Price])</f>
        <v>8.99</v>
      </c>
      <c r="K72" t="s">
        <v>86</v>
      </c>
      <c r="L72" s="3">
        <v>0</v>
      </c>
      <c r="M72" s="9">
        <f t="shared" si="5"/>
        <v>8.99</v>
      </c>
      <c r="N72" s="8">
        <f t="shared" si="6"/>
        <v>3434.1800000000003</v>
      </c>
      <c r="O72" s="9">
        <f>_xlfn.XLOOKUP(G72,[1]!tblProductMaster[SKU],[1]!tblProductMaster[Unit Cost])</f>
        <v>3.6</v>
      </c>
      <c r="P72" s="8">
        <f t="shared" si="7"/>
        <v>1375.2</v>
      </c>
      <c r="Q72" s="8">
        <f t="shared" si="8"/>
        <v>2058.9800000000005</v>
      </c>
      <c r="R72" s="4">
        <f t="shared" si="9"/>
        <v>0.59955506117908797</v>
      </c>
      <c r="S72" t="s">
        <v>87</v>
      </c>
      <c r="T72">
        <f>Table6[[#This Row],[Discount]]*Table6[[#This Row],[List Price]]*Table6[[#This Row],[Units]]</f>
        <v>0</v>
      </c>
    </row>
    <row r="73" spans="1:20" x14ac:dyDescent="0.2">
      <c r="A73" t="s">
        <v>166</v>
      </c>
      <c r="B73" s="2">
        <v>46334.252550679528</v>
      </c>
      <c r="C73" t="s">
        <v>93</v>
      </c>
      <c r="D73" t="s">
        <v>104</v>
      </c>
      <c r="E73" t="s">
        <v>8</v>
      </c>
      <c r="F73" t="s">
        <v>7</v>
      </c>
      <c r="G73" t="s">
        <v>6</v>
      </c>
      <c r="H73" t="str">
        <f>_xlfn.XLOOKUP(Table6[[#This Row],[SKU]],tblProductMaster[SKU],tblProductMaster[Product])</f>
        <v>Shampoo 250ml</v>
      </c>
      <c r="I73">
        <v>528</v>
      </c>
      <c r="J73">
        <f>_xlfn.XLOOKUP(G73,[1]!tblProductMaster[SKU],[1]!tblProductMaster[List Price])</f>
        <v>5.99</v>
      </c>
      <c r="K73" t="s">
        <v>86</v>
      </c>
      <c r="L73" s="3">
        <v>0</v>
      </c>
      <c r="M73" s="9">
        <f t="shared" si="5"/>
        <v>5.99</v>
      </c>
      <c r="N73" s="8">
        <f t="shared" si="6"/>
        <v>3162.7200000000003</v>
      </c>
      <c r="O73" s="9">
        <f>_xlfn.XLOOKUP(G73,[1]!tblProductMaster[SKU],[1]!tblProductMaster[Unit Cost])</f>
        <v>2.4</v>
      </c>
      <c r="P73" s="8">
        <f t="shared" si="7"/>
        <v>1267.2</v>
      </c>
      <c r="Q73" s="8">
        <f t="shared" si="8"/>
        <v>1895.5200000000002</v>
      </c>
      <c r="R73" s="4">
        <f t="shared" si="9"/>
        <v>0.59933222036727885</v>
      </c>
      <c r="S73" t="s">
        <v>87</v>
      </c>
      <c r="T73">
        <f>Table6[[#This Row],[Discount]]*Table6[[#This Row],[List Price]]*Table6[[#This Row],[Units]]</f>
        <v>0</v>
      </c>
    </row>
    <row r="74" spans="1:20" x14ac:dyDescent="0.2">
      <c r="A74" t="s">
        <v>167</v>
      </c>
      <c r="B74" s="2">
        <v>46104.408249059852</v>
      </c>
      <c r="C74" t="s">
        <v>98</v>
      </c>
      <c r="D74" t="s">
        <v>104</v>
      </c>
      <c r="E74" t="s">
        <v>8</v>
      </c>
      <c r="F74" t="s">
        <v>18</v>
      </c>
      <c r="G74" t="s">
        <v>17</v>
      </c>
      <c r="H74" t="str">
        <f>_xlfn.XLOOKUP(Table6[[#This Row],[SKU]],tblProductMaster[SKU],tblProductMaster[Product])</f>
        <v>Anti-Dandruff Shampoo</v>
      </c>
      <c r="I74">
        <v>353</v>
      </c>
      <c r="J74">
        <f>_xlfn.XLOOKUP(G74,[1]!tblProductMaster[SKU],[1]!tblProductMaster[List Price])</f>
        <v>6.49</v>
      </c>
      <c r="K74" t="s">
        <v>86</v>
      </c>
      <c r="L74" s="3">
        <v>0</v>
      </c>
      <c r="M74" s="9">
        <f t="shared" si="5"/>
        <v>6.49</v>
      </c>
      <c r="N74" s="8">
        <f t="shared" si="6"/>
        <v>2290.9700000000003</v>
      </c>
      <c r="O74" s="9">
        <f>_xlfn.XLOOKUP(G74,[1]!tblProductMaster[SKU],[1]!tblProductMaster[Unit Cost])</f>
        <v>2.8</v>
      </c>
      <c r="P74" s="8">
        <f t="shared" si="7"/>
        <v>988.4</v>
      </c>
      <c r="Q74" s="8">
        <f t="shared" si="8"/>
        <v>1302.5700000000002</v>
      </c>
      <c r="R74" s="4">
        <f t="shared" si="9"/>
        <v>0.5685670261941449</v>
      </c>
      <c r="S74" t="s">
        <v>87</v>
      </c>
      <c r="T74">
        <f>Table6[[#This Row],[Discount]]*Table6[[#This Row],[List Price]]*Table6[[#This Row],[Units]]</f>
        <v>0</v>
      </c>
    </row>
    <row r="75" spans="1:20" x14ac:dyDescent="0.2">
      <c r="A75" t="s">
        <v>168</v>
      </c>
      <c r="B75" s="2">
        <v>46311.931565167055</v>
      </c>
      <c r="C75" t="s">
        <v>84</v>
      </c>
      <c r="D75" t="s">
        <v>104</v>
      </c>
      <c r="E75" t="s">
        <v>40</v>
      </c>
      <c r="F75" t="s">
        <v>7</v>
      </c>
      <c r="G75" t="s">
        <v>48</v>
      </c>
      <c r="H75" t="str">
        <f>_xlfn.XLOOKUP(Table6[[#This Row],[SKU]],tblProductMaster[SKU],tblProductMaster[Product])</f>
        <v>Color Detergent</v>
      </c>
      <c r="I75">
        <v>774</v>
      </c>
      <c r="J75">
        <f>_xlfn.XLOOKUP(G75,[1]!tblProductMaster[SKU],[1]!tblProductMaster[List Price])</f>
        <v>9.49</v>
      </c>
      <c r="K75" t="s">
        <v>86</v>
      </c>
      <c r="L75" s="3">
        <v>0</v>
      </c>
      <c r="M75" s="9">
        <f t="shared" si="5"/>
        <v>9.49</v>
      </c>
      <c r="N75" s="8">
        <f t="shared" si="6"/>
        <v>7345.26</v>
      </c>
      <c r="O75" s="9">
        <f>_xlfn.XLOOKUP(G75,[1]!tblProductMaster[SKU],[1]!tblProductMaster[Unit Cost])</f>
        <v>4</v>
      </c>
      <c r="P75" s="8">
        <f t="shared" si="7"/>
        <v>3096</v>
      </c>
      <c r="Q75" s="8">
        <f t="shared" si="8"/>
        <v>4249.26</v>
      </c>
      <c r="R75" s="4">
        <f t="shared" si="9"/>
        <v>0.57850368809272923</v>
      </c>
      <c r="S75" t="s">
        <v>87</v>
      </c>
      <c r="T75">
        <f>Table6[[#This Row],[Discount]]*Table6[[#This Row],[List Price]]*Table6[[#This Row],[Units]]</f>
        <v>0</v>
      </c>
    </row>
    <row r="76" spans="1:20" x14ac:dyDescent="0.2">
      <c r="A76" t="s">
        <v>169</v>
      </c>
      <c r="B76" s="2">
        <v>46298.993872301289</v>
      </c>
      <c r="C76" t="s">
        <v>93</v>
      </c>
      <c r="D76" t="s">
        <v>96</v>
      </c>
      <c r="E76" t="s">
        <v>25</v>
      </c>
      <c r="F76" t="s">
        <v>15</v>
      </c>
      <c r="G76" t="s">
        <v>35</v>
      </c>
      <c r="H76" t="str">
        <f>_xlfn.XLOOKUP(Table6[[#This Row],[SKU]],tblProductMaster[SKU],tblProductMaster[Product])</f>
        <v>Hand Cream</v>
      </c>
      <c r="I76">
        <v>780</v>
      </c>
      <c r="J76">
        <f>_xlfn.XLOOKUP(G76,[1]!tblProductMaster[SKU],[1]!tblProductMaster[List Price])</f>
        <v>4.99</v>
      </c>
      <c r="K76" t="s">
        <v>86</v>
      </c>
      <c r="L76" s="3">
        <v>0</v>
      </c>
      <c r="M76" s="9">
        <f t="shared" si="5"/>
        <v>4.99</v>
      </c>
      <c r="N76" s="8">
        <f t="shared" si="6"/>
        <v>3892.2000000000003</v>
      </c>
      <c r="O76" s="9">
        <f>_xlfn.XLOOKUP(G76,[1]!tblProductMaster[SKU],[1]!tblProductMaster[Unit Cost])</f>
        <v>2.1</v>
      </c>
      <c r="P76" s="8">
        <f t="shared" si="7"/>
        <v>1638</v>
      </c>
      <c r="Q76" s="8">
        <f t="shared" si="8"/>
        <v>2254.2000000000003</v>
      </c>
      <c r="R76" s="4">
        <f t="shared" si="9"/>
        <v>0.57915831663326656</v>
      </c>
      <c r="S76" t="s">
        <v>87</v>
      </c>
      <c r="T76">
        <f>Table6[[#This Row],[Discount]]*Table6[[#This Row],[List Price]]*Table6[[#This Row],[Units]]</f>
        <v>0</v>
      </c>
    </row>
    <row r="77" spans="1:20" x14ac:dyDescent="0.2">
      <c r="A77" t="s">
        <v>170</v>
      </c>
      <c r="B77" s="2">
        <v>46180.718992547903</v>
      </c>
      <c r="C77" t="s">
        <v>93</v>
      </c>
      <c r="D77" t="s">
        <v>96</v>
      </c>
      <c r="E77" t="s">
        <v>56</v>
      </c>
      <c r="F77" t="s">
        <v>7</v>
      </c>
      <c r="G77" t="s">
        <v>58</v>
      </c>
      <c r="H77" t="str">
        <f>_xlfn.XLOOKUP(Table6[[#This Row],[SKU]],tblProductMaster[SKU],tblProductMaster[Product])</f>
        <v>Whitening Toothpaste</v>
      </c>
      <c r="I77">
        <v>596</v>
      </c>
      <c r="J77">
        <f>_xlfn.XLOOKUP(G77,[1]!tblProductMaster[SKU],[1]!tblProductMaster[List Price])</f>
        <v>4.99</v>
      </c>
      <c r="K77" t="s">
        <v>89</v>
      </c>
      <c r="L77" s="3">
        <v>0.1</v>
      </c>
      <c r="M77" s="9">
        <f t="shared" si="5"/>
        <v>4.4910000000000005</v>
      </c>
      <c r="N77" s="8">
        <f t="shared" si="6"/>
        <v>2676.6360000000004</v>
      </c>
      <c r="O77" s="9">
        <f>_xlfn.XLOOKUP(G77,[1]!tblProductMaster[SKU],[1]!tblProductMaster[Unit Cost])</f>
        <v>1.8</v>
      </c>
      <c r="P77" s="8">
        <f t="shared" si="7"/>
        <v>1072.8</v>
      </c>
      <c r="Q77" s="8">
        <f t="shared" si="8"/>
        <v>1603.8360000000005</v>
      </c>
      <c r="R77" s="4">
        <f t="shared" si="9"/>
        <v>0.59919839679358722</v>
      </c>
      <c r="S77" t="s">
        <v>94</v>
      </c>
      <c r="T77">
        <f>Table6[[#This Row],[Discount]]*Table6[[#This Row],[List Price]]*Table6[[#This Row],[Units]]</f>
        <v>297.40400000000005</v>
      </c>
    </row>
    <row r="78" spans="1:20" x14ac:dyDescent="0.2">
      <c r="A78" t="s">
        <v>171</v>
      </c>
      <c r="B78" s="2">
        <v>46246.773907016272</v>
      </c>
      <c r="C78" t="s">
        <v>93</v>
      </c>
      <c r="D78" t="s">
        <v>85</v>
      </c>
      <c r="E78" t="s">
        <v>40</v>
      </c>
      <c r="F78" t="s">
        <v>15</v>
      </c>
      <c r="G78" t="s">
        <v>39</v>
      </c>
      <c r="H78" t="str">
        <f>_xlfn.XLOOKUP(Table6[[#This Row],[SKU]],tblProductMaster[SKU],tblProductMaster[Product])</f>
        <v>Detergent 1L</v>
      </c>
      <c r="I78">
        <v>415</v>
      </c>
      <c r="J78">
        <f>_xlfn.XLOOKUP(G78,[1]!tblProductMaster[SKU],[1]!tblProductMaster[List Price])</f>
        <v>8.49</v>
      </c>
      <c r="K78" t="s">
        <v>86</v>
      </c>
      <c r="L78" s="3">
        <v>0</v>
      </c>
      <c r="M78" s="9">
        <f t="shared" si="5"/>
        <v>8.49</v>
      </c>
      <c r="N78" s="8">
        <f t="shared" si="6"/>
        <v>3523.35</v>
      </c>
      <c r="O78" s="9">
        <f>_xlfn.XLOOKUP(G78,[1]!tblProductMaster[SKU],[1]!tblProductMaster[Unit Cost])</f>
        <v>3.8</v>
      </c>
      <c r="P78" s="8">
        <f t="shared" si="7"/>
        <v>1577</v>
      </c>
      <c r="Q78" s="8">
        <f t="shared" si="8"/>
        <v>1946.35</v>
      </c>
      <c r="R78" s="4">
        <f t="shared" si="9"/>
        <v>0.55241460541813903</v>
      </c>
      <c r="S78" t="s">
        <v>87</v>
      </c>
      <c r="T78">
        <f>Table6[[#This Row],[Discount]]*Table6[[#This Row],[List Price]]*Table6[[#This Row],[Units]]</f>
        <v>0</v>
      </c>
    </row>
    <row r="79" spans="1:20" x14ac:dyDescent="0.2">
      <c r="A79" t="s">
        <v>172</v>
      </c>
      <c r="B79" s="2">
        <v>46243.990986949691</v>
      </c>
      <c r="C79" t="s">
        <v>84</v>
      </c>
      <c r="D79" t="s">
        <v>104</v>
      </c>
      <c r="E79" t="s">
        <v>25</v>
      </c>
      <c r="F79" t="s">
        <v>7</v>
      </c>
      <c r="G79" t="s">
        <v>31</v>
      </c>
      <c r="H79" t="str">
        <f>_xlfn.XLOOKUP(Table6[[#This Row],[SKU]],tblProductMaster[SKU],tblProductMaster[Product])</f>
        <v>Facial Cleanser</v>
      </c>
      <c r="I79">
        <v>301</v>
      </c>
      <c r="J79">
        <f>_xlfn.XLOOKUP(G79,[1]!tblProductMaster[SKU],[1]!tblProductMaster[List Price])</f>
        <v>8.49</v>
      </c>
      <c r="K79" t="s">
        <v>86</v>
      </c>
      <c r="L79" s="3">
        <v>0</v>
      </c>
      <c r="M79" s="9">
        <f t="shared" si="5"/>
        <v>8.49</v>
      </c>
      <c r="N79" s="8">
        <f t="shared" si="6"/>
        <v>2555.4900000000002</v>
      </c>
      <c r="O79" s="9">
        <f>_xlfn.XLOOKUP(G79,[1]!tblProductMaster[SKU],[1]!tblProductMaster[Unit Cost])</f>
        <v>3.5</v>
      </c>
      <c r="P79" s="8">
        <f t="shared" si="7"/>
        <v>1053.5</v>
      </c>
      <c r="Q79" s="8">
        <f t="shared" si="8"/>
        <v>1501.9900000000002</v>
      </c>
      <c r="R79" s="4">
        <f t="shared" si="9"/>
        <v>0.58775029446407545</v>
      </c>
      <c r="S79" t="s">
        <v>87</v>
      </c>
      <c r="T79">
        <f>Table6[[#This Row],[Discount]]*Table6[[#This Row],[List Price]]*Table6[[#This Row],[Units]]</f>
        <v>0</v>
      </c>
    </row>
    <row r="80" spans="1:20" x14ac:dyDescent="0.2">
      <c r="A80" t="s">
        <v>173</v>
      </c>
      <c r="B80" s="2">
        <v>46083.852967435385</v>
      </c>
      <c r="C80" t="s">
        <v>84</v>
      </c>
      <c r="D80" t="s">
        <v>104</v>
      </c>
      <c r="E80" t="s">
        <v>25</v>
      </c>
      <c r="F80" t="s">
        <v>15</v>
      </c>
      <c r="G80" t="s">
        <v>35</v>
      </c>
      <c r="H80" t="str">
        <f>_xlfn.XLOOKUP(Table6[[#This Row],[SKU]],tblProductMaster[SKU],tblProductMaster[Product])</f>
        <v>Hand Cream</v>
      </c>
      <c r="I80">
        <v>749</v>
      </c>
      <c r="J80">
        <f>_xlfn.XLOOKUP(G80,[1]!tblProductMaster[SKU],[1]!tblProductMaster[List Price])</f>
        <v>4.99</v>
      </c>
      <c r="K80" t="s">
        <v>86</v>
      </c>
      <c r="L80" s="3">
        <v>0</v>
      </c>
      <c r="M80" s="9">
        <f t="shared" si="5"/>
        <v>4.99</v>
      </c>
      <c r="N80" s="8">
        <f t="shared" si="6"/>
        <v>3737.51</v>
      </c>
      <c r="O80" s="9">
        <f>_xlfn.XLOOKUP(G80,[1]!tblProductMaster[SKU],[1]!tblProductMaster[Unit Cost])</f>
        <v>2.1</v>
      </c>
      <c r="P80" s="8">
        <f t="shared" si="7"/>
        <v>1572.9</v>
      </c>
      <c r="Q80" s="8">
        <f t="shared" si="8"/>
        <v>2164.61</v>
      </c>
      <c r="R80" s="4">
        <f t="shared" si="9"/>
        <v>0.57915831663326656</v>
      </c>
      <c r="S80" t="s">
        <v>87</v>
      </c>
      <c r="T80">
        <f>Table6[[#This Row],[Discount]]*Table6[[#This Row],[List Price]]*Table6[[#This Row],[Units]]</f>
        <v>0</v>
      </c>
    </row>
    <row r="81" spans="1:20" x14ac:dyDescent="0.2">
      <c r="A81" t="s">
        <v>174</v>
      </c>
      <c r="B81" s="2">
        <v>46042.316103323712</v>
      </c>
      <c r="C81" t="s">
        <v>98</v>
      </c>
      <c r="D81" t="s">
        <v>104</v>
      </c>
      <c r="E81" t="s">
        <v>40</v>
      </c>
      <c r="F81" t="s">
        <v>15</v>
      </c>
      <c r="G81" t="s">
        <v>46</v>
      </c>
      <c r="H81" t="str">
        <f>_xlfn.XLOOKUP(Table6[[#This Row],[SKU]],tblProductMaster[SKU],tblProductMaster[Product])</f>
        <v>Stain Remover</v>
      </c>
      <c r="I81">
        <v>305</v>
      </c>
      <c r="J81">
        <f>_xlfn.XLOOKUP(G81,[1]!tblProductMaster[SKU],[1]!tblProductMaster[List Price])</f>
        <v>5.99</v>
      </c>
      <c r="K81" t="s">
        <v>86</v>
      </c>
      <c r="L81" s="3">
        <v>0</v>
      </c>
      <c r="M81" s="9">
        <f t="shared" si="5"/>
        <v>5.99</v>
      </c>
      <c r="N81" s="8">
        <f t="shared" si="6"/>
        <v>1826.95</v>
      </c>
      <c r="O81" s="9">
        <f>_xlfn.XLOOKUP(G81,[1]!tblProductMaster[SKU],[1]!tblProductMaster[Unit Cost])</f>
        <v>2.5</v>
      </c>
      <c r="P81" s="8">
        <f t="shared" si="7"/>
        <v>762.5</v>
      </c>
      <c r="Q81" s="8">
        <f t="shared" si="8"/>
        <v>1064.45</v>
      </c>
      <c r="R81" s="4">
        <f t="shared" si="9"/>
        <v>0.58263772954924875</v>
      </c>
      <c r="S81" t="s">
        <v>87</v>
      </c>
      <c r="T81">
        <f>Table6[[#This Row],[Discount]]*Table6[[#This Row],[List Price]]*Table6[[#This Row],[Units]]</f>
        <v>0</v>
      </c>
    </row>
    <row r="82" spans="1:20" x14ac:dyDescent="0.2">
      <c r="A82" t="s">
        <v>175</v>
      </c>
      <c r="B82" s="2">
        <v>46349.132808621536</v>
      </c>
      <c r="C82" t="s">
        <v>93</v>
      </c>
      <c r="D82" t="s">
        <v>96</v>
      </c>
      <c r="E82" t="s">
        <v>40</v>
      </c>
      <c r="F82" t="s">
        <v>7</v>
      </c>
      <c r="G82" t="s">
        <v>48</v>
      </c>
      <c r="H82" t="str">
        <f>_xlfn.XLOOKUP(Table6[[#This Row],[SKU]],tblProductMaster[SKU],tblProductMaster[Product])</f>
        <v>Color Detergent</v>
      </c>
      <c r="I82">
        <v>328</v>
      </c>
      <c r="J82">
        <f>_xlfn.XLOOKUP(G82,[1]!tblProductMaster[SKU],[1]!tblProductMaster[List Price])</f>
        <v>9.49</v>
      </c>
      <c r="K82" t="s">
        <v>86</v>
      </c>
      <c r="L82" s="3">
        <v>0</v>
      </c>
      <c r="M82" s="9">
        <f t="shared" si="5"/>
        <v>9.49</v>
      </c>
      <c r="N82" s="8">
        <f t="shared" si="6"/>
        <v>3112.7200000000003</v>
      </c>
      <c r="O82" s="9">
        <f>_xlfn.XLOOKUP(G82,[1]!tblProductMaster[SKU],[1]!tblProductMaster[Unit Cost])</f>
        <v>4</v>
      </c>
      <c r="P82" s="8">
        <f t="shared" si="7"/>
        <v>1312</v>
      </c>
      <c r="Q82" s="8">
        <f t="shared" si="8"/>
        <v>1800.7200000000003</v>
      </c>
      <c r="R82" s="4">
        <f t="shared" si="9"/>
        <v>0.57850368809272923</v>
      </c>
      <c r="S82" t="s">
        <v>87</v>
      </c>
      <c r="T82">
        <f>Table6[[#This Row],[Discount]]*Table6[[#This Row],[List Price]]*Table6[[#This Row],[Units]]</f>
        <v>0</v>
      </c>
    </row>
    <row r="83" spans="1:20" x14ac:dyDescent="0.2">
      <c r="A83" t="s">
        <v>176</v>
      </c>
      <c r="B83" s="2">
        <v>46037.44535620643</v>
      </c>
      <c r="C83" t="s">
        <v>84</v>
      </c>
      <c r="D83" t="s">
        <v>85</v>
      </c>
      <c r="E83" t="s">
        <v>25</v>
      </c>
      <c r="F83" t="s">
        <v>7</v>
      </c>
      <c r="G83" t="s">
        <v>24</v>
      </c>
      <c r="H83" t="str">
        <f>_xlfn.XLOOKUP(Table6[[#This Row],[SKU]],tblProductMaster[SKU],tblProductMaster[Product])</f>
        <v>Body Lotion 400ml</v>
      </c>
      <c r="I83">
        <v>510</v>
      </c>
      <c r="J83">
        <f>_xlfn.XLOOKUP(G83,[1]!tblProductMaster[SKU],[1]!tblProductMaster[List Price])</f>
        <v>7.99</v>
      </c>
      <c r="K83" t="s">
        <v>86</v>
      </c>
      <c r="L83" s="3">
        <v>0</v>
      </c>
      <c r="M83" s="9">
        <f t="shared" si="5"/>
        <v>7.99</v>
      </c>
      <c r="N83" s="8">
        <f t="shared" si="6"/>
        <v>4074.9</v>
      </c>
      <c r="O83" s="9">
        <f>_xlfn.XLOOKUP(G83,[1]!tblProductMaster[SKU],[1]!tblProductMaster[Unit Cost])</f>
        <v>3.1</v>
      </c>
      <c r="P83" s="8">
        <f t="shared" si="7"/>
        <v>1581</v>
      </c>
      <c r="Q83" s="8">
        <f t="shared" si="8"/>
        <v>2493.9</v>
      </c>
      <c r="R83" s="4">
        <f t="shared" si="9"/>
        <v>0.61201501877346687</v>
      </c>
      <c r="S83" t="s">
        <v>87</v>
      </c>
      <c r="T83">
        <f>Table6[[#This Row],[Discount]]*Table6[[#This Row],[List Price]]*Table6[[#This Row],[Units]]</f>
        <v>0</v>
      </c>
    </row>
    <row r="84" spans="1:20" x14ac:dyDescent="0.2">
      <c r="A84" t="s">
        <v>177</v>
      </c>
      <c r="B84" s="2">
        <v>46158.779766795808</v>
      </c>
      <c r="C84" t="s">
        <v>93</v>
      </c>
      <c r="D84" t="s">
        <v>96</v>
      </c>
      <c r="E84" t="s">
        <v>25</v>
      </c>
      <c r="F84" t="s">
        <v>15</v>
      </c>
      <c r="G84" t="s">
        <v>29</v>
      </c>
      <c r="H84" t="str">
        <f>_xlfn.XLOOKUP(Table6[[#This Row],[SKU]],tblProductMaster[SKU],tblProductMaster[Product])</f>
        <v>Shower Gel 250ml</v>
      </c>
      <c r="I84">
        <v>934</v>
      </c>
      <c r="J84">
        <f>_xlfn.XLOOKUP(G84,[1]!tblProductMaster[SKU],[1]!tblProductMaster[List Price])</f>
        <v>4.49</v>
      </c>
      <c r="K84" t="s">
        <v>89</v>
      </c>
      <c r="L84" s="3">
        <v>0.2</v>
      </c>
      <c r="M84" s="9">
        <f t="shared" si="5"/>
        <v>3.5920000000000005</v>
      </c>
      <c r="N84" s="8">
        <f t="shared" si="6"/>
        <v>3354.9280000000003</v>
      </c>
      <c r="O84" s="9">
        <f>_xlfn.XLOOKUP(G84,[1]!tblProductMaster[SKU],[1]!tblProductMaster[Unit Cost])</f>
        <v>1.9</v>
      </c>
      <c r="P84" s="8">
        <f t="shared" si="7"/>
        <v>1774.6</v>
      </c>
      <c r="Q84" s="8">
        <f t="shared" si="8"/>
        <v>1580.3280000000004</v>
      </c>
      <c r="R84" s="4">
        <f t="shared" si="9"/>
        <v>0.47104677060133637</v>
      </c>
      <c r="S84" t="s">
        <v>94</v>
      </c>
      <c r="T84">
        <f>Table6[[#This Row],[Discount]]*Table6[[#This Row],[List Price]]*Table6[[#This Row],[Units]]</f>
        <v>838.73200000000008</v>
      </c>
    </row>
    <row r="85" spans="1:20" x14ac:dyDescent="0.2">
      <c r="A85" t="s">
        <v>178</v>
      </c>
      <c r="B85" s="2">
        <v>46256.778817388935</v>
      </c>
      <c r="C85" t="s">
        <v>98</v>
      </c>
      <c r="D85" t="s">
        <v>104</v>
      </c>
      <c r="E85" t="s">
        <v>8</v>
      </c>
      <c r="F85" t="s">
        <v>18</v>
      </c>
      <c r="G85" t="s">
        <v>17</v>
      </c>
      <c r="H85" t="str">
        <f>_xlfn.XLOOKUP(Table6[[#This Row],[SKU]],tblProductMaster[SKU],tblProductMaster[Product])</f>
        <v>Anti-Dandruff Shampoo</v>
      </c>
      <c r="I85">
        <v>967</v>
      </c>
      <c r="J85">
        <f>_xlfn.XLOOKUP(G85,[1]!tblProductMaster[SKU],[1]!tblProductMaster[List Price])</f>
        <v>6.49</v>
      </c>
      <c r="K85" t="s">
        <v>89</v>
      </c>
      <c r="L85" s="3">
        <v>0.3</v>
      </c>
      <c r="M85" s="9">
        <f t="shared" si="5"/>
        <v>4.5430000000000001</v>
      </c>
      <c r="N85" s="8">
        <f t="shared" si="6"/>
        <v>4393.0810000000001</v>
      </c>
      <c r="O85" s="9">
        <f>_xlfn.XLOOKUP(G85,[1]!tblProductMaster[SKU],[1]!tblProductMaster[Unit Cost])</f>
        <v>2.8</v>
      </c>
      <c r="P85" s="8">
        <f t="shared" si="7"/>
        <v>2707.6</v>
      </c>
      <c r="Q85" s="8">
        <f t="shared" si="8"/>
        <v>1685.4810000000002</v>
      </c>
      <c r="R85" s="4">
        <f t="shared" si="9"/>
        <v>0.38366718027734981</v>
      </c>
      <c r="S85" t="s">
        <v>99</v>
      </c>
      <c r="T85">
        <f>Table6[[#This Row],[Discount]]*Table6[[#This Row],[List Price]]*Table6[[#This Row],[Units]]</f>
        <v>1882.749</v>
      </c>
    </row>
    <row r="86" spans="1:20" x14ac:dyDescent="0.2">
      <c r="A86" t="s">
        <v>179</v>
      </c>
      <c r="B86" s="2">
        <v>46313.546975580117</v>
      </c>
      <c r="C86" t="s">
        <v>84</v>
      </c>
      <c r="D86" t="s">
        <v>85</v>
      </c>
      <c r="E86" t="s">
        <v>56</v>
      </c>
      <c r="F86" t="s">
        <v>15</v>
      </c>
      <c r="G86" t="s">
        <v>55</v>
      </c>
      <c r="H86" t="str">
        <f>_xlfn.XLOOKUP(Table6[[#This Row],[SKU]],tblProductMaster[SKU],tblProductMaster[Product])</f>
        <v>Toothpaste 75ml</v>
      </c>
      <c r="I86">
        <v>738</v>
      </c>
      <c r="J86">
        <f>_xlfn.XLOOKUP(G86,[1]!tblProductMaster[SKU],[1]!tblProductMaster[List Price])</f>
        <v>3.49</v>
      </c>
      <c r="K86" t="s">
        <v>86</v>
      </c>
      <c r="L86" s="3">
        <v>0</v>
      </c>
      <c r="M86" s="9">
        <f t="shared" si="5"/>
        <v>3.49</v>
      </c>
      <c r="N86" s="8">
        <f t="shared" si="6"/>
        <v>2575.6200000000003</v>
      </c>
      <c r="O86" s="9">
        <f>_xlfn.XLOOKUP(G86,[1]!tblProductMaster[SKU],[1]!tblProductMaster[Unit Cost])</f>
        <v>1.2</v>
      </c>
      <c r="P86" s="8">
        <f t="shared" si="7"/>
        <v>885.6</v>
      </c>
      <c r="Q86" s="8">
        <f t="shared" si="8"/>
        <v>1690.0200000000004</v>
      </c>
      <c r="R86" s="4">
        <f t="shared" si="9"/>
        <v>0.6561604584527222</v>
      </c>
      <c r="S86" t="s">
        <v>87</v>
      </c>
      <c r="T86">
        <f>Table6[[#This Row],[Discount]]*Table6[[#This Row],[List Price]]*Table6[[#This Row],[Units]]</f>
        <v>0</v>
      </c>
    </row>
    <row r="87" spans="1:20" x14ac:dyDescent="0.2">
      <c r="A87" t="s">
        <v>180</v>
      </c>
      <c r="B87" s="2">
        <v>46148.809683610933</v>
      </c>
      <c r="C87" t="s">
        <v>93</v>
      </c>
      <c r="D87" t="s">
        <v>96</v>
      </c>
      <c r="E87" t="s">
        <v>56</v>
      </c>
      <c r="F87" t="s">
        <v>18</v>
      </c>
      <c r="G87" t="s">
        <v>60</v>
      </c>
      <c r="H87" t="str">
        <f>_xlfn.XLOOKUP(Table6[[#This Row],[SKU]],tblProductMaster[SKU],tblProductMaster[Product])</f>
        <v>Sensitive Toothpaste</v>
      </c>
      <c r="I87">
        <v>686</v>
      </c>
      <c r="J87">
        <f>_xlfn.XLOOKUP(G87,[1]!tblProductMaster[SKU],[1]!tblProductMaster[List Price])</f>
        <v>4.49</v>
      </c>
      <c r="K87" t="s">
        <v>86</v>
      </c>
      <c r="L87" s="3">
        <v>0</v>
      </c>
      <c r="M87" s="9">
        <f t="shared" si="5"/>
        <v>4.49</v>
      </c>
      <c r="N87" s="8">
        <f t="shared" si="6"/>
        <v>3080.1400000000003</v>
      </c>
      <c r="O87" s="9">
        <f>_xlfn.XLOOKUP(G87,[1]!tblProductMaster[SKU],[1]!tblProductMaster[Unit Cost])</f>
        <v>1.7</v>
      </c>
      <c r="P87" s="8">
        <f t="shared" si="7"/>
        <v>1166.2</v>
      </c>
      <c r="Q87" s="8">
        <f t="shared" si="8"/>
        <v>1913.9400000000003</v>
      </c>
      <c r="R87" s="4">
        <f t="shared" si="9"/>
        <v>0.6213808463251671</v>
      </c>
      <c r="S87" t="s">
        <v>87</v>
      </c>
      <c r="T87">
        <f>Table6[[#This Row],[Discount]]*Table6[[#This Row],[List Price]]*Table6[[#This Row],[Units]]</f>
        <v>0</v>
      </c>
    </row>
    <row r="88" spans="1:20" x14ac:dyDescent="0.2">
      <c r="A88" t="s">
        <v>181</v>
      </c>
      <c r="B88" s="2">
        <v>46230.81417101041</v>
      </c>
      <c r="C88" t="s">
        <v>84</v>
      </c>
      <c r="D88" t="s">
        <v>104</v>
      </c>
      <c r="E88" t="s">
        <v>56</v>
      </c>
      <c r="F88" t="s">
        <v>15</v>
      </c>
      <c r="G88" t="s">
        <v>62</v>
      </c>
      <c r="H88" t="str">
        <f>_xlfn.XLOOKUP(Table6[[#This Row],[SKU]],tblProductMaster[SKU],tblProductMaster[Product])</f>
        <v>Mouthwash 500ml</v>
      </c>
      <c r="I88">
        <v>614</v>
      </c>
      <c r="J88">
        <f>_xlfn.XLOOKUP(G88,[1]!tblProductMaster[SKU],[1]!tblProductMaster[List Price])</f>
        <v>5.99</v>
      </c>
      <c r="K88" t="s">
        <v>89</v>
      </c>
      <c r="L88" s="3">
        <v>0.3</v>
      </c>
      <c r="M88" s="9">
        <f t="shared" si="5"/>
        <v>4.1929999999999996</v>
      </c>
      <c r="N88" s="8">
        <f t="shared" si="6"/>
        <v>2574.502</v>
      </c>
      <c r="O88" s="9">
        <f>_xlfn.XLOOKUP(G88,[1]!tblProductMaster[SKU],[1]!tblProductMaster[Unit Cost])</f>
        <v>2.4</v>
      </c>
      <c r="P88" s="8">
        <f t="shared" si="7"/>
        <v>1473.6</v>
      </c>
      <c r="Q88" s="8">
        <f t="shared" si="8"/>
        <v>1100.902</v>
      </c>
      <c r="R88" s="4">
        <f t="shared" si="9"/>
        <v>0.42761745766754117</v>
      </c>
      <c r="S88" t="s">
        <v>94</v>
      </c>
      <c r="T88">
        <f>Table6[[#This Row],[Discount]]*Table6[[#This Row],[List Price]]*Table6[[#This Row],[Units]]</f>
        <v>1103.3579999999999</v>
      </c>
    </row>
    <row r="89" spans="1:20" x14ac:dyDescent="0.2">
      <c r="A89" t="s">
        <v>182</v>
      </c>
      <c r="B89" s="2">
        <v>46267.464373287199</v>
      </c>
      <c r="C89" t="s">
        <v>93</v>
      </c>
      <c r="D89" t="s">
        <v>96</v>
      </c>
      <c r="E89" t="s">
        <v>56</v>
      </c>
      <c r="F89" t="s">
        <v>7</v>
      </c>
      <c r="G89" t="s">
        <v>66</v>
      </c>
      <c r="H89" t="str">
        <f>_xlfn.XLOOKUP(Table6[[#This Row],[SKU]],tblProductMaster[SKU],tblProductMaster[Product])</f>
        <v>Electric Brush Heads</v>
      </c>
      <c r="I89">
        <v>452</v>
      </c>
      <c r="J89">
        <f>_xlfn.XLOOKUP(G89,[1]!tblProductMaster[SKU],[1]!tblProductMaster[List Price])</f>
        <v>12.99</v>
      </c>
      <c r="K89" t="s">
        <v>89</v>
      </c>
      <c r="L89" s="3">
        <v>0.1</v>
      </c>
      <c r="M89" s="9">
        <f t="shared" si="5"/>
        <v>11.691000000000001</v>
      </c>
      <c r="N89" s="8">
        <f t="shared" si="6"/>
        <v>5284.3320000000003</v>
      </c>
      <c r="O89" s="9">
        <f>_xlfn.XLOOKUP(G89,[1]!tblProductMaster[SKU],[1]!tblProductMaster[Unit Cost])</f>
        <v>5.2</v>
      </c>
      <c r="P89" s="8">
        <f t="shared" si="7"/>
        <v>2350.4</v>
      </c>
      <c r="Q89" s="8">
        <f t="shared" si="8"/>
        <v>2933.9320000000002</v>
      </c>
      <c r="R89" s="4">
        <f t="shared" si="9"/>
        <v>0.55521341202634511</v>
      </c>
      <c r="S89" t="s">
        <v>99</v>
      </c>
      <c r="T89">
        <f>Table6[[#This Row],[Discount]]*Table6[[#This Row],[List Price]]*Table6[[#This Row],[Units]]</f>
        <v>587.14800000000002</v>
      </c>
    </row>
    <row r="90" spans="1:20" x14ac:dyDescent="0.2">
      <c r="A90" t="s">
        <v>183</v>
      </c>
      <c r="B90" s="2">
        <v>46349.178322150248</v>
      </c>
      <c r="C90" t="s">
        <v>98</v>
      </c>
      <c r="D90" t="s">
        <v>104</v>
      </c>
      <c r="E90" t="s">
        <v>56</v>
      </c>
      <c r="F90" t="s">
        <v>7</v>
      </c>
      <c r="G90" t="s">
        <v>64</v>
      </c>
      <c r="H90" t="str">
        <f>_xlfn.XLOOKUP(Table6[[#This Row],[SKU]],tblProductMaster[SKU],tblProductMaster[Product])</f>
        <v>Toothbrush</v>
      </c>
      <c r="I90">
        <v>265</v>
      </c>
      <c r="J90">
        <f>_xlfn.XLOOKUP(G90,[1]!tblProductMaster[SKU],[1]!tblProductMaster[List Price])</f>
        <v>3.99</v>
      </c>
      <c r="K90" t="s">
        <v>86</v>
      </c>
      <c r="L90" s="3">
        <v>0</v>
      </c>
      <c r="M90" s="9">
        <f t="shared" si="5"/>
        <v>3.99</v>
      </c>
      <c r="N90" s="8">
        <f t="shared" si="6"/>
        <v>1057.3500000000001</v>
      </c>
      <c r="O90" s="9">
        <f>_xlfn.XLOOKUP(G90,[1]!tblProductMaster[SKU],[1]!tblProductMaster[Unit Cost])</f>
        <v>1.5</v>
      </c>
      <c r="P90" s="8">
        <f t="shared" si="7"/>
        <v>397.5</v>
      </c>
      <c r="Q90" s="8">
        <f t="shared" si="8"/>
        <v>659.85000000000014</v>
      </c>
      <c r="R90" s="4">
        <f t="shared" si="9"/>
        <v>0.62406015037593987</v>
      </c>
      <c r="S90" t="s">
        <v>87</v>
      </c>
      <c r="T90">
        <f>Table6[[#This Row],[Discount]]*Table6[[#This Row],[List Price]]*Table6[[#This Row],[Units]]</f>
        <v>0</v>
      </c>
    </row>
    <row r="91" spans="1:20" x14ac:dyDescent="0.2">
      <c r="A91" t="s">
        <v>184</v>
      </c>
      <c r="B91" s="2">
        <v>46236.342126229742</v>
      </c>
      <c r="C91" t="s">
        <v>84</v>
      </c>
      <c r="D91" t="s">
        <v>104</v>
      </c>
      <c r="E91" t="s">
        <v>25</v>
      </c>
      <c r="F91" t="s">
        <v>18</v>
      </c>
      <c r="G91" t="s">
        <v>27</v>
      </c>
      <c r="H91" t="str">
        <f>_xlfn.XLOOKUP(Table6[[#This Row],[SKU]],tblProductMaster[SKU],tblProductMaster[Product])</f>
        <v>Face Cream 50ml</v>
      </c>
      <c r="I91">
        <v>707</v>
      </c>
      <c r="J91">
        <f>_xlfn.XLOOKUP(G91,[1]!tblProductMaster[SKU],[1]!tblProductMaster[List Price])</f>
        <v>9.99</v>
      </c>
      <c r="K91" t="s">
        <v>86</v>
      </c>
      <c r="L91" s="3">
        <v>0</v>
      </c>
      <c r="M91" s="9">
        <f t="shared" si="5"/>
        <v>9.99</v>
      </c>
      <c r="N91" s="8">
        <f t="shared" si="6"/>
        <v>7062.93</v>
      </c>
      <c r="O91" s="9">
        <f>_xlfn.XLOOKUP(G91,[1]!tblProductMaster[SKU],[1]!tblProductMaster[Unit Cost])</f>
        <v>4.2</v>
      </c>
      <c r="P91" s="8">
        <f t="shared" si="7"/>
        <v>2969.4</v>
      </c>
      <c r="Q91" s="8">
        <f t="shared" si="8"/>
        <v>4093.53</v>
      </c>
      <c r="R91" s="4">
        <f t="shared" si="9"/>
        <v>0.57957957957957962</v>
      </c>
      <c r="S91" t="s">
        <v>87</v>
      </c>
      <c r="T91">
        <f>Table6[[#This Row],[Discount]]*Table6[[#This Row],[List Price]]*Table6[[#This Row],[Units]]</f>
        <v>0</v>
      </c>
    </row>
    <row r="92" spans="1:20" x14ac:dyDescent="0.2">
      <c r="A92" t="s">
        <v>185</v>
      </c>
      <c r="B92" s="2">
        <v>46332.114127052104</v>
      </c>
      <c r="C92" t="s">
        <v>98</v>
      </c>
      <c r="D92" t="s">
        <v>104</v>
      </c>
      <c r="E92" t="s">
        <v>8</v>
      </c>
      <c r="F92" t="s">
        <v>7</v>
      </c>
      <c r="G92" t="s">
        <v>12</v>
      </c>
      <c r="H92" t="str">
        <f>_xlfn.XLOOKUP(Table6[[#This Row],[SKU]],tblProductMaster[SKU],tblProductMaster[Product])</f>
        <v>Conditioner 250ml</v>
      </c>
      <c r="I92">
        <v>292</v>
      </c>
      <c r="J92">
        <f>_xlfn.XLOOKUP(G92,[1]!tblProductMaster[SKU],[1]!tblProductMaster[List Price])</f>
        <v>5.49</v>
      </c>
      <c r="K92" t="s">
        <v>86</v>
      </c>
      <c r="L92" s="3">
        <v>0</v>
      </c>
      <c r="M92" s="9">
        <f t="shared" si="5"/>
        <v>5.49</v>
      </c>
      <c r="N92" s="8">
        <f t="shared" si="6"/>
        <v>1603.0800000000002</v>
      </c>
      <c r="O92" s="9">
        <f>_xlfn.XLOOKUP(G92,[1]!tblProductMaster[SKU],[1]!tblProductMaster[Unit Cost])</f>
        <v>2.2000000000000002</v>
      </c>
      <c r="P92" s="8">
        <f t="shared" si="7"/>
        <v>642.40000000000009</v>
      </c>
      <c r="Q92" s="8">
        <f t="shared" si="8"/>
        <v>960.68000000000006</v>
      </c>
      <c r="R92" s="4">
        <f t="shared" si="9"/>
        <v>0.59927140255009104</v>
      </c>
      <c r="S92" t="s">
        <v>87</v>
      </c>
      <c r="T92">
        <f>Table6[[#This Row],[Discount]]*Table6[[#This Row],[List Price]]*Table6[[#This Row],[Units]]</f>
        <v>0</v>
      </c>
    </row>
    <row r="93" spans="1:20" x14ac:dyDescent="0.2">
      <c r="A93" t="s">
        <v>186</v>
      </c>
      <c r="B93" s="2">
        <v>46319.29224592464</v>
      </c>
      <c r="C93" t="s">
        <v>98</v>
      </c>
      <c r="D93" t="s">
        <v>96</v>
      </c>
      <c r="E93" t="s">
        <v>56</v>
      </c>
      <c r="F93" t="s">
        <v>7</v>
      </c>
      <c r="G93" t="s">
        <v>64</v>
      </c>
      <c r="H93" t="str">
        <f>_xlfn.XLOOKUP(Table6[[#This Row],[SKU]],tblProductMaster[SKU],tblProductMaster[Product])</f>
        <v>Toothbrush</v>
      </c>
      <c r="I93">
        <v>722</v>
      </c>
      <c r="J93">
        <f>_xlfn.XLOOKUP(G93,[1]!tblProductMaster[SKU],[1]!tblProductMaster[List Price])</f>
        <v>3.99</v>
      </c>
      <c r="K93" t="s">
        <v>89</v>
      </c>
      <c r="L93" s="3">
        <v>0.1</v>
      </c>
      <c r="M93" s="9">
        <f t="shared" si="5"/>
        <v>3.5910000000000002</v>
      </c>
      <c r="N93" s="8">
        <f t="shared" si="6"/>
        <v>2592.7020000000002</v>
      </c>
      <c r="O93" s="9">
        <f>_xlfn.XLOOKUP(G93,[1]!tblProductMaster[SKU],[1]!tblProductMaster[Unit Cost])</f>
        <v>1.5</v>
      </c>
      <c r="P93" s="8">
        <f t="shared" si="7"/>
        <v>1083</v>
      </c>
      <c r="Q93" s="8">
        <f t="shared" si="8"/>
        <v>1509.7020000000002</v>
      </c>
      <c r="R93" s="4">
        <f t="shared" si="9"/>
        <v>0.58228905597326652</v>
      </c>
      <c r="S93" t="s">
        <v>94</v>
      </c>
      <c r="T93">
        <f>Table6[[#This Row],[Discount]]*Table6[[#This Row],[List Price]]*Table6[[#This Row],[Units]]</f>
        <v>288.07800000000003</v>
      </c>
    </row>
    <row r="94" spans="1:20" x14ac:dyDescent="0.2">
      <c r="A94" t="s">
        <v>187</v>
      </c>
      <c r="B94" s="2">
        <v>46336.599572845451</v>
      </c>
      <c r="C94" t="s">
        <v>98</v>
      </c>
      <c r="D94" t="s">
        <v>96</v>
      </c>
      <c r="E94" t="s">
        <v>8</v>
      </c>
      <c r="F94" t="s">
        <v>18</v>
      </c>
      <c r="G94" t="s">
        <v>17</v>
      </c>
      <c r="H94" t="str">
        <f>_xlfn.XLOOKUP(Table6[[#This Row],[SKU]],tblProductMaster[SKU],tblProductMaster[Product])</f>
        <v>Anti-Dandruff Shampoo</v>
      </c>
      <c r="I94">
        <v>395</v>
      </c>
      <c r="J94">
        <f>_xlfn.XLOOKUP(G94,[1]!tblProductMaster[SKU],[1]!tblProductMaster[List Price])</f>
        <v>6.49</v>
      </c>
      <c r="K94" t="s">
        <v>86</v>
      </c>
      <c r="L94" s="3">
        <v>0</v>
      </c>
      <c r="M94" s="9">
        <f t="shared" si="5"/>
        <v>6.49</v>
      </c>
      <c r="N94" s="8">
        <f t="shared" si="6"/>
        <v>2563.5500000000002</v>
      </c>
      <c r="O94" s="9">
        <f>_xlfn.XLOOKUP(G94,[1]!tblProductMaster[SKU],[1]!tblProductMaster[Unit Cost])</f>
        <v>2.8</v>
      </c>
      <c r="P94" s="8">
        <f t="shared" si="7"/>
        <v>1106</v>
      </c>
      <c r="Q94" s="8">
        <f t="shared" si="8"/>
        <v>1457.5500000000002</v>
      </c>
      <c r="R94" s="4">
        <f t="shared" si="9"/>
        <v>0.5685670261941449</v>
      </c>
      <c r="S94" t="s">
        <v>87</v>
      </c>
      <c r="T94">
        <f>Table6[[#This Row],[Discount]]*Table6[[#This Row],[List Price]]*Table6[[#This Row],[Units]]</f>
        <v>0</v>
      </c>
    </row>
    <row r="95" spans="1:20" x14ac:dyDescent="0.2">
      <c r="A95" t="s">
        <v>188</v>
      </c>
      <c r="B95" s="2">
        <v>46367.999409090655</v>
      </c>
      <c r="C95" t="s">
        <v>84</v>
      </c>
      <c r="D95" t="s">
        <v>85</v>
      </c>
      <c r="E95" t="s">
        <v>8</v>
      </c>
      <c r="F95" t="s">
        <v>7</v>
      </c>
      <c r="G95" t="s">
        <v>10</v>
      </c>
      <c r="H95" t="str">
        <f>_xlfn.XLOOKUP(Table6[[#This Row],[SKU]],tblProductMaster[SKU],tblProductMaster[Product])</f>
        <v>Shampoo 500ml</v>
      </c>
      <c r="I95">
        <v>249</v>
      </c>
      <c r="J95">
        <f>_xlfn.XLOOKUP(G95,[1]!tblProductMaster[SKU],[1]!tblProductMaster[List Price])</f>
        <v>8.99</v>
      </c>
      <c r="K95" t="s">
        <v>86</v>
      </c>
      <c r="L95" s="3">
        <v>0</v>
      </c>
      <c r="M95" s="9">
        <f t="shared" si="5"/>
        <v>8.99</v>
      </c>
      <c r="N95" s="8">
        <f t="shared" si="6"/>
        <v>2238.5100000000002</v>
      </c>
      <c r="O95" s="9">
        <f>_xlfn.XLOOKUP(G95,[1]!tblProductMaster[SKU],[1]!tblProductMaster[Unit Cost])</f>
        <v>3.6</v>
      </c>
      <c r="P95" s="8">
        <f t="shared" si="7"/>
        <v>896.4</v>
      </c>
      <c r="Q95" s="8">
        <f t="shared" si="8"/>
        <v>1342.1100000000001</v>
      </c>
      <c r="R95" s="4">
        <f t="shared" si="9"/>
        <v>0.59955506117908786</v>
      </c>
      <c r="S95" t="s">
        <v>87</v>
      </c>
      <c r="T95">
        <f>Table6[[#This Row],[Discount]]*Table6[[#This Row],[List Price]]*Table6[[#This Row],[Units]]</f>
        <v>0</v>
      </c>
    </row>
    <row r="96" spans="1:20" x14ac:dyDescent="0.2">
      <c r="A96" t="s">
        <v>189</v>
      </c>
      <c r="B96" s="2">
        <v>46133.207197467338</v>
      </c>
      <c r="C96" t="s">
        <v>93</v>
      </c>
      <c r="D96" t="s">
        <v>85</v>
      </c>
      <c r="E96" t="s">
        <v>40</v>
      </c>
      <c r="F96" t="s">
        <v>18</v>
      </c>
      <c r="G96" t="s">
        <v>54</v>
      </c>
      <c r="H96" t="str">
        <f>_xlfn.XLOOKUP(Table6[[#This Row],[SKU]],tblProductMaster[SKU],tblProductMaster[Product])</f>
        <v>Fabric Softener</v>
      </c>
      <c r="I96">
        <v>378</v>
      </c>
      <c r="J96">
        <f>_xlfn.XLOOKUP(G96,[1]!tblProductMaster[SKU],[1]!tblProductMaster[List Price])</f>
        <v>5.49</v>
      </c>
      <c r="K96" t="s">
        <v>86</v>
      </c>
      <c r="L96" s="3">
        <v>0</v>
      </c>
      <c r="M96" s="9">
        <f t="shared" si="5"/>
        <v>5.49</v>
      </c>
      <c r="N96" s="8">
        <f t="shared" si="6"/>
        <v>2075.2200000000003</v>
      </c>
      <c r="O96" s="9">
        <f>_xlfn.XLOOKUP(G96,[1]!tblProductMaster[SKU],[1]!tblProductMaster[Unit Cost])</f>
        <v>2.4</v>
      </c>
      <c r="P96" s="8">
        <f t="shared" si="7"/>
        <v>907.19999999999993</v>
      </c>
      <c r="Q96" s="8">
        <f t="shared" si="8"/>
        <v>1168.0200000000004</v>
      </c>
      <c r="R96" s="4">
        <f t="shared" si="9"/>
        <v>0.56284153005464499</v>
      </c>
      <c r="S96" t="s">
        <v>87</v>
      </c>
      <c r="T96">
        <f>Table6[[#This Row],[Discount]]*Table6[[#This Row],[List Price]]*Table6[[#This Row],[Units]]</f>
        <v>0</v>
      </c>
    </row>
    <row r="97" spans="1:20" x14ac:dyDescent="0.2">
      <c r="A97" t="s">
        <v>190</v>
      </c>
      <c r="B97" s="2">
        <v>46383.549907997236</v>
      </c>
      <c r="C97" t="s">
        <v>84</v>
      </c>
      <c r="D97" t="s">
        <v>96</v>
      </c>
      <c r="E97" t="s">
        <v>40</v>
      </c>
      <c r="F97" t="s">
        <v>7</v>
      </c>
      <c r="G97" t="s">
        <v>48</v>
      </c>
      <c r="H97" t="str">
        <f>_xlfn.XLOOKUP(Table6[[#This Row],[SKU]],tblProductMaster[SKU],tblProductMaster[Product])</f>
        <v>Color Detergent</v>
      </c>
      <c r="I97">
        <v>777</v>
      </c>
      <c r="J97">
        <f>_xlfn.XLOOKUP(G97,[1]!tblProductMaster[SKU],[1]!tblProductMaster[List Price])</f>
        <v>9.49</v>
      </c>
      <c r="K97" t="s">
        <v>86</v>
      </c>
      <c r="L97" s="3">
        <v>0</v>
      </c>
      <c r="M97" s="9">
        <f t="shared" si="5"/>
        <v>9.49</v>
      </c>
      <c r="N97" s="8">
        <f t="shared" si="6"/>
        <v>7373.7300000000005</v>
      </c>
      <c r="O97" s="9">
        <f>_xlfn.XLOOKUP(G97,[1]!tblProductMaster[SKU],[1]!tblProductMaster[Unit Cost])</f>
        <v>4</v>
      </c>
      <c r="P97" s="8">
        <f t="shared" si="7"/>
        <v>3108</v>
      </c>
      <c r="Q97" s="8">
        <f t="shared" si="8"/>
        <v>4265.7300000000005</v>
      </c>
      <c r="R97" s="4">
        <f t="shared" si="9"/>
        <v>0.57850368809272923</v>
      </c>
      <c r="S97" t="s">
        <v>87</v>
      </c>
      <c r="T97">
        <f>Table6[[#This Row],[Discount]]*Table6[[#This Row],[List Price]]*Table6[[#This Row],[Units]]</f>
        <v>0</v>
      </c>
    </row>
    <row r="98" spans="1:20" x14ac:dyDescent="0.2">
      <c r="A98" t="s">
        <v>191</v>
      </c>
      <c r="B98" s="2">
        <v>46074.090949625628</v>
      </c>
      <c r="C98" t="s">
        <v>98</v>
      </c>
      <c r="D98" t="s">
        <v>85</v>
      </c>
      <c r="E98" t="s">
        <v>8</v>
      </c>
      <c r="F98" t="s">
        <v>15</v>
      </c>
      <c r="G98" t="s">
        <v>22</v>
      </c>
      <c r="H98" t="str">
        <f>_xlfn.XLOOKUP(Table6[[#This Row],[SKU]],tblProductMaster[SKU],tblProductMaster[Product])</f>
        <v>Styling Gel</v>
      </c>
      <c r="I98">
        <v>679</v>
      </c>
      <c r="J98">
        <f>_xlfn.XLOOKUP(G98,[1]!tblProductMaster[SKU],[1]!tblProductMaster[List Price])</f>
        <v>4.49</v>
      </c>
      <c r="K98" t="s">
        <v>86</v>
      </c>
      <c r="L98" s="3">
        <v>0</v>
      </c>
      <c r="M98" s="9">
        <f t="shared" si="5"/>
        <v>4.49</v>
      </c>
      <c r="N98" s="8">
        <f t="shared" si="6"/>
        <v>3048.71</v>
      </c>
      <c r="O98" s="9">
        <f>_xlfn.XLOOKUP(G98,[1]!tblProductMaster[SKU],[1]!tblProductMaster[Unit Cost])</f>
        <v>1.9</v>
      </c>
      <c r="P98" s="8">
        <f t="shared" si="7"/>
        <v>1290.0999999999999</v>
      </c>
      <c r="Q98" s="8">
        <f t="shared" si="8"/>
        <v>1758.6100000000001</v>
      </c>
      <c r="R98" s="4">
        <f t="shared" si="9"/>
        <v>0.57683741648106912</v>
      </c>
      <c r="S98" t="s">
        <v>87</v>
      </c>
      <c r="T98">
        <f>Table6[[#This Row],[Discount]]*Table6[[#This Row],[List Price]]*Table6[[#This Row],[Units]]</f>
        <v>0</v>
      </c>
    </row>
    <row r="99" spans="1:20" x14ac:dyDescent="0.2">
      <c r="A99" t="s">
        <v>192</v>
      </c>
      <c r="B99" s="2">
        <v>46038.48588765708</v>
      </c>
      <c r="C99" t="s">
        <v>98</v>
      </c>
      <c r="D99" t="s">
        <v>85</v>
      </c>
      <c r="E99" t="s">
        <v>25</v>
      </c>
      <c r="F99" t="s">
        <v>15</v>
      </c>
      <c r="G99" t="s">
        <v>35</v>
      </c>
      <c r="H99" t="str">
        <f>_xlfn.XLOOKUP(Table6[[#This Row],[SKU]],tblProductMaster[SKU],tblProductMaster[Product])</f>
        <v>Hand Cream</v>
      </c>
      <c r="I99">
        <v>703</v>
      </c>
      <c r="J99">
        <f>_xlfn.XLOOKUP(G99,[1]!tblProductMaster[SKU],[1]!tblProductMaster[List Price])</f>
        <v>4.99</v>
      </c>
      <c r="K99" t="s">
        <v>89</v>
      </c>
      <c r="L99" s="3">
        <v>0.1</v>
      </c>
      <c r="M99" s="9">
        <f t="shared" si="5"/>
        <v>4.4910000000000005</v>
      </c>
      <c r="N99" s="8">
        <f t="shared" si="6"/>
        <v>3157.1730000000002</v>
      </c>
      <c r="O99" s="9">
        <f>_xlfn.XLOOKUP(G99,[1]!tblProductMaster[SKU],[1]!tblProductMaster[Unit Cost])</f>
        <v>2.1</v>
      </c>
      <c r="P99" s="8">
        <f t="shared" si="7"/>
        <v>1476.3</v>
      </c>
      <c r="Q99" s="8">
        <f t="shared" si="8"/>
        <v>1680.8730000000003</v>
      </c>
      <c r="R99" s="4">
        <f t="shared" si="9"/>
        <v>0.53239812959251842</v>
      </c>
      <c r="S99" t="s">
        <v>99</v>
      </c>
      <c r="T99">
        <f>Table6[[#This Row],[Discount]]*Table6[[#This Row],[List Price]]*Table6[[#This Row],[Units]]</f>
        <v>350.79700000000003</v>
      </c>
    </row>
    <row r="100" spans="1:20" x14ac:dyDescent="0.2">
      <c r="A100" t="s">
        <v>193</v>
      </c>
      <c r="B100" s="2">
        <v>46200.416761078282</v>
      </c>
      <c r="C100" t="s">
        <v>93</v>
      </c>
      <c r="D100" t="s">
        <v>96</v>
      </c>
      <c r="E100" t="s">
        <v>56</v>
      </c>
      <c r="F100" t="s">
        <v>15</v>
      </c>
      <c r="G100" t="s">
        <v>62</v>
      </c>
      <c r="H100" t="str">
        <f>_xlfn.XLOOKUP(Table6[[#This Row],[SKU]],tblProductMaster[SKU],tblProductMaster[Product])</f>
        <v>Mouthwash 500ml</v>
      </c>
      <c r="I100">
        <v>710</v>
      </c>
      <c r="J100">
        <f>_xlfn.XLOOKUP(G100,[1]!tblProductMaster[SKU],[1]!tblProductMaster[List Price])</f>
        <v>5.99</v>
      </c>
      <c r="K100" t="s">
        <v>86</v>
      </c>
      <c r="L100" s="3">
        <v>0</v>
      </c>
      <c r="M100" s="9">
        <f t="shared" si="5"/>
        <v>5.99</v>
      </c>
      <c r="N100" s="8">
        <f t="shared" si="6"/>
        <v>4252.9000000000005</v>
      </c>
      <c r="O100" s="9">
        <f>_xlfn.XLOOKUP(G100,[1]!tblProductMaster[SKU],[1]!tblProductMaster[Unit Cost])</f>
        <v>2.4</v>
      </c>
      <c r="P100" s="8">
        <f t="shared" si="7"/>
        <v>1704</v>
      </c>
      <c r="Q100" s="8">
        <f t="shared" si="8"/>
        <v>2548.9000000000005</v>
      </c>
      <c r="R100" s="4">
        <f t="shared" si="9"/>
        <v>0.59933222036727885</v>
      </c>
      <c r="S100" t="s">
        <v>87</v>
      </c>
      <c r="T100">
        <f>Table6[[#This Row],[Discount]]*Table6[[#This Row],[List Price]]*Table6[[#This Row],[Units]]</f>
        <v>0</v>
      </c>
    </row>
    <row r="101" spans="1:20" x14ac:dyDescent="0.2">
      <c r="A101" t="s">
        <v>194</v>
      </c>
      <c r="B101" s="2">
        <v>46317.757599175951</v>
      </c>
      <c r="C101" t="s">
        <v>93</v>
      </c>
      <c r="D101" t="s">
        <v>96</v>
      </c>
      <c r="E101" t="s">
        <v>25</v>
      </c>
      <c r="F101" t="s">
        <v>7</v>
      </c>
      <c r="G101" t="s">
        <v>24</v>
      </c>
      <c r="H101" t="str">
        <f>_xlfn.XLOOKUP(Table6[[#This Row],[SKU]],tblProductMaster[SKU],tblProductMaster[Product])</f>
        <v>Body Lotion 400ml</v>
      </c>
      <c r="I101">
        <v>643</v>
      </c>
      <c r="J101">
        <f>_xlfn.XLOOKUP(G101,[1]!tblProductMaster[SKU],[1]!tblProductMaster[List Price])</f>
        <v>7.99</v>
      </c>
      <c r="K101" t="s">
        <v>86</v>
      </c>
      <c r="L101" s="3">
        <v>0</v>
      </c>
      <c r="M101" s="9">
        <f t="shared" si="5"/>
        <v>7.99</v>
      </c>
      <c r="N101" s="8">
        <f t="shared" si="6"/>
        <v>5137.57</v>
      </c>
      <c r="O101" s="9">
        <f>_xlfn.XLOOKUP(G101,[1]!tblProductMaster[SKU],[1]!tblProductMaster[Unit Cost])</f>
        <v>3.1</v>
      </c>
      <c r="P101" s="8">
        <f t="shared" si="7"/>
        <v>1993.3</v>
      </c>
      <c r="Q101" s="8">
        <f t="shared" si="8"/>
        <v>3144.2699999999995</v>
      </c>
      <c r="R101" s="4">
        <f t="shared" si="9"/>
        <v>0.61201501877346676</v>
      </c>
      <c r="S101" t="s">
        <v>87</v>
      </c>
      <c r="T101">
        <f>Table6[[#This Row],[Discount]]*Table6[[#This Row],[List Price]]*Table6[[#This Row],[Units]]</f>
        <v>0</v>
      </c>
    </row>
    <row r="102" spans="1:20" x14ac:dyDescent="0.2">
      <c r="A102" t="s">
        <v>195</v>
      </c>
      <c r="B102" s="2">
        <v>46146.36038130134</v>
      </c>
      <c r="C102" t="s">
        <v>93</v>
      </c>
      <c r="D102" t="s">
        <v>96</v>
      </c>
      <c r="E102" t="s">
        <v>56</v>
      </c>
      <c r="F102" t="s">
        <v>15</v>
      </c>
      <c r="G102" t="s">
        <v>62</v>
      </c>
      <c r="H102" t="str">
        <f>_xlfn.XLOOKUP(Table6[[#This Row],[SKU]],tblProductMaster[SKU],tblProductMaster[Product])</f>
        <v>Mouthwash 500ml</v>
      </c>
      <c r="I102">
        <v>569</v>
      </c>
      <c r="J102">
        <f>_xlfn.XLOOKUP(G102,[1]!tblProductMaster[SKU],[1]!tblProductMaster[List Price])</f>
        <v>5.99</v>
      </c>
      <c r="K102" t="s">
        <v>89</v>
      </c>
      <c r="L102" s="3">
        <v>0.2</v>
      </c>
      <c r="M102" s="9">
        <f t="shared" si="5"/>
        <v>4.7920000000000007</v>
      </c>
      <c r="N102" s="8">
        <f t="shared" si="6"/>
        <v>2726.6480000000006</v>
      </c>
      <c r="O102" s="9">
        <f>_xlfn.XLOOKUP(G102,[1]!tblProductMaster[SKU],[1]!tblProductMaster[Unit Cost])</f>
        <v>2.4</v>
      </c>
      <c r="P102" s="8">
        <f t="shared" si="7"/>
        <v>1365.6</v>
      </c>
      <c r="Q102" s="8">
        <f t="shared" si="8"/>
        <v>1361.0480000000007</v>
      </c>
      <c r="R102" s="4">
        <f t="shared" si="9"/>
        <v>0.49916527545909867</v>
      </c>
      <c r="S102" t="s">
        <v>94</v>
      </c>
      <c r="T102">
        <f>Table6[[#This Row],[Discount]]*Table6[[#This Row],[List Price]]*Table6[[#This Row],[Units]]</f>
        <v>681.66200000000015</v>
      </c>
    </row>
    <row r="103" spans="1:20" x14ac:dyDescent="0.2">
      <c r="A103" t="s">
        <v>196</v>
      </c>
      <c r="B103" s="2">
        <v>46036.931796284523</v>
      </c>
      <c r="C103" t="s">
        <v>93</v>
      </c>
      <c r="D103" t="s">
        <v>85</v>
      </c>
      <c r="E103" t="s">
        <v>25</v>
      </c>
      <c r="F103" t="s">
        <v>18</v>
      </c>
      <c r="G103" t="s">
        <v>27</v>
      </c>
      <c r="H103" t="str">
        <f>_xlfn.XLOOKUP(Table6[[#This Row],[SKU]],tblProductMaster[SKU],tblProductMaster[Product])</f>
        <v>Face Cream 50ml</v>
      </c>
      <c r="I103">
        <v>290</v>
      </c>
      <c r="J103">
        <f>_xlfn.XLOOKUP(G103,[1]!tblProductMaster[SKU],[1]!tblProductMaster[List Price])</f>
        <v>9.99</v>
      </c>
      <c r="K103" t="s">
        <v>86</v>
      </c>
      <c r="L103" s="3">
        <v>0</v>
      </c>
      <c r="M103" s="9">
        <f t="shared" si="5"/>
        <v>9.99</v>
      </c>
      <c r="N103" s="8">
        <f t="shared" si="6"/>
        <v>2897.1</v>
      </c>
      <c r="O103" s="9">
        <f>_xlfn.XLOOKUP(G103,[1]!tblProductMaster[SKU],[1]!tblProductMaster[Unit Cost])</f>
        <v>4.2</v>
      </c>
      <c r="P103" s="8">
        <f t="shared" si="7"/>
        <v>1218</v>
      </c>
      <c r="Q103" s="8">
        <f t="shared" si="8"/>
        <v>1679.1</v>
      </c>
      <c r="R103" s="4">
        <f t="shared" si="9"/>
        <v>0.57957957957957962</v>
      </c>
      <c r="S103" t="s">
        <v>87</v>
      </c>
      <c r="T103">
        <f>Table6[[#This Row],[Discount]]*Table6[[#This Row],[List Price]]*Table6[[#This Row],[Units]]</f>
        <v>0</v>
      </c>
    </row>
    <row r="104" spans="1:20" x14ac:dyDescent="0.2">
      <c r="A104" t="s">
        <v>197</v>
      </c>
      <c r="B104" s="2">
        <v>46150.271659585123</v>
      </c>
      <c r="C104" t="s">
        <v>98</v>
      </c>
      <c r="D104" t="s">
        <v>85</v>
      </c>
      <c r="E104" t="s">
        <v>56</v>
      </c>
      <c r="F104" t="s">
        <v>18</v>
      </c>
      <c r="G104" t="s">
        <v>68</v>
      </c>
      <c r="H104" t="str">
        <f>_xlfn.XLOOKUP(Table6[[#This Row],[SKU]],tblProductMaster[SKU],tblProductMaster[Product])</f>
        <v>Kids Toothpaste</v>
      </c>
      <c r="I104">
        <v>695</v>
      </c>
      <c r="J104">
        <f>_xlfn.XLOOKUP(G104,[1]!tblProductMaster[SKU],[1]!tblProductMaster[List Price])</f>
        <v>3.29</v>
      </c>
      <c r="K104" t="s">
        <v>89</v>
      </c>
      <c r="L104" s="3">
        <v>0.3</v>
      </c>
      <c r="M104" s="9">
        <f t="shared" si="5"/>
        <v>2.3029999999999999</v>
      </c>
      <c r="N104" s="8">
        <f t="shared" si="6"/>
        <v>1600.585</v>
      </c>
      <c r="O104" s="9">
        <f>_xlfn.XLOOKUP(G104,[1]!tblProductMaster[SKU],[1]!tblProductMaster[Unit Cost])</f>
        <v>1.1000000000000001</v>
      </c>
      <c r="P104" s="8">
        <f t="shared" si="7"/>
        <v>764.50000000000011</v>
      </c>
      <c r="Q104" s="8">
        <f t="shared" si="8"/>
        <v>836.08499999999992</v>
      </c>
      <c r="R104" s="4">
        <f t="shared" si="9"/>
        <v>0.52236213634389916</v>
      </c>
      <c r="S104" t="s">
        <v>99</v>
      </c>
      <c r="T104">
        <f>Table6[[#This Row],[Discount]]*Table6[[#This Row],[List Price]]*Table6[[#This Row],[Units]]</f>
        <v>685.96500000000003</v>
      </c>
    </row>
    <row r="105" spans="1:20" x14ac:dyDescent="0.2">
      <c r="A105" t="s">
        <v>198</v>
      </c>
      <c r="B105" s="2">
        <v>46024.370948163225</v>
      </c>
      <c r="C105" t="s">
        <v>98</v>
      </c>
      <c r="D105" t="s">
        <v>104</v>
      </c>
      <c r="E105" t="s">
        <v>25</v>
      </c>
      <c r="F105" t="s">
        <v>15</v>
      </c>
      <c r="G105" t="s">
        <v>35</v>
      </c>
      <c r="H105" t="str">
        <f>_xlfn.XLOOKUP(Table6[[#This Row],[SKU]],tblProductMaster[SKU],tblProductMaster[Product])</f>
        <v>Hand Cream</v>
      </c>
      <c r="I105">
        <v>592</v>
      </c>
      <c r="J105">
        <f>_xlfn.XLOOKUP(G105,[1]!tblProductMaster[SKU],[1]!tblProductMaster[List Price])</f>
        <v>4.99</v>
      </c>
      <c r="K105" t="s">
        <v>86</v>
      </c>
      <c r="L105" s="3">
        <v>0</v>
      </c>
      <c r="M105" s="9">
        <f t="shared" si="5"/>
        <v>4.99</v>
      </c>
      <c r="N105" s="8">
        <f t="shared" si="6"/>
        <v>2954.08</v>
      </c>
      <c r="O105" s="9">
        <f>_xlfn.XLOOKUP(G105,[1]!tblProductMaster[SKU],[1]!tblProductMaster[Unit Cost])</f>
        <v>2.1</v>
      </c>
      <c r="P105" s="8">
        <f t="shared" si="7"/>
        <v>1243.2</v>
      </c>
      <c r="Q105" s="8">
        <f t="shared" si="8"/>
        <v>1710.8799999999999</v>
      </c>
      <c r="R105" s="4">
        <f t="shared" si="9"/>
        <v>0.57915831663326656</v>
      </c>
      <c r="S105" t="s">
        <v>87</v>
      </c>
      <c r="T105">
        <f>Table6[[#This Row],[Discount]]*Table6[[#This Row],[List Price]]*Table6[[#This Row],[Units]]</f>
        <v>0</v>
      </c>
    </row>
    <row r="106" spans="1:20" x14ac:dyDescent="0.2">
      <c r="A106" t="s">
        <v>199</v>
      </c>
      <c r="B106" s="2">
        <v>46174.63864439063</v>
      </c>
      <c r="C106" t="s">
        <v>93</v>
      </c>
      <c r="D106" t="s">
        <v>104</v>
      </c>
      <c r="E106" t="s">
        <v>25</v>
      </c>
      <c r="F106" t="s">
        <v>18</v>
      </c>
      <c r="G106" t="s">
        <v>27</v>
      </c>
      <c r="H106" t="str">
        <f>_xlfn.XLOOKUP(Table6[[#This Row],[SKU]],tblProductMaster[SKU],tblProductMaster[Product])</f>
        <v>Face Cream 50ml</v>
      </c>
      <c r="I106">
        <v>732</v>
      </c>
      <c r="J106">
        <f>_xlfn.XLOOKUP(G106,[1]!tblProductMaster[SKU],[1]!tblProductMaster[List Price])</f>
        <v>9.99</v>
      </c>
      <c r="K106" t="s">
        <v>86</v>
      </c>
      <c r="L106" s="3">
        <v>0</v>
      </c>
      <c r="M106" s="9">
        <f t="shared" si="5"/>
        <v>9.99</v>
      </c>
      <c r="N106" s="8">
        <f t="shared" si="6"/>
        <v>7312.68</v>
      </c>
      <c r="O106" s="9">
        <f>_xlfn.XLOOKUP(G106,[1]!tblProductMaster[SKU],[1]!tblProductMaster[Unit Cost])</f>
        <v>4.2</v>
      </c>
      <c r="P106" s="8">
        <f t="shared" si="7"/>
        <v>3074.4</v>
      </c>
      <c r="Q106" s="8">
        <f t="shared" si="8"/>
        <v>4238.2800000000007</v>
      </c>
      <c r="R106" s="4">
        <f t="shared" si="9"/>
        <v>0.57957957957957962</v>
      </c>
      <c r="S106" t="s">
        <v>87</v>
      </c>
      <c r="T106">
        <f>Table6[[#This Row],[Discount]]*Table6[[#This Row],[List Price]]*Table6[[#This Row],[Units]]</f>
        <v>0</v>
      </c>
    </row>
    <row r="107" spans="1:20" x14ac:dyDescent="0.2">
      <c r="A107" t="s">
        <v>200</v>
      </c>
      <c r="B107" s="2">
        <v>46250.940624304552</v>
      </c>
      <c r="C107" t="s">
        <v>84</v>
      </c>
      <c r="D107" t="s">
        <v>96</v>
      </c>
      <c r="E107" t="s">
        <v>40</v>
      </c>
      <c r="F107" t="s">
        <v>18</v>
      </c>
      <c r="G107" t="s">
        <v>42</v>
      </c>
      <c r="H107" t="str">
        <f>_xlfn.XLOOKUP(Table6[[#This Row],[SKU]],tblProductMaster[SKU],tblProductMaster[Product])</f>
        <v>Detergent Capsules</v>
      </c>
      <c r="I107">
        <v>223</v>
      </c>
      <c r="J107">
        <f>_xlfn.XLOOKUP(G107,[1]!tblProductMaster[SKU],[1]!tblProductMaster[List Price])</f>
        <v>11.99</v>
      </c>
      <c r="K107" t="s">
        <v>86</v>
      </c>
      <c r="L107" s="3">
        <v>0</v>
      </c>
      <c r="M107" s="9">
        <f t="shared" si="5"/>
        <v>11.99</v>
      </c>
      <c r="N107" s="8">
        <f t="shared" si="6"/>
        <v>2673.77</v>
      </c>
      <c r="O107" s="9">
        <f>_xlfn.XLOOKUP(G107,[1]!tblProductMaster[SKU],[1]!tblProductMaster[Unit Cost])</f>
        <v>5.2</v>
      </c>
      <c r="P107" s="8">
        <f t="shared" si="7"/>
        <v>1159.6000000000001</v>
      </c>
      <c r="Q107" s="8">
        <f t="shared" si="8"/>
        <v>1514.1699999999998</v>
      </c>
      <c r="R107" s="4">
        <f t="shared" si="9"/>
        <v>0.56630525437864887</v>
      </c>
      <c r="S107" t="s">
        <v>87</v>
      </c>
      <c r="T107">
        <f>Table6[[#This Row],[Discount]]*Table6[[#This Row],[List Price]]*Table6[[#This Row],[Units]]</f>
        <v>0</v>
      </c>
    </row>
    <row r="108" spans="1:20" x14ac:dyDescent="0.2">
      <c r="A108" t="s">
        <v>201</v>
      </c>
      <c r="B108" s="2">
        <v>46102.584132274322</v>
      </c>
      <c r="C108" t="s">
        <v>93</v>
      </c>
      <c r="D108" t="s">
        <v>104</v>
      </c>
      <c r="E108" t="s">
        <v>8</v>
      </c>
      <c r="F108" t="s">
        <v>15</v>
      </c>
      <c r="G108" t="s">
        <v>14</v>
      </c>
      <c r="H108" t="str">
        <f>_xlfn.XLOOKUP(Table6[[#This Row],[SKU]],tblProductMaster[SKU],tblProductMaster[Product])</f>
        <v>Shampoo 250ml</v>
      </c>
      <c r="I108">
        <v>444</v>
      </c>
      <c r="J108">
        <f>_xlfn.XLOOKUP(G108,[1]!tblProductMaster[SKU],[1]!tblProductMaster[List Price])</f>
        <v>4.99</v>
      </c>
      <c r="K108" t="s">
        <v>86</v>
      </c>
      <c r="L108" s="3">
        <v>0</v>
      </c>
      <c r="M108" s="9">
        <f t="shared" si="5"/>
        <v>4.99</v>
      </c>
      <c r="N108" s="8">
        <f t="shared" si="6"/>
        <v>2215.56</v>
      </c>
      <c r="O108" s="9">
        <f>_xlfn.XLOOKUP(G108,[1]!tblProductMaster[SKU],[1]!tblProductMaster[Unit Cost])</f>
        <v>2.1</v>
      </c>
      <c r="P108" s="8">
        <f t="shared" si="7"/>
        <v>932.40000000000009</v>
      </c>
      <c r="Q108" s="8">
        <f t="shared" si="8"/>
        <v>1283.1599999999999</v>
      </c>
      <c r="R108" s="4">
        <f t="shared" si="9"/>
        <v>0.57915831663326645</v>
      </c>
      <c r="S108" t="s">
        <v>87</v>
      </c>
      <c r="T108">
        <f>Table6[[#This Row],[Discount]]*Table6[[#This Row],[List Price]]*Table6[[#This Row],[Units]]</f>
        <v>0</v>
      </c>
    </row>
    <row r="109" spans="1:20" x14ac:dyDescent="0.2">
      <c r="A109" t="s">
        <v>202</v>
      </c>
      <c r="B109" s="2">
        <v>46030.728392161116</v>
      </c>
      <c r="C109" t="s">
        <v>93</v>
      </c>
      <c r="D109" t="s">
        <v>104</v>
      </c>
      <c r="E109" t="s">
        <v>8</v>
      </c>
      <c r="F109" t="s">
        <v>15</v>
      </c>
      <c r="G109" t="s">
        <v>16</v>
      </c>
      <c r="H109" t="str">
        <f>_xlfn.XLOOKUP(Table6[[#This Row],[SKU]],tblProductMaster[SKU],tblProductMaster[Product])</f>
        <v>Conditioner 250ml</v>
      </c>
      <c r="I109">
        <v>573</v>
      </c>
      <c r="J109">
        <f>_xlfn.XLOOKUP(G109,[1]!tblProductMaster[SKU],[1]!tblProductMaster[List Price])</f>
        <v>4.79</v>
      </c>
      <c r="K109" t="s">
        <v>89</v>
      </c>
      <c r="L109" s="3">
        <v>0.3</v>
      </c>
      <c r="M109" s="9">
        <f t="shared" si="5"/>
        <v>3.3529999999999998</v>
      </c>
      <c r="N109" s="8">
        <f t="shared" si="6"/>
        <v>1921.2689999999998</v>
      </c>
      <c r="O109" s="9">
        <f>_xlfn.XLOOKUP(G109,[1]!tblProductMaster[SKU],[1]!tblProductMaster[Unit Cost])</f>
        <v>2</v>
      </c>
      <c r="P109" s="8">
        <f t="shared" si="7"/>
        <v>1146</v>
      </c>
      <c r="Q109" s="8">
        <f t="shared" si="8"/>
        <v>775.26899999999978</v>
      </c>
      <c r="R109" s="4">
        <f t="shared" si="9"/>
        <v>0.40351923650462268</v>
      </c>
      <c r="S109" t="s">
        <v>99</v>
      </c>
      <c r="T109">
        <f>Table6[[#This Row],[Discount]]*Table6[[#This Row],[List Price]]*Table6[[#This Row],[Units]]</f>
        <v>823.40100000000007</v>
      </c>
    </row>
    <row r="110" spans="1:20" x14ac:dyDescent="0.2">
      <c r="A110" t="s">
        <v>203</v>
      </c>
      <c r="B110" s="2">
        <v>46296.062455833802</v>
      </c>
      <c r="C110" t="s">
        <v>84</v>
      </c>
      <c r="D110" t="s">
        <v>85</v>
      </c>
      <c r="E110" t="s">
        <v>56</v>
      </c>
      <c r="F110" t="s">
        <v>18</v>
      </c>
      <c r="G110" t="s">
        <v>68</v>
      </c>
      <c r="H110" t="str">
        <f>_xlfn.XLOOKUP(Table6[[#This Row],[SKU]],tblProductMaster[SKU],tblProductMaster[Product])</f>
        <v>Kids Toothpaste</v>
      </c>
      <c r="I110">
        <v>534</v>
      </c>
      <c r="J110">
        <f>_xlfn.XLOOKUP(G110,[1]!tblProductMaster[SKU],[1]!tblProductMaster[List Price])</f>
        <v>3.29</v>
      </c>
      <c r="K110" t="s">
        <v>86</v>
      </c>
      <c r="L110" s="3">
        <v>0</v>
      </c>
      <c r="M110" s="9">
        <f t="shared" si="5"/>
        <v>3.29</v>
      </c>
      <c r="N110" s="8">
        <f t="shared" si="6"/>
        <v>1756.8600000000001</v>
      </c>
      <c r="O110" s="9">
        <f>_xlfn.XLOOKUP(G110,[1]!tblProductMaster[SKU],[1]!tblProductMaster[Unit Cost])</f>
        <v>1.1000000000000001</v>
      </c>
      <c r="P110" s="8">
        <f t="shared" si="7"/>
        <v>587.40000000000009</v>
      </c>
      <c r="Q110" s="8">
        <f t="shared" si="8"/>
        <v>1169.46</v>
      </c>
      <c r="R110" s="4">
        <f t="shared" si="9"/>
        <v>0.66565349544072949</v>
      </c>
      <c r="S110" t="s">
        <v>87</v>
      </c>
      <c r="T110">
        <f>Table6[[#This Row],[Discount]]*Table6[[#This Row],[List Price]]*Table6[[#This Row],[Units]]</f>
        <v>0</v>
      </c>
    </row>
    <row r="111" spans="1:20" x14ac:dyDescent="0.2">
      <c r="A111" t="s">
        <v>204</v>
      </c>
      <c r="B111" s="2">
        <v>46368.450687660647</v>
      </c>
      <c r="C111" t="s">
        <v>84</v>
      </c>
      <c r="D111" t="s">
        <v>104</v>
      </c>
      <c r="E111" t="s">
        <v>40</v>
      </c>
      <c r="F111" t="s">
        <v>7</v>
      </c>
      <c r="G111" t="s">
        <v>44</v>
      </c>
      <c r="H111" t="str">
        <f>_xlfn.XLOOKUP(Table6[[#This Row],[SKU]],tblProductMaster[SKU],tblProductMaster[Product])</f>
        <v>Fabric Softener</v>
      </c>
      <c r="I111">
        <v>791</v>
      </c>
      <c r="J111">
        <f>_xlfn.XLOOKUP(G111,[1]!tblProductMaster[SKU],[1]!tblProductMaster[List Price])</f>
        <v>6.99</v>
      </c>
      <c r="K111" t="s">
        <v>86</v>
      </c>
      <c r="L111" s="3">
        <v>0</v>
      </c>
      <c r="M111" s="9">
        <f t="shared" si="5"/>
        <v>6.99</v>
      </c>
      <c r="N111" s="8">
        <f t="shared" si="6"/>
        <v>5529.09</v>
      </c>
      <c r="O111" s="9">
        <f>_xlfn.XLOOKUP(G111,[1]!tblProductMaster[SKU],[1]!tblProductMaster[Unit Cost])</f>
        <v>2.9</v>
      </c>
      <c r="P111" s="8">
        <f t="shared" si="7"/>
        <v>2293.9</v>
      </c>
      <c r="Q111" s="8">
        <f t="shared" si="8"/>
        <v>3235.19</v>
      </c>
      <c r="R111" s="4">
        <f t="shared" si="9"/>
        <v>0.58512160228898424</v>
      </c>
      <c r="S111" t="s">
        <v>87</v>
      </c>
      <c r="T111">
        <f>Table6[[#This Row],[Discount]]*Table6[[#This Row],[List Price]]*Table6[[#This Row],[Units]]</f>
        <v>0</v>
      </c>
    </row>
    <row r="112" spans="1:20" x14ac:dyDescent="0.2">
      <c r="A112" t="s">
        <v>205</v>
      </c>
      <c r="B112" s="2">
        <v>46209.517680341414</v>
      </c>
      <c r="C112" t="s">
        <v>98</v>
      </c>
      <c r="D112" t="s">
        <v>85</v>
      </c>
      <c r="E112" t="s">
        <v>56</v>
      </c>
      <c r="F112" t="s">
        <v>15</v>
      </c>
      <c r="G112" t="s">
        <v>55</v>
      </c>
      <c r="H112" t="str">
        <f>_xlfn.XLOOKUP(Table6[[#This Row],[SKU]],tblProductMaster[SKU],tblProductMaster[Product])</f>
        <v>Toothpaste 75ml</v>
      </c>
      <c r="I112">
        <v>454</v>
      </c>
      <c r="J112">
        <f>_xlfn.XLOOKUP(G112,[1]!tblProductMaster[SKU],[1]!tblProductMaster[List Price])</f>
        <v>3.49</v>
      </c>
      <c r="K112" t="s">
        <v>89</v>
      </c>
      <c r="L112" s="3">
        <v>0.1</v>
      </c>
      <c r="M112" s="9">
        <f t="shared" si="5"/>
        <v>3.1410000000000005</v>
      </c>
      <c r="N112" s="8">
        <f t="shared" si="6"/>
        <v>1426.0140000000001</v>
      </c>
      <c r="O112" s="9">
        <f>_xlfn.XLOOKUP(G112,[1]!tblProductMaster[SKU],[1]!tblProductMaster[Unit Cost])</f>
        <v>1.2</v>
      </c>
      <c r="P112" s="8">
        <f t="shared" si="7"/>
        <v>544.79999999999995</v>
      </c>
      <c r="Q112" s="8">
        <f t="shared" si="8"/>
        <v>881.21400000000017</v>
      </c>
      <c r="R112" s="4">
        <f t="shared" si="9"/>
        <v>0.61795606494746902</v>
      </c>
      <c r="S112" t="s">
        <v>90</v>
      </c>
      <c r="T112">
        <f>Table6[[#This Row],[Discount]]*Table6[[#This Row],[List Price]]*Table6[[#This Row],[Units]]</f>
        <v>158.44600000000003</v>
      </c>
    </row>
    <row r="113" spans="1:20" x14ac:dyDescent="0.2">
      <c r="A113" t="s">
        <v>206</v>
      </c>
      <c r="B113" s="2">
        <v>46129.340020914264</v>
      </c>
      <c r="C113" t="s">
        <v>98</v>
      </c>
      <c r="D113" t="s">
        <v>104</v>
      </c>
      <c r="E113" t="s">
        <v>56</v>
      </c>
      <c r="F113" t="s">
        <v>15</v>
      </c>
      <c r="G113" t="s">
        <v>55</v>
      </c>
      <c r="H113" t="str">
        <f>_xlfn.XLOOKUP(Table6[[#This Row],[SKU]],tblProductMaster[SKU],tblProductMaster[Product])</f>
        <v>Toothpaste 75ml</v>
      </c>
      <c r="I113">
        <v>542</v>
      </c>
      <c r="J113">
        <f>_xlfn.XLOOKUP(G113,[1]!tblProductMaster[SKU],[1]!tblProductMaster[List Price])</f>
        <v>3.49</v>
      </c>
      <c r="K113" t="s">
        <v>89</v>
      </c>
      <c r="L113" s="3">
        <v>0.2</v>
      </c>
      <c r="M113" s="9">
        <f t="shared" si="5"/>
        <v>2.7920000000000003</v>
      </c>
      <c r="N113" s="8">
        <f t="shared" si="6"/>
        <v>1513.2640000000001</v>
      </c>
      <c r="O113" s="9">
        <f>_xlfn.XLOOKUP(G113,[1]!tblProductMaster[SKU],[1]!tblProductMaster[Unit Cost])</f>
        <v>1.2</v>
      </c>
      <c r="P113" s="8">
        <f t="shared" si="7"/>
        <v>650.4</v>
      </c>
      <c r="Q113" s="8">
        <f t="shared" si="8"/>
        <v>862.86400000000015</v>
      </c>
      <c r="R113" s="4">
        <f t="shared" si="9"/>
        <v>0.57020057306590266</v>
      </c>
      <c r="S113" t="s">
        <v>99</v>
      </c>
      <c r="T113">
        <f>Table6[[#This Row],[Discount]]*Table6[[#This Row],[List Price]]*Table6[[#This Row],[Units]]</f>
        <v>378.31600000000003</v>
      </c>
    </row>
    <row r="114" spans="1:20" x14ac:dyDescent="0.2">
      <c r="A114" t="s">
        <v>207</v>
      </c>
      <c r="B114" s="2">
        <v>46082.296841781594</v>
      </c>
      <c r="C114" t="s">
        <v>98</v>
      </c>
      <c r="D114" t="s">
        <v>96</v>
      </c>
      <c r="E114" t="s">
        <v>40</v>
      </c>
      <c r="F114" t="s">
        <v>7</v>
      </c>
      <c r="G114" t="s">
        <v>48</v>
      </c>
      <c r="H114" t="str">
        <f>_xlfn.XLOOKUP(Table6[[#This Row],[SKU]],tblProductMaster[SKU],tblProductMaster[Product])</f>
        <v>Color Detergent</v>
      </c>
      <c r="I114">
        <v>539</v>
      </c>
      <c r="J114">
        <f>_xlfn.XLOOKUP(G114,[1]!tblProductMaster[SKU],[1]!tblProductMaster[List Price])</f>
        <v>9.49</v>
      </c>
      <c r="K114" t="s">
        <v>86</v>
      </c>
      <c r="L114" s="3">
        <v>0</v>
      </c>
      <c r="M114" s="9">
        <f t="shared" si="5"/>
        <v>9.49</v>
      </c>
      <c r="N114" s="8">
        <f t="shared" si="6"/>
        <v>5115.1099999999997</v>
      </c>
      <c r="O114" s="9">
        <f>_xlfn.XLOOKUP(G114,[1]!tblProductMaster[SKU],[1]!tblProductMaster[Unit Cost])</f>
        <v>4</v>
      </c>
      <c r="P114" s="8">
        <f t="shared" si="7"/>
        <v>2156</v>
      </c>
      <c r="Q114" s="8">
        <f t="shared" si="8"/>
        <v>2959.1099999999997</v>
      </c>
      <c r="R114" s="4">
        <f t="shared" si="9"/>
        <v>0.57850368809272912</v>
      </c>
      <c r="S114" t="s">
        <v>87</v>
      </c>
      <c r="T114">
        <f>Table6[[#This Row],[Discount]]*Table6[[#This Row],[List Price]]*Table6[[#This Row],[Units]]</f>
        <v>0</v>
      </c>
    </row>
    <row r="115" spans="1:20" x14ac:dyDescent="0.2">
      <c r="A115" t="s">
        <v>208</v>
      </c>
      <c r="B115" s="2">
        <v>46088.224167751352</v>
      </c>
      <c r="C115" t="s">
        <v>93</v>
      </c>
      <c r="D115" t="s">
        <v>96</v>
      </c>
      <c r="E115" t="s">
        <v>8</v>
      </c>
      <c r="F115" t="s">
        <v>15</v>
      </c>
      <c r="G115" t="s">
        <v>16</v>
      </c>
      <c r="H115" t="str">
        <f>_xlfn.XLOOKUP(Table6[[#This Row],[SKU]],tblProductMaster[SKU],tblProductMaster[Product])</f>
        <v>Conditioner 250ml</v>
      </c>
      <c r="I115">
        <v>395</v>
      </c>
      <c r="J115">
        <f>_xlfn.XLOOKUP(G115,[1]!tblProductMaster[SKU],[1]!tblProductMaster[List Price])</f>
        <v>4.79</v>
      </c>
      <c r="K115" t="s">
        <v>86</v>
      </c>
      <c r="L115" s="3">
        <v>0</v>
      </c>
      <c r="M115" s="9">
        <f t="shared" si="5"/>
        <v>4.79</v>
      </c>
      <c r="N115" s="8">
        <f t="shared" si="6"/>
        <v>1892.05</v>
      </c>
      <c r="O115" s="9">
        <f>_xlfn.XLOOKUP(G115,[1]!tblProductMaster[SKU],[1]!tblProductMaster[Unit Cost])</f>
        <v>2</v>
      </c>
      <c r="P115" s="8">
        <f t="shared" si="7"/>
        <v>790</v>
      </c>
      <c r="Q115" s="8">
        <f t="shared" si="8"/>
        <v>1102.05</v>
      </c>
      <c r="R115" s="4">
        <f t="shared" si="9"/>
        <v>0.58246346555323592</v>
      </c>
      <c r="S115" t="s">
        <v>87</v>
      </c>
      <c r="T115">
        <f>Table6[[#This Row],[Discount]]*Table6[[#This Row],[List Price]]*Table6[[#This Row],[Units]]</f>
        <v>0</v>
      </c>
    </row>
    <row r="116" spans="1:20" x14ac:dyDescent="0.2">
      <c r="A116" t="s">
        <v>209</v>
      </c>
      <c r="B116" s="2">
        <v>46033.952967391087</v>
      </c>
      <c r="C116" t="s">
        <v>98</v>
      </c>
      <c r="D116" t="s">
        <v>104</v>
      </c>
      <c r="E116" t="s">
        <v>8</v>
      </c>
      <c r="F116" t="s">
        <v>18</v>
      </c>
      <c r="G116" t="s">
        <v>20</v>
      </c>
      <c r="H116" t="str">
        <f>_xlfn.XLOOKUP(Table6[[#This Row],[SKU]],tblProductMaster[SKU],tblProductMaster[Product])</f>
        <v>Hair Oil</v>
      </c>
      <c r="I116">
        <v>403</v>
      </c>
      <c r="J116">
        <f>_xlfn.XLOOKUP(G116,[1]!tblProductMaster[SKU],[1]!tblProductMaster[List Price])</f>
        <v>7.49</v>
      </c>
      <c r="K116" t="s">
        <v>86</v>
      </c>
      <c r="L116" s="3">
        <v>0</v>
      </c>
      <c r="M116" s="9">
        <f t="shared" si="5"/>
        <v>7.49</v>
      </c>
      <c r="N116" s="8">
        <f t="shared" si="6"/>
        <v>3018.4700000000003</v>
      </c>
      <c r="O116" s="9">
        <f>_xlfn.XLOOKUP(G116,[1]!tblProductMaster[SKU],[1]!tblProductMaster[Unit Cost])</f>
        <v>3.1</v>
      </c>
      <c r="P116" s="8">
        <f t="shared" si="7"/>
        <v>1249.3</v>
      </c>
      <c r="Q116" s="8">
        <f t="shared" si="8"/>
        <v>1769.1700000000003</v>
      </c>
      <c r="R116" s="4">
        <f t="shared" si="9"/>
        <v>0.58611481975967961</v>
      </c>
      <c r="S116" t="s">
        <v>87</v>
      </c>
      <c r="T116">
        <f>Table6[[#This Row],[Discount]]*Table6[[#This Row],[List Price]]*Table6[[#This Row],[Units]]</f>
        <v>0</v>
      </c>
    </row>
    <row r="117" spans="1:20" x14ac:dyDescent="0.2">
      <c r="A117" t="s">
        <v>210</v>
      </c>
      <c r="B117" s="2">
        <v>46040.619411098982</v>
      </c>
      <c r="C117" t="s">
        <v>98</v>
      </c>
      <c r="D117" t="s">
        <v>85</v>
      </c>
      <c r="E117" t="s">
        <v>56</v>
      </c>
      <c r="F117" t="s">
        <v>18</v>
      </c>
      <c r="G117" t="s">
        <v>60</v>
      </c>
      <c r="H117" t="str">
        <f>_xlfn.XLOOKUP(Table6[[#This Row],[SKU]],tblProductMaster[SKU],tblProductMaster[Product])</f>
        <v>Sensitive Toothpaste</v>
      </c>
      <c r="I117">
        <v>1151</v>
      </c>
      <c r="J117">
        <f>_xlfn.XLOOKUP(G117,[1]!tblProductMaster[SKU],[1]!tblProductMaster[List Price])</f>
        <v>4.49</v>
      </c>
      <c r="K117" t="s">
        <v>89</v>
      </c>
      <c r="L117" s="3">
        <v>0.2</v>
      </c>
      <c r="M117" s="9">
        <f t="shared" si="5"/>
        <v>3.5920000000000005</v>
      </c>
      <c r="N117" s="8">
        <f t="shared" si="6"/>
        <v>4134.3920000000007</v>
      </c>
      <c r="O117" s="9">
        <f>_xlfn.XLOOKUP(G117,[1]!tblProductMaster[SKU],[1]!tblProductMaster[Unit Cost])</f>
        <v>1.7</v>
      </c>
      <c r="P117" s="8">
        <f t="shared" si="7"/>
        <v>1956.7</v>
      </c>
      <c r="Q117" s="8">
        <f t="shared" si="8"/>
        <v>2177.6920000000009</v>
      </c>
      <c r="R117" s="4">
        <f t="shared" si="9"/>
        <v>0.52672605790645888</v>
      </c>
      <c r="S117" t="s">
        <v>94</v>
      </c>
      <c r="T117">
        <f>Table6[[#This Row],[Discount]]*Table6[[#This Row],[List Price]]*Table6[[#This Row],[Units]]</f>
        <v>1033.5980000000002</v>
      </c>
    </row>
    <row r="118" spans="1:20" x14ac:dyDescent="0.2">
      <c r="A118" t="s">
        <v>211</v>
      </c>
      <c r="B118" s="2">
        <v>46143.172230229495</v>
      </c>
      <c r="C118" t="s">
        <v>93</v>
      </c>
      <c r="D118" t="s">
        <v>104</v>
      </c>
      <c r="E118" t="s">
        <v>56</v>
      </c>
      <c r="F118" t="s">
        <v>18</v>
      </c>
      <c r="G118" t="s">
        <v>68</v>
      </c>
      <c r="H118" t="str">
        <f>_xlfn.XLOOKUP(Table6[[#This Row],[SKU]],tblProductMaster[SKU],tblProductMaster[Product])</f>
        <v>Kids Toothpaste</v>
      </c>
      <c r="I118">
        <v>737</v>
      </c>
      <c r="J118">
        <f>_xlfn.XLOOKUP(G118,[1]!tblProductMaster[SKU],[1]!tblProductMaster[List Price])</f>
        <v>3.29</v>
      </c>
      <c r="K118" t="s">
        <v>89</v>
      </c>
      <c r="L118" s="3">
        <v>0.3</v>
      </c>
      <c r="M118" s="9">
        <f t="shared" si="5"/>
        <v>2.3029999999999999</v>
      </c>
      <c r="N118" s="8">
        <f t="shared" si="6"/>
        <v>1697.3109999999999</v>
      </c>
      <c r="O118" s="9">
        <f>_xlfn.XLOOKUP(G118,[1]!tblProductMaster[SKU],[1]!tblProductMaster[Unit Cost])</f>
        <v>1.1000000000000001</v>
      </c>
      <c r="P118" s="8">
        <f t="shared" si="7"/>
        <v>810.7</v>
      </c>
      <c r="Q118" s="8">
        <f t="shared" si="8"/>
        <v>886.61099999999988</v>
      </c>
      <c r="R118" s="4">
        <f t="shared" si="9"/>
        <v>0.52236213634389916</v>
      </c>
      <c r="S118" t="s">
        <v>99</v>
      </c>
      <c r="T118">
        <f>Table6[[#This Row],[Discount]]*Table6[[#This Row],[List Price]]*Table6[[#This Row],[Units]]</f>
        <v>727.41899999999998</v>
      </c>
    </row>
    <row r="119" spans="1:20" x14ac:dyDescent="0.2">
      <c r="A119" t="s">
        <v>212</v>
      </c>
      <c r="B119" s="2">
        <v>46137.476604963624</v>
      </c>
      <c r="C119" t="s">
        <v>84</v>
      </c>
      <c r="D119" t="s">
        <v>104</v>
      </c>
      <c r="E119" t="s">
        <v>8</v>
      </c>
      <c r="F119" t="s">
        <v>15</v>
      </c>
      <c r="G119" t="s">
        <v>22</v>
      </c>
      <c r="H119" t="str">
        <f>_xlfn.XLOOKUP(Table6[[#This Row],[SKU]],tblProductMaster[SKU],tblProductMaster[Product])</f>
        <v>Styling Gel</v>
      </c>
      <c r="I119">
        <v>385</v>
      </c>
      <c r="J119">
        <f>_xlfn.XLOOKUP(G119,[1]!tblProductMaster[SKU],[1]!tblProductMaster[List Price])</f>
        <v>4.49</v>
      </c>
      <c r="K119" t="s">
        <v>86</v>
      </c>
      <c r="L119" s="3">
        <v>0</v>
      </c>
      <c r="M119" s="9">
        <f t="shared" si="5"/>
        <v>4.49</v>
      </c>
      <c r="N119" s="8">
        <f t="shared" si="6"/>
        <v>1728.65</v>
      </c>
      <c r="O119" s="9">
        <f>_xlfn.XLOOKUP(G119,[1]!tblProductMaster[SKU],[1]!tblProductMaster[Unit Cost])</f>
        <v>1.9</v>
      </c>
      <c r="P119" s="8">
        <f t="shared" si="7"/>
        <v>731.5</v>
      </c>
      <c r="Q119" s="8">
        <f t="shared" si="8"/>
        <v>997.15000000000009</v>
      </c>
      <c r="R119" s="4">
        <f t="shared" si="9"/>
        <v>0.57683741648106901</v>
      </c>
      <c r="S119" t="s">
        <v>87</v>
      </c>
      <c r="T119">
        <f>Table6[[#This Row],[Discount]]*Table6[[#This Row],[List Price]]*Table6[[#This Row],[Units]]</f>
        <v>0</v>
      </c>
    </row>
    <row r="120" spans="1:20" x14ac:dyDescent="0.2">
      <c r="A120" t="s">
        <v>213</v>
      </c>
      <c r="B120" s="2">
        <v>46267.410068916797</v>
      </c>
      <c r="C120" t="s">
        <v>98</v>
      </c>
      <c r="D120" t="s">
        <v>96</v>
      </c>
      <c r="E120" t="s">
        <v>8</v>
      </c>
      <c r="F120" t="s">
        <v>15</v>
      </c>
      <c r="G120" t="s">
        <v>14</v>
      </c>
      <c r="H120" t="str">
        <f>_xlfn.XLOOKUP(Table6[[#This Row],[SKU]],tblProductMaster[SKU],tblProductMaster[Product])</f>
        <v>Shampoo 250ml</v>
      </c>
      <c r="I120">
        <v>968</v>
      </c>
      <c r="J120">
        <f>_xlfn.XLOOKUP(G120,[1]!tblProductMaster[SKU],[1]!tblProductMaster[List Price])</f>
        <v>4.99</v>
      </c>
      <c r="K120" t="s">
        <v>89</v>
      </c>
      <c r="L120" s="3">
        <v>0.3</v>
      </c>
      <c r="M120" s="9">
        <f t="shared" si="5"/>
        <v>3.4929999999999999</v>
      </c>
      <c r="N120" s="8">
        <f t="shared" si="6"/>
        <v>3381.2239999999997</v>
      </c>
      <c r="O120" s="9">
        <f>_xlfn.XLOOKUP(G120,[1]!tblProductMaster[SKU],[1]!tblProductMaster[Unit Cost])</f>
        <v>2.1</v>
      </c>
      <c r="P120" s="8">
        <f t="shared" si="7"/>
        <v>2032.8000000000002</v>
      </c>
      <c r="Q120" s="8">
        <f t="shared" si="8"/>
        <v>1348.4239999999995</v>
      </c>
      <c r="R120" s="4">
        <f t="shared" si="9"/>
        <v>0.39879759519038066</v>
      </c>
      <c r="S120" t="s">
        <v>90</v>
      </c>
      <c r="T120">
        <f>Table6[[#This Row],[Discount]]*Table6[[#This Row],[List Price]]*Table6[[#This Row],[Units]]</f>
        <v>1449.096</v>
      </c>
    </row>
    <row r="121" spans="1:20" x14ac:dyDescent="0.2">
      <c r="A121" t="s">
        <v>214</v>
      </c>
      <c r="B121" s="2">
        <v>46218.924192651379</v>
      </c>
      <c r="C121" t="s">
        <v>93</v>
      </c>
      <c r="D121" t="s">
        <v>96</v>
      </c>
      <c r="E121" t="s">
        <v>40</v>
      </c>
      <c r="F121" t="s">
        <v>15</v>
      </c>
      <c r="G121" t="s">
        <v>39</v>
      </c>
      <c r="H121" t="str">
        <f>_xlfn.XLOOKUP(Table6[[#This Row],[SKU]],tblProductMaster[SKU],tblProductMaster[Product])</f>
        <v>Detergent 1L</v>
      </c>
      <c r="I121">
        <v>478</v>
      </c>
      <c r="J121">
        <f>_xlfn.XLOOKUP(G121,[1]!tblProductMaster[SKU],[1]!tblProductMaster[List Price])</f>
        <v>8.49</v>
      </c>
      <c r="K121" t="s">
        <v>86</v>
      </c>
      <c r="L121" s="3">
        <v>0</v>
      </c>
      <c r="M121" s="9">
        <f t="shared" si="5"/>
        <v>8.49</v>
      </c>
      <c r="N121" s="8">
        <f t="shared" si="6"/>
        <v>4058.2200000000003</v>
      </c>
      <c r="O121" s="9">
        <f>_xlfn.XLOOKUP(G121,[1]!tblProductMaster[SKU],[1]!tblProductMaster[Unit Cost])</f>
        <v>3.8</v>
      </c>
      <c r="P121" s="8">
        <f t="shared" si="7"/>
        <v>1816.3999999999999</v>
      </c>
      <c r="Q121" s="8">
        <f t="shared" si="8"/>
        <v>2241.8200000000006</v>
      </c>
      <c r="R121" s="4">
        <f t="shared" si="9"/>
        <v>0.55241460541813914</v>
      </c>
      <c r="S121" t="s">
        <v>87</v>
      </c>
      <c r="T121">
        <f>Table6[[#This Row],[Discount]]*Table6[[#This Row],[List Price]]*Table6[[#This Row],[Units]]</f>
        <v>0</v>
      </c>
    </row>
    <row r="122" spans="1:20" x14ac:dyDescent="0.2">
      <c r="A122" t="s">
        <v>215</v>
      </c>
      <c r="B122" s="2">
        <v>46043.17173412643</v>
      </c>
      <c r="C122" t="s">
        <v>98</v>
      </c>
      <c r="D122" t="s">
        <v>104</v>
      </c>
      <c r="E122" t="s">
        <v>40</v>
      </c>
      <c r="F122" t="s">
        <v>15</v>
      </c>
      <c r="G122" t="s">
        <v>39</v>
      </c>
      <c r="H122" t="str">
        <f>_xlfn.XLOOKUP(Table6[[#This Row],[SKU]],tblProductMaster[SKU],tblProductMaster[Product])</f>
        <v>Detergent 1L</v>
      </c>
      <c r="I122">
        <v>894</v>
      </c>
      <c r="J122">
        <f>_xlfn.XLOOKUP(G122,[1]!tblProductMaster[SKU],[1]!tblProductMaster[List Price])</f>
        <v>8.49</v>
      </c>
      <c r="K122" t="s">
        <v>89</v>
      </c>
      <c r="L122" s="3">
        <v>0.1</v>
      </c>
      <c r="M122" s="9">
        <f t="shared" si="5"/>
        <v>7.641</v>
      </c>
      <c r="N122" s="8">
        <f t="shared" si="6"/>
        <v>6831.0540000000001</v>
      </c>
      <c r="O122" s="9">
        <f>_xlfn.XLOOKUP(G122,[1]!tblProductMaster[SKU],[1]!tblProductMaster[Unit Cost])</f>
        <v>3.8</v>
      </c>
      <c r="P122" s="8">
        <f t="shared" si="7"/>
        <v>3397.2</v>
      </c>
      <c r="Q122" s="8">
        <f t="shared" si="8"/>
        <v>3433.8540000000003</v>
      </c>
      <c r="R122" s="4">
        <f t="shared" si="9"/>
        <v>0.50268289490904339</v>
      </c>
      <c r="S122" t="s">
        <v>99</v>
      </c>
      <c r="T122">
        <f>Table6[[#This Row],[Discount]]*Table6[[#This Row],[List Price]]*Table6[[#This Row],[Units]]</f>
        <v>759.00600000000009</v>
      </c>
    </row>
    <row r="123" spans="1:20" x14ac:dyDescent="0.2">
      <c r="A123" t="s">
        <v>216</v>
      </c>
      <c r="B123" s="2">
        <v>46045.524862414517</v>
      </c>
      <c r="C123" t="s">
        <v>98</v>
      </c>
      <c r="D123" t="s">
        <v>104</v>
      </c>
      <c r="E123" t="s">
        <v>40</v>
      </c>
      <c r="F123" t="s">
        <v>15</v>
      </c>
      <c r="G123" t="s">
        <v>39</v>
      </c>
      <c r="H123" t="str">
        <f>_xlfn.XLOOKUP(Table6[[#This Row],[SKU]],tblProductMaster[SKU],tblProductMaster[Product])</f>
        <v>Detergent 1L</v>
      </c>
      <c r="I123">
        <v>723</v>
      </c>
      <c r="J123">
        <f>_xlfn.XLOOKUP(G123,[1]!tblProductMaster[SKU],[1]!tblProductMaster[List Price])</f>
        <v>8.49</v>
      </c>
      <c r="K123" t="s">
        <v>86</v>
      </c>
      <c r="L123" s="3">
        <v>0</v>
      </c>
      <c r="M123" s="9">
        <f t="shared" si="5"/>
        <v>8.49</v>
      </c>
      <c r="N123" s="8">
        <f t="shared" si="6"/>
        <v>6138.27</v>
      </c>
      <c r="O123" s="9">
        <f>_xlfn.XLOOKUP(G123,[1]!tblProductMaster[SKU],[1]!tblProductMaster[Unit Cost])</f>
        <v>3.8</v>
      </c>
      <c r="P123" s="8">
        <f t="shared" si="7"/>
        <v>2747.4</v>
      </c>
      <c r="Q123" s="8">
        <f t="shared" si="8"/>
        <v>3390.8700000000003</v>
      </c>
      <c r="R123" s="4">
        <f t="shared" si="9"/>
        <v>0.55241460541813903</v>
      </c>
      <c r="S123" t="s">
        <v>87</v>
      </c>
      <c r="T123">
        <f>Table6[[#This Row],[Discount]]*Table6[[#This Row],[List Price]]*Table6[[#This Row],[Units]]</f>
        <v>0</v>
      </c>
    </row>
    <row r="124" spans="1:20" x14ac:dyDescent="0.2">
      <c r="A124" t="s">
        <v>217</v>
      </c>
      <c r="B124" s="2">
        <v>46228.416857116237</v>
      </c>
      <c r="C124" t="s">
        <v>84</v>
      </c>
      <c r="D124" t="s">
        <v>96</v>
      </c>
      <c r="E124" t="s">
        <v>8</v>
      </c>
      <c r="F124" t="s">
        <v>18</v>
      </c>
      <c r="G124" t="s">
        <v>17</v>
      </c>
      <c r="H124" t="str">
        <f>_xlfn.XLOOKUP(Table6[[#This Row],[SKU]],tblProductMaster[SKU],tblProductMaster[Product])</f>
        <v>Anti-Dandruff Shampoo</v>
      </c>
      <c r="I124">
        <v>549</v>
      </c>
      <c r="J124">
        <f>_xlfn.XLOOKUP(G124,[1]!tblProductMaster[SKU],[1]!tblProductMaster[List Price])</f>
        <v>6.49</v>
      </c>
      <c r="K124" t="s">
        <v>86</v>
      </c>
      <c r="L124" s="3">
        <v>0</v>
      </c>
      <c r="M124" s="9">
        <f t="shared" si="5"/>
        <v>6.49</v>
      </c>
      <c r="N124" s="8">
        <f t="shared" si="6"/>
        <v>3563.01</v>
      </c>
      <c r="O124" s="9">
        <f>_xlfn.XLOOKUP(G124,[1]!tblProductMaster[SKU],[1]!tblProductMaster[Unit Cost])</f>
        <v>2.8</v>
      </c>
      <c r="P124" s="8">
        <f t="shared" si="7"/>
        <v>1537.1999999999998</v>
      </c>
      <c r="Q124" s="8">
        <f t="shared" si="8"/>
        <v>2025.8100000000004</v>
      </c>
      <c r="R124" s="4">
        <f t="shared" si="9"/>
        <v>0.5685670261941449</v>
      </c>
      <c r="S124" t="s">
        <v>87</v>
      </c>
      <c r="T124">
        <f>Table6[[#This Row],[Discount]]*Table6[[#This Row],[List Price]]*Table6[[#This Row],[Units]]</f>
        <v>0</v>
      </c>
    </row>
    <row r="125" spans="1:20" x14ac:dyDescent="0.2">
      <c r="A125" t="s">
        <v>218</v>
      </c>
      <c r="B125" s="2">
        <v>46299.275568928679</v>
      </c>
      <c r="C125" t="s">
        <v>93</v>
      </c>
      <c r="D125" t="s">
        <v>96</v>
      </c>
      <c r="E125" t="s">
        <v>40</v>
      </c>
      <c r="F125" t="s">
        <v>7</v>
      </c>
      <c r="G125" t="s">
        <v>44</v>
      </c>
      <c r="H125" t="str">
        <f>_xlfn.XLOOKUP(Table6[[#This Row],[SKU]],tblProductMaster[SKU],tblProductMaster[Product])</f>
        <v>Fabric Softener</v>
      </c>
      <c r="I125">
        <v>912</v>
      </c>
      <c r="J125">
        <f>_xlfn.XLOOKUP(G125,[1]!tblProductMaster[SKU],[1]!tblProductMaster[List Price])</f>
        <v>6.99</v>
      </c>
      <c r="K125" t="s">
        <v>89</v>
      </c>
      <c r="L125" s="3">
        <v>0.3</v>
      </c>
      <c r="M125" s="9">
        <f t="shared" si="5"/>
        <v>4.8929999999999998</v>
      </c>
      <c r="N125" s="8">
        <f t="shared" si="6"/>
        <v>4462.4160000000002</v>
      </c>
      <c r="O125" s="9">
        <f>_xlfn.XLOOKUP(G125,[1]!tblProductMaster[SKU],[1]!tblProductMaster[Unit Cost])</f>
        <v>2.9</v>
      </c>
      <c r="P125" s="8">
        <f t="shared" si="7"/>
        <v>2644.7999999999997</v>
      </c>
      <c r="Q125" s="8">
        <f t="shared" si="8"/>
        <v>1817.6160000000004</v>
      </c>
      <c r="R125" s="4">
        <f t="shared" si="9"/>
        <v>0.40731657469854904</v>
      </c>
      <c r="S125" t="s">
        <v>94</v>
      </c>
      <c r="T125">
        <f>Table6[[#This Row],[Discount]]*Table6[[#This Row],[List Price]]*Table6[[#This Row],[Units]]</f>
        <v>1912.4639999999999</v>
      </c>
    </row>
    <row r="126" spans="1:20" x14ac:dyDescent="0.2">
      <c r="A126" t="s">
        <v>219</v>
      </c>
      <c r="B126" s="2">
        <v>46060.089750484745</v>
      </c>
      <c r="C126" t="s">
        <v>93</v>
      </c>
      <c r="D126" t="s">
        <v>85</v>
      </c>
      <c r="E126" t="s">
        <v>25</v>
      </c>
      <c r="F126" t="s">
        <v>7</v>
      </c>
      <c r="G126" t="s">
        <v>31</v>
      </c>
      <c r="H126" t="str">
        <f>_xlfn.XLOOKUP(Table6[[#This Row],[SKU]],tblProductMaster[SKU],tblProductMaster[Product])</f>
        <v>Facial Cleanser</v>
      </c>
      <c r="I126">
        <v>1110</v>
      </c>
      <c r="J126">
        <f>_xlfn.XLOOKUP(G126,[1]!tblProductMaster[SKU],[1]!tblProductMaster[List Price])</f>
        <v>8.49</v>
      </c>
      <c r="K126" t="s">
        <v>89</v>
      </c>
      <c r="L126" s="3">
        <v>0.3</v>
      </c>
      <c r="M126" s="9">
        <f t="shared" si="5"/>
        <v>5.9429999999999996</v>
      </c>
      <c r="N126" s="8">
        <f t="shared" si="6"/>
        <v>6596.73</v>
      </c>
      <c r="O126" s="9">
        <f>_xlfn.XLOOKUP(G126,[1]!tblProductMaster[SKU],[1]!tblProductMaster[Unit Cost])</f>
        <v>3.5</v>
      </c>
      <c r="P126" s="8">
        <f t="shared" si="7"/>
        <v>3885</v>
      </c>
      <c r="Q126" s="8">
        <f t="shared" si="8"/>
        <v>2711.7299999999996</v>
      </c>
      <c r="R126" s="4">
        <f t="shared" si="9"/>
        <v>0.41107184923439338</v>
      </c>
      <c r="S126" t="s">
        <v>94</v>
      </c>
      <c r="T126">
        <f>Table6[[#This Row],[Discount]]*Table6[[#This Row],[List Price]]*Table6[[#This Row],[Units]]</f>
        <v>2827.17</v>
      </c>
    </row>
    <row r="127" spans="1:20" x14ac:dyDescent="0.2">
      <c r="A127" t="s">
        <v>220</v>
      </c>
      <c r="B127" s="2">
        <v>46354.773860614798</v>
      </c>
      <c r="C127" t="s">
        <v>93</v>
      </c>
      <c r="D127" t="s">
        <v>85</v>
      </c>
      <c r="E127" t="s">
        <v>25</v>
      </c>
      <c r="F127" t="s">
        <v>7</v>
      </c>
      <c r="G127" t="s">
        <v>24</v>
      </c>
      <c r="H127" t="str">
        <f>_xlfn.XLOOKUP(Table6[[#This Row],[SKU]],tblProductMaster[SKU],tblProductMaster[Product])</f>
        <v>Body Lotion 400ml</v>
      </c>
      <c r="I127">
        <v>617</v>
      </c>
      <c r="J127">
        <f>_xlfn.XLOOKUP(G127,[1]!tblProductMaster[SKU],[1]!tblProductMaster[List Price])</f>
        <v>7.99</v>
      </c>
      <c r="K127" t="s">
        <v>86</v>
      </c>
      <c r="L127" s="3">
        <v>0</v>
      </c>
      <c r="M127" s="9">
        <f t="shared" si="5"/>
        <v>7.99</v>
      </c>
      <c r="N127" s="8">
        <f t="shared" si="6"/>
        <v>4929.83</v>
      </c>
      <c r="O127" s="9">
        <f>_xlfn.XLOOKUP(G127,[1]!tblProductMaster[SKU],[1]!tblProductMaster[Unit Cost])</f>
        <v>3.1</v>
      </c>
      <c r="P127" s="8">
        <f t="shared" si="7"/>
        <v>1912.7</v>
      </c>
      <c r="Q127" s="8">
        <f t="shared" si="8"/>
        <v>3017.13</v>
      </c>
      <c r="R127" s="4">
        <f t="shared" si="9"/>
        <v>0.61201501877346687</v>
      </c>
      <c r="S127" t="s">
        <v>87</v>
      </c>
      <c r="T127">
        <f>Table6[[#This Row],[Discount]]*Table6[[#This Row],[List Price]]*Table6[[#This Row],[Units]]</f>
        <v>0</v>
      </c>
    </row>
    <row r="128" spans="1:20" x14ac:dyDescent="0.2">
      <c r="A128" t="s">
        <v>221</v>
      </c>
      <c r="B128" s="2">
        <v>46030.19847231661</v>
      </c>
      <c r="C128" t="s">
        <v>98</v>
      </c>
      <c r="D128" t="s">
        <v>85</v>
      </c>
      <c r="E128" t="s">
        <v>40</v>
      </c>
      <c r="F128" t="s">
        <v>18</v>
      </c>
      <c r="G128" t="s">
        <v>54</v>
      </c>
      <c r="H128" t="str">
        <f>_xlfn.XLOOKUP(Table6[[#This Row],[SKU]],tblProductMaster[SKU],tblProductMaster[Product])</f>
        <v>Fabric Softener</v>
      </c>
      <c r="I128">
        <v>1166</v>
      </c>
      <c r="J128">
        <f>_xlfn.XLOOKUP(G128,[1]!tblProductMaster[SKU],[1]!tblProductMaster[List Price])</f>
        <v>5.49</v>
      </c>
      <c r="K128" t="s">
        <v>89</v>
      </c>
      <c r="L128" s="3">
        <v>0.2</v>
      </c>
      <c r="M128" s="9">
        <f t="shared" si="5"/>
        <v>4.3920000000000003</v>
      </c>
      <c r="N128" s="8">
        <f t="shared" si="6"/>
        <v>5121.0720000000001</v>
      </c>
      <c r="O128" s="9">
        <f>_xlfn.XLOOKUP(G128,[1]!tblProductMaster[SKU],[1]!tblProductMaster[Unit Cost])</f>
        <v>2.4</v>
      </c>
      <c r="P128" s="8">
        <f t="shared" si="7"/>
        <v>2798.4</v>
      </c>
      <c r="Q128" s="8">
        <f t="shared" si="8"/>
        <v>2322.672</v>
      </c>
      <c r="R128" s="4">
        <f t="shared" si="9"/>
        <v>0.45355191256830601</v>
      </c>
      <c r="S128" t="s">
        <v>90</v>
      </c>
      <c r="T128">
        <f>Table6[[#This Row],[Discount]]*Table6[[#This Row],[List Price]]*Table6[[#This Row],[Units]]</f>
        <v>1280.268</v>
      </c>
    </row>
    <row r="129" spans="1:20" x14ac:dyDescent="0.2">
      <c r="A129" t="s">
        <v>222</v>
      </c>
      <c r="B129" s="2">
        <v>46072.438473854403</v>
      </c>
      <c r="C129" t="s">
        <v>84</v>
      </c>
      <c r="D129" t="s">
        <v>85</v>
      </c>
      <c r="E129" t="s">
        <v>40</v>
      </c>
      <c r="F129" t="s">
        <v>18</v>
      </c>
      <c r="G129" t="s">
        <v>54</v>
      </c>
      <c r="H129" t="str">
        <f>_xlfn.XLOOKUP(Table6[[#This Row],[SKU]],tblProductMaster[SKU],tblProductMaster[Product])</f>
        <v>Fabric Softener</v>
      </c>
      <c r="I129">
        <v>593</v>
      </c>
      <c r="J129">
        <f>_xlfn.XLOOKUP(G129,[1]!tblProductMaster[SKU],[1]!tblProductMaster[List Price])</f>
        <v>5.49</v>
      </c>
      <c r="K129" t="s">
        <v>86</v>
      </c>
      <c r="L129" s="3">
        <v>0</v>
      </c>
      <c r="M129" s="9">
        <f t="shared" si="5"/>
        <v>5.49</v>
      </c>
      <c r="N129" s="8">
        <f t="shared" si="6"/>
        <v>3255.57</v>
      </c>
      <c r="O129" s="9">
        <f>_xlfn.XLOOKUP(G129,[1]!tblProductMaster[SKU],[1]!tblProductMaster[Unit Cost])</f>
        <v>2.4</v>
      </c>
      <c r="P129" s="8">
        <f t="shared" si="7"/>
        <v>1423.2</v>
      </c>
      <c r="Q129" s="8">
        <f t="shared" si="8"/>
        <v>1832.3700000000001</v>
      </c>
      <c r="R129" s="4">
        <f t="shared" si="9"/>
        <v>0.56284153005464477</v>
      </c>
      <c r="S129" t="s">
        <v>87</v>
      </c>
      <c r="T129">
        <f>Table6[[#This Row],[Discount]]*Table6[[#This Row],[List Price]]*Table6[[#This Row],[Units]]</f>
        <v>0</v>
      </c>
    </row>
    <row r="130" spans="1:20" x14ac:dyDescent="0.2">
      <c r="A130" t="s">
        <v>223</v>
      </c>
      <c r="B130" s="2">
        <v>46221.011880502883</v>
      </c>
      <c r="C130" t="s">
        <v>84</v>
      </c>
      <c r="D130" t="s">
        <v>96</v>
      </c>
      <c r="E130" t="s">
        <v>40</v>
      </c>
      <c r="F130" t="s">
        <v>7</v>
      </c>
      <c r="G130" t="s">
        <v>44</v>
      </c>
      <c r="H130" t="str">
        <f>_xlfn.XLOOKUP(Table6[[#This Row],[SKU]],tblProductMaster[SKU],tblProductMaster[Product])</f>
        <v>Fabric Softener</v>
      </c>
      <c r="I130">
        <v>1082</v>
      </c>
      <c r="J130">
        <f>_xlfn.XLOOKUP(G130,[1]!tblProductMaster[SKU],[1]!tblProductMaster[List Price])</f>
        <v>6.99</v>
      </c>
      <c r="K130" t="s">
        <v>89</v>
      </c>
      <c r="L130" s="3">
        <v>0.3</v>
      </c>
      <c r="M130" s="9">
        <f t="shared" si="5"/>
        <v>4.8929999999999998</v>
      </c>
      <c r="N130" s="8">
        <f t="shared" si="6"/>
        <v>5294.2259999999997</v>
      </c>
      <c r="O130" s="9">
        <f>_xlfn.XLOOKUP(G130,[1]!tblProductMaster[SKU],[1]!tblProductMaster[Unit Cost])</f>
        <v>2.9</v>
      </c>
      <c r="P130" s="8">
        <f t="shared" si="7"/>
        <v>3137.7999999999997</v>
      </c>
      <c r="Q130" s="8">
        <f t="shared" si="8"/>
        <v>2156.4259999999999</v>
      </c>
      <c r="R130" s="4">
        <f t="shared" si="9"/>
        <v>0.40731657469854898</v>
      </c>
      <c r="S130" t="s">
        <v>99</v>
      </c>
      <c r="T130">
        <f>Table6[[#This Row],[Discount]]*Table6[[#This Row],[List Price]]*Table6[[#This Row],[Units]]</f>
        <v>2268.9540000000002</v>
      </c>
    </row>
    <row r="131" spans="1:20" x14ac:dyDescent="0.2">
      <c r="A131" t="s">
        <v>224</v>
      </c>
      <c r="B131" s="2">
        <v>46349.495647470176</v>
      </c>
      <c r="C131" t="s">
        <v>93</v>
      </c>
      <c r="D131" t="s">
        <v>96</v>
      </c>
      <c r="E131" t="s">
        <v>56</v>
      </c>
      <c r="F131" t="s">
        <v>7</v>
      </c>
      <c r="G131" t="s">
        <v>58</v>
      </c>
      <c r="H131" t="str">
        <f>_xlfn.XLOOKUP(Table6[[#This Row],[SKU]],tblProductMaster[SKU],tblProductMaster[Product])</f>
        <v>Whitening Toothpaste</v>
      </c>
      <c r="I131">
        <v>494</v>
      </c>
      <c r="J131">
        <f>_xlfn.XLOOKUP(G131,[1]!tblProductMaster[SKU],[1]!tblProductMaster[List Price])</f>
        <v>4.99</v>
      </c>
      <c r="K131" t="s">
        <v>86</v>
      </c>
      <c r="L131" s="3">
        <v>0</v>
      </c>
      <c r="M131" s="9">
        <f t="shared" ref="M131:M194" si="10">J131*(1-L131)</f>
        <v>4.99</v>
      </c>
      <c r="N131" s="8">
        <f t="shared" ref="N131:N194" si="11">M131*I131</f>
        <v>2465.06</v>
      </c>
      <c r="O131" s="9">
        <f>_xlfn.XLOOKUP(G131,[1]!tblProductMaster[SKU],[1]!tblProductMaster[Unit Cost])</f>
        <v>1.8</v>
      </c>
      <c r="P131" s="8">
        <f t="shared" ref="P131:P194" si="12">O131*I131</f>
        <v>889.2</v>
      </c>
      <c r="Q131" s="8">
        <f t="shared" ref="Q131:Q194" si="13">N131-P131</f>
        <v>1575.86</v>
      </c>
      <c r="R131" s="4">
        <f t="shared" ref="R131:R194" si="14">Q131/N131</f>
        <v>0.63927855711422843</v>
      </c>
      <c r="S131" t="s">
        <v>87</v>
      </c>
      <c r="T131">
        <f>Table6[[#This Row],[Discount]]*Table6[[#This Row],[List Price]]*Table6[[#This Row],[Units]]</f>
        <v>0</v>
      </c>
    </row>
    <row r="132" spans="1:20" x14ac:dyDescent="0.2">
      <c r="A132" t="s">
        <v>225</v>
      </c>
      <c r="B132" s="2">
        <v>46170.746000905667</v>
      </c>
      <c r="C132" t="s">
        <v>93</v>
      </c>
      <c r="D132" t="s">
        <v>104</v>
      </c>
      <c r="E132" t="s">
        <v>56</v>
      </c>
      <c r="F132" t="s">
        <v>18</v>
      </c>
      <c r="G132" t="s">
        <v>68</v>
      </c>
      <c r="H132" t="str">
        <f>_xlfn.XLOOKUP(Table6[[#This Row],[SKU]],tblProductMaster[SKU],tblProductMaster[Product])</f>
        <v>Kids Toothpaste</v>
      </c>
      <c r="I132">
        <v>439</v>
      </c>
      <c r="J132">
        <f>_xlfn.XLOOKUP(G132,[1]!tblProductMaster[SKU],[1]!tblProductMaster[List Price])</f>
        <v>3.29</v>
      </c>
      <c r="K132" t="s">
        <v>86</v>
      </c>
      <c r="L132" s="3">
        <v>0</v>
      </c>
      <c r="M132" s="9">
        <f t="shared" si="10"/>
        <v>3.29</v>
      </c>
      <c r="N132" s="8">
        <f t="shared" si="11"/>
        <v>1444.31</v>
      </c>
      <c r="O132" s="9">
        <f>_xlfn.XLOOKUP(G132,[1]!tblProductMaster[SKU],[1]!tblProductMaster[Unit Cost])</f>
        <v>1.1000000000000001</v>
      </c>
      <c r="P132" s="8">
        <f t="shared" si="12"/>
        <v>482.90000000000003</v>
      </c>
      <c r="Q132" s="8">
        <f t="shared" si="13"/>
        <v>961.40999999999985</v>
      </c>
      <c r="R132" s="4">
        <f t="shared" si="14"/>
        <v>0.66565349544072938</v>
      </c>
      <c r="S132" t="s">
        <v>87</v>
      </c>
      <c r="T132">
        <f>Table6[[#This Row],[Discount]]*Table6[[#This Row],[List Price]]*Table6[[#This Row],[Units]]</f>
        <v>0</v>
      </c>
    </row>
    <row r="133" spans="1:20" x14ac:dyDescent="0.2">
      <c r="A133" t="s">
        <v>226</v>
      </c>
      <c r="B133" s="2">
        <v>46318.69088700768</v>
      </c>
      <c r="C133" t="s">
        <v>98</v>
      </c>
      <c r="D133" t="s">
        <v>96</v>
      </c>
      <c r="E133" t="s">
        <v>25</v>
      </c>
      <c r="F133" t="s">
        <v>15</v>
      </c>
      <c r="G133" t="s">
        <v>29</v>
      </c>
      <c r="H133" t="str">
        <f>_xlfn.XLOOKUP(Table6[[#This Row],[SKU]],tblProductMaster[SKU],tblProductMaster[Product])</f>
        <v>Shower Gel 250ml</v>
      </c>
      <c r="I133">
        <v>721</v>
      </c>
      <c r="J133">
        <f>_xlfn.XLOOKUP(G133,[1]!tblProductMaster[SKU],[1]!tblProductMaster[List Price])</f>
        <v>4.49</v>
      </c>
      <c r="K133" t="s">
        <v>89</v>
      </c>
      <c r="L133" s="3">
        <v>0.3</v>
      </c>
      <c r="M133" s="9">
        <f t="shared" si="10"/>
        <v>3.1429999999999998</v>
      </c>
      <c r="N133" s="8">
        <f t="shared" si="11"/>
        <v>2266.1030000000001</v>
      </c>
      <c r="O133" s="9">
        <f>_xlfn.XLOOKUP(G133,[1]!tblProductMaster[SKU],[1]!tblProductMaster[Unit Cost])</f>
        <v>1.9</v>
      </c>
      <c r="P133" s="8">
        <f t="shared" si="12"/>
        <v>1369.8999999999999</v>
      </c>
      <c r="Q133" s="8">
        <f t="shared" si="13"/>
        <v>896.2030000000002</v>
      </c>
      <c r="R133" s="4">
        <f t="shared" si="14"/>
        <v>0.39548202354438444</v>
      </c>
      <c r="S133" t="s">
        <v>94</v>
      </c>
      <c r="T133">
        <f>Table6[[#This Row],[Discount]]*Table6[[#This Row],[List Price]]*Table6[[#This Row],[Units]]</f>
        <v>971.18700000000001</v>
      </c>
    </row>
    <row r="134" spans="1:20" x14ac:dyDescent="0.2">
      <c r="A134" t="s">
        <v>227</v>
      </c>
      <c r="B134" s="2">
        <v>46093.628286188956</v>
      </c>
      <c r="C134" t="s">
        <v>98</v>
      </c>
      <c r="D134" t="s">
        <v>96</v>
      </c>
      <c r="E134" t="s">
        <v>56</v>
      </c>
      <c r="F134" t="s">
        <v>7</v>
      </c>
      <c r="G134" t="s">
        <v>58</v>
      </c>
      <c r="H134" t="str">
        <f>_xlfn.XLOOKUP(Table6[[#This Row],[SKU]],tblProductMaster[SKU],tblProductMaster[Product])</f>
        <v>Whitening Toothpaste</v>
      </c>
      <c r="I134">
        <v>406</v>
      </c>
      <c r="J134">
        <f>_xlfn.XLOOKUP(G134,[1]!tblProductMaster[SKU],[1]!tblProductMaster[List Price])</f>
        <v>4.99</v>
      </c>
      <c r="K134" t="s">
        <v>89</v>
      </c>
      <c r="L134" s="3">
        <v>0.1</v>
      </c>
      <c r="M134" s="9">
        <f t="shared" si="10"/>
        <v>4.4910000000000005</v>
      </c>
      <c r="N134" s="8">
        <f t="shared" si="11"/>
        <v>1823.3460000000002</v>
      </c>
      <c r="O134" s="9">
        <f>_xlfn.XLOOKUP(G134,[1]!tblProductMaster[SKU],[1]!tblProductMaster[Unit Cost])</f>
        <v>1.8</v>
      </c>
      <c r="P134" s="8">
        <f t="shared" si="12"/>
        <v>730.80000000000007</v>
      </c>
      <c r="Q134" s="8">
        <f t="shared" si="13"/>
        <v>1092.5460000000003</v>
      </c>
      <c r="R134" s="4">
        <f t="shared" si="14"/>
        <v>0.59919839679358722</v>
      </c>
      <c r="S134" t="s">
        <v>99</v>
      </c>
      <c r="T134">
        <f>Table6[[#This Row],[Discount]]*Table6[[#This Row],[List Price]]*Table6[[#This Row],[Units]]</f>
        <v>202.59400000000002</v>
      </c>
    </row>
    <row r="135" spans="1:20" x14ac:dyDescent="0.2">
      <c r="A135" t="s">
        <v>228</v>
      </c>
      <c r="B135" s="2">
        <v>46134.533586342935</v>
      </c>
      <c r="C135" t="s">
        <v>93</v>
      </c>
      <c r="D135" t="s">
        <v>96</v>
      </c>
      <c r="E135" t="s">
        <v>56</v>
      </c>
      <c r="F135" t="s">
        <v>15</v>
      </c>
      <c r="G135" t="s">
        <v>62</v>
      </c>
      <c r="H135" t="str">
        <f>_xlfn.XLOOKUP(Table6[[#This Row],[SKU]],tblProductMaster[SKU],tblProductMaster[Product])</f>
        <v>Mouthwash 500ml</v>
      </c>
      <c r="I135">
        <v>695</v>
      </c>
      <c r="J135">
        <f>_xlfn.XLOOKUP(G135,[1]!tblProductMaster[SKU],[1]!tblProductMaster[List Price])</f>
        <v>5.99</v>
      </c>
      <c r="K135" t="s">
        <v>86</v>
      </c>
      <c r="L135" s="3">
        <v>0</v>
      </c>
      <c r="M135" s="9">
        <f t="shared" si="10"/>
        <v>5.99</v>
      </c>
      <c r="N135" s="8">
        <f t="shared" si="11"/>
        <v>4163.05</v>
      </c>
      <c r="O135" s="9">
        <f>_xlfn.XLOOKUP(G135,[1]!tblProductMaster[SKU],[1]!tblProductMaster[Unit Cost])</f>
        <v>2.4</v>
      </c>
      <c r="P135" s="8">
        <f t="shared" si="12"/>
        <v>1668</v>
      </c>
      <c r="Q135" s="8">
        <f t="shared" si="13"/>
        <v>2495.0500000000002</v>
      </c>
      <c r="R135" s="4">
        <f t="shared" si="14"/>
        <v>0.59933222036727885</v>
      </c>
      <c r="S135" t="s">
        <v>87</v>
      </c>
      <c r="T135">
        <f>Table6[[#This Row],[Discount]]*Table6[[#This Row],[List Price]]*Table6[[#This Row],[Units]]</f>
        <v>0</v>
      </c>
    </row>
    <row r="136" spans="1:20" x14ac:dyDescent="0.2">
      <c r="A136" t="s">
        <v>229</v>
      </c>
      <c r="B136" s="2">
        <v>46233.987937942533</v>
      </c>
      <c r="C136" t="s">
        <v>93</v>
      </c>
      <c r="D136" t="s">
        <v>96</v>
      </c>
      <c r="E136" t="s">
        <v>56</v>
      </c>
      <c r="F136" t="s">
        <v>15</v>
      </c>
      <c r="G136" t="s">
        <v>55</v>
      </c>
      <c r="H136" t="str">
        <f>_xlfn.XLOOKUP(Table6[[#This Row],[SKU]],tblProductMaster[SKU],tblProductMaster[Product])</f>
        <v>Toothpaste 75ml</v>
      </c>
      <c r="I136">
        <v>225</v>
      </c>
      <c r="J136">
        <f>_xlfn.XLOOKUP(G136,[1]!tblProductMaster[SKU],[1]!tblProductMaster[List Price])</f>
        <v>3.49</v>
      </c>
      <c r="K136" t="s">
        <v>86</v>
      </c>
      <c r="L136" s="3">
        <v>0</v>
      </c>
      <c r="M136" s="9">
        <f t="shared" si="10"/>
        <v>3.49</v>
      </c>
      <c r="N136" s="8">
        <f t="shared" si="11"/>
        <v>785.25</v>
      </c>
      <c r="O136" s="9">
        <f>_xlfn.XLOOKUP(G136,[1]!tblProductMaster[SKU],[1]!tblProductMaster[Unit Cost])</f>
        <v>1.2</v>
      </c>
      <c r="P136" s="8">
        <f t="shared" si="12"/>
        <v>270</v>
      </c>
      <c r="Q136" s="8">
        <f t="shared" si="13"/>
        <v>515.25</v>
      </c>
      <c r="R136" s="4">
        <f t="shared" si="14"/>
        <v>0.65616045845272208</v>
      </c>
      <c r="S136" t="s">
        <v>87</v>
      </c>
      <c r="T136">
        <f>Table6[[#This Row],[Discount]]*Table6[[#This Row],[List Price]]*Table6[[#This Row],[Units]]</f>
        <v>0</v>
      </c>
    </row>
    <row r="137" spans="1:20" x14ac:dyDescent="0.2">
      <c r="A137" t="s">
        <v>230</v>
      </c>
      <c r="B137" s="2">
        <v>46050.044748014006</v>
      </c>
      <c r="C137" t="s">
        <v>93</v>
      </c>
      <c r="D137" t="s">
        <v>104</v>
      </c>
      <c r="E137" t="s">
        <v>56</v>
      </c>
      <c r="F137" t="s">
        <v>7</v>
      </c>
      <c r="G137" t="s">
        <v>64</v>
      </c>
      <c r="H137" t="str">
        <f>_xlfn.XLOOKUP(Table6[[#This Row],[SKU]],tblProductMaster[SKU],tblProductMaster[Product])</f>
        <v>Toothbrush</v>
      </c>
      <c r="I137">
        <v>536</v>
      </c>
      <c r="J137">
        <f>_xlfn.XLOOKUP(G137,[1]!tblProductMaster[SKU],[1]!tblProductMaster[List Price])</f>
        <v>3.99</v>
      </c>
      <c r="K137" t="s">
        <v>86</v>
      </c>
      <c r="L137" s="3">
        <v>0</v>
      </c>
      <c r="M137" s="9">
        <f t="shared" si="10"/>
        <v>3.99</v>
      </c>
      <c r="N137" s="8">
        <f t="shared" si="11"/>
        <v>2138.6400000000003</v>
      </c>
      <c r="O137" s="9">
        <f>_xlfn.XLOOKUP(G137,[1]!tblProductMaster[SKU],[1]!tblProductMaster[Unit Cost])</f>
        <v>1.5</v>
      </c>
      <c r="P137" s="8">
        <f t="shared" si="12"/>
        <v>804</v>
      </c>
      <c r="Q137" s="8">
        <f t="shared" si="13"/>
        <v>1334.6400000000003</v>
      </c>
      <c r="R137" s="4">
        <f t="shared" si="14"/>
        <v>0.62406015037593987</v>
      </c>
      <c r="S137" t="s">
        <v>87</v>
      </c>
      <c r="T137">
        <f>Table6[[#This Row],[Discount]]*Table6[[#This Row],[List Price]]*Table6[[#This Row],[Units]]</f>
        <v>0</v>
      </c>
    </row>
    <row r="138" spans="1:20" x14ac:dyDescent="0.2">
      <c r="A138" t="s">
        <v>231</v>
      </c>
      <c r="B138" s="2">
        <v>46109.626821405975</v>
      </c>
      <c r="C138" t="s">
        <v>84</v>
      </c>
      <c r="D138" t="s">
        <v>104</v>
      </c>
      <c r="E138" t="s">
        <v>25</v>
      </c>
      <c r="F138" t="s">
        <v>7</v>
      </c>
      <c r="G138" t="s">
        <v>31</v>
      </c>
      <c r="H138" t="str">
        <f>_xlfn.XLOOKUP(Table6[[#This Row],[SKU]],tblProductMaster[SKU],tblProductMaster[Product])</f>
        <v>Facial Cleanser</v>
      </c>
      <c r="I138">
        <v>359</v>
      </c>
      <c r="J138">
        <f>_xlfn.XLOOKUP(G138,[1]!tblProductMaster[SKU],[1]!tblProductMaster[List Price])</f>
        <v>8.49</v>
      </c>
      <c r="K138" t="s">
        <v>86</v>
      </c>
      <c r="L138" s="3">
        <v>0</v>
      </c>
      <c r="M138" s="9">
        <f t="shared" si="10"/>
        <v>8.49</v>
      </c>
      <c r="N138" s="8">
        <f t="shared" si="11"/>
        <v>3047.91</v>
      </c>
      <c r="O138" s="9">
        <f>_xlfn.XLOOKUP(G138,[1]!tblProductMaster[SKU],[1]!tblProductMaster[Unit Cost])</f>
        <v>3.5</v>
      </c>
      <c r="P138" s="8">
        <f t="shared" si="12"/>
        <v>1256.5</v>
      </c>
      <c r="Q138" s="8">
        <f t="shared" si="13"/>
        <v>1791.4099999999999</v>
      </c>
      <c r="R138" s="4">
        <f t="shared" si="14"/>
        <v>0.58775029446407534</v>
      </c>
      <c r="S138" t="s">
        <v>87</v>
      </c>
      <c r="T138">
        <f>Table6[[#This Row],[Discount]]*Table6[[#This Row],[List Price]]*Table6[[#This Row],[Units]]</f>
        <v>0</v>
      </c>
    </row>
    <row r="139" spans="1:20" x14ac:dyDescent="0.2">
      <c r="A139" t="s">
        <v>232</v>
      </c>
      <c r="B139" s="2">
        <v>46237.209773556722</v>
      </c>
      <c r="C139" t="s">
        <v>93</v>
      </c>
      <c r="D139" t="s">
        <v>104</v>
      </c>
      <c r="E139" t="s">
        <v>56</v>
      </c>
      <c r="F139" t="s">
        <v>7</v>
      </c>
      <c r="G139" t="s">
        <v>66</v>
      </c>
      <c r="H139" t="str">
        <f>_xlfn.XLOOKUP(Table6[[#This Row],[SKU]],tblProductMaster[SKU],tblProductMaster[Product])</f>
        <v>Electric Brush Heads</v>
      </c>
      <c r="I139">
        <v>529</v>
      </c>
      <c r="J139">
        <f>_xlfn.XLOOKUP(G139,[1]!tblProductMaster[SKU],[1]!tblProductMaster[List Price])</f>
        <v>12.99</v>
      </c>
      <c r="K139" t="s">
        <v>86</v>
      </c>
      <c r="L139" s="3">
        <v>0</v>
      </c>
      <c r="M139" s="9">
        <f t="shared" si="10"/>
        <v>12.99</v>
      </c>
      <c r="N139" s="8">
        <f t="shared" si="11"/>
        <v>6871.71</v>
      </c>
      <c r="O139" s="9">
        <f>_xlfn.XLOOKUP(G139,[1]!tblProductMaster[SKU],[1]!tblProductMaster[Unit Cost])</f>
        <v>5.2</v>
      </c>
      <c r="P139" s="8">
        <f t="shared" si="12"/>
        <v>2750.8</v>
      </c>
      <c r="Q139" s="8">
        <f t="shared" si="13"/>
        <v>4120.91</v>
      </c>
      <c r="R139" s="4">
        <f t="shared" si="14"/>
        <v>0.59969207082371057</v>
      </c>
      <c r="S139" t="s">
        <v>87</v>
      </c>
      <c r="T139">
        <f>Table6[[#This Row],[Discount]]*Table6[[#This Row],[List Price]]*Table6[[#This Row],[Units]]</f>
        <v>0</v>
      </c>
    </row>
    <row r="140" spans="1:20" x14ac:dyDescent="0.2">
      <c r="A140" t="s">
        <v>233</v>
      </c>
      <c r="B140" s="2">
        <v>46102.465563536774</v>
      </c>
      <c r="C140" t="s">
        <v>84</v>
      </c>
      <c r="D140" t="s">
        <v>85</v>
      </c>
      <c r="E140" t="s">
        <v>56</v>
      </c>
      <c r="F140" t="s">
        <v>15</v>
      </c>
      <c r="G140" t="s">
        <v>62</v>
      </c>
      <c r="H140" t="str">
        <f>_xlfn.XLOOKUP(Table6[[#This Row],[SKU]],tblProductMaster[SKU],tblProductMaster[Product])</f>
        <v>Mouthwash 500ml</v>
      </c>
      <c r="I140">
        <v>366</v>
      </c>
      <c r="J140">
        <f>_xlfn.XLOOKUP(G140,[1]!tblProductMaster[SKU],[1]!tblProductMaster[List Price])</f>
        <v>5.99</v>
      </c>
      <c r="K140" t="s">
        <v>86</v>
      </c>
      <c r="L140" s="3">
        <v>0</v>
      </c>
      <c r="M140" s="9">
        <f t="shared" si="10"/>
        <v>5.99</v>
      </c>
      <c r="N140" s="8">
        <f t="shared" si="11"/>
        <v>2192.34</v>
      </c>
      <c r="O140" s="9">
        <f>_xlfn.XLOOKUP(G140,[1]!tblProductMaster[SKU],[1]!tblProductMaster[Unit Cost])</f>
        <v>2.4</v>
      </c>
      <c r="P140" s="8">
        <f t="shared" si="12"/>
        <v>878.4</v>
      </c>
      <c r="Q140" s="8">
        <f t="shared" si="13"/>
        <v>1313.94</v>
      </c>
      <c r="R140" s="4">
        <f t="shared" si="14"/>
        <v>0.59933222036727873</v>
      </c>
      <c r="S140" t="s">
        <v>87</v>
      </c>
      <c r="T140">
        <f>Table6[[#This Row],[Discount]]*Table6[[#This Row],[List Price]]*Table6[[#This Row],[Units]]</f>
        <v>0</v>
      </c>
    </row>
    <row r="141" spans="1:20" x14ac:dyDescent="0.2">
      <c r="A141" t="s">
        <v>234</v>
      </c>
      <c r="B141" s="2">
        <v>46315.691189025987</v>
      </c>
      <c r="C141" t="s">
        <v>84</v>
      </c>
      <c r="D141" t="s">
        <v>96</v>
      </c>
      <c r="E141" t="s">
        <v>56</v>
      </c>
      <c r="F141" t="s">
        <v>18</v>
      </c>
      <c r="G141" t="s">
        <v>60</v>
      </c>
      <c r="H141" t="str">
        <f>_xlfn.XLOOKUP(Table6[[#This Row],[SKU]],tblProductMaster[SKU],tblProductMaster[Product])</f>
        <v>Sensitive Toothpaste</v>
      </c>
      <c r="I141">
        <v>630</v>
      </c>
      <c r="J141">
        <f>_xlfn.XLOOKUP(G141,[1]!tblProductMaster[SKU],[1]!tblProductMaster[List Price])</f>
        <v>4.49</v>
      </c>
      <c r="K141" t="s">
        <v>86</v>
      </c>
      <c r="L141" s="3">
        <v>0</v>
      </c>
      <c r="M141" s="9">
        <f t="shared" si="10"/>
        <v>4.49</v>
      </c>
      <c r="N141" s="8">
        <f t="shared" si="11"/>
        <v>2828.7000000000003</v>
      </c>
      <c r="O141" s="9">
        <f>_xlfn.XLOOKUP(G141,[1]!tblProductMaster[SKU],[1]!tblProductMaster[Unit Cost])</f>
        <v>1.7</v>
      </c>
      <c r="P141" s="8">
        <f t="shared" si="12"/>
        <v>1071</v>
      </c>
      <c r="Q141" s="8">
        <f t="shared" si="13"/>
        <v>1757.7000000000003</v>
      </c>
      <c r="R141" s="4">
        <f t="shared" si="14"/>
        <v>0.6213808463251671</v>
      </c>
      <c r="S141" t="s">
        <v>87</v>
      </c>
      <c r="T141">
        <f>Table6[[#This Row],[Discount]]*Table6[[#This Row],[List Price]]*Table6[[#This Row],[Units]]</f>
        <v>0</v>
      </c>
    </row>
    <row r="142" spans="1:20" x14ac:dyDescent="0.2">
      <c r="A142" t="s">
        <v>235</v>
      </c>
      <c r="B142" s="2">
        <v>46113.118734785152</v>
      </c>
      <c r="C142" t="s">
        <v>93</v>
      </c>
      <c r="D142" t="s">
        <v>104</v>
      </c>
      <c r="E142" t="s">
        <v>40</v>
      </c>
      <c r="F142" t="s">
        <v>15</v>
      </c>
      <c r="G142" t="s">
        <v>46</v>
      </c>
      <c r="H142" t="str">
        <f>_xlfn.XLOOKUP(Table6[[#This Row],[SKU]],tblProductMaster[SKU],tblProductMaster[Product])</f>
        <v>Stain Remover</v>
      </c>
      <c r="I142">
        <v>473</v>
      </c>
      <c r="J142">
        <f>_xlfn.XLOOKUP(G142,[1]!tblProductMaster[SKU],[1]!tblProductMaster[List Price])</f>
        <v>5.99</v>
      </c>
      <c r="K142" t="s">
        <v>86</v>
      </c>
      <c r="L142" s="3">
        <v>0</v>
      </c>
      <c r="M142" s="9">
        <f t="shared" si="10"/>
        <v>5.99</v>
      </c>
      <c r="N142" s="8">
        <f t="shared" si="11"/>
        <v>2833.27</v>
      </c>
      <c r="O142" s="9">
        <f>_xlfn.XLOOKUP(G142,[1]!tblProductMaster[SKU],[1]!tblProductMaster[Unit Cost])</f>
        <v>2.5</v>
      </c>
      <c r="P142" s="8">
        <f t="shared" si="12"/>
        <v>1182.5</v>
      </c>
      <c r="Q142" s="8">
        <f t="shared" si="13"/>
        <v>1650.77</v>
      </c>
      <c r="R142" s="4">
        <f t="shared" si="14"/>
        <v>0.58263772954924875</v>
      </c>
      <c r="S142" t="s">
        <v>87</v>
      </c>
      <c r="T142">
        <f>Table6[[#This Row],[Discount]]*Table6[[#This Row],[List Price]]*Table6[[#This Row],[Units]]</f>
        <v>0</v>
      </c>
    </row>
    <row r="143" spans="1:20" x14ac:dyDescent="0.2">
      <c r="A143" t="s">
        <v>236</v>
      </c>
      <c r="B143" s="2">
        <v>46191.604055454052</v>
      </c>
      <c r="C143" t="s">
        <v>98</v>
      </c>
      <c r="D143" t="s">
        <v>96</v>
      </c>
      <c r="E143" t="s">
        <v>40</v>
      </c>
      <c r="F143" t="s">
        <v>18</v>
      </c>
      <c r="G143" t="s">
        <v>42</v>
      </c>
      <c r="H143" t="str">
        <f>_xlfn.XLOOKUP(Table6[[#This Row],[SKU]],tblProductMaster[SKU],tblProductMaster[Product])</f>
        <v>Detergent Capsules</v>
      </c>
      <c r="I143">
        <v>495</v>
      </c>
      <c r="J143">
        <f>_xlfn.XLOOKUP(G143,[1]!tblProductMaster[SKU],[1]!tblProductMaster[List Price])</f>
        <v>11.99</v>
      </c>
      <c r="K143" t="s">
        <v>86</v>
      </c>
      <c r="L143" s="3">
        <v>0</v>
      </c>
      <c r="M143" s="9">
        <f t="shared" si="10"/>
        <v>11.99</v>
      </c>
      <c r="N143" s="8">
        <f t="shared" si="11"/>
        <v>5935.05</v>
      </c>
      <c r="O143" s="9">
        <f>_xlfn.XLOOKUP(G143,[1]!tblProductMaster[SKU],[1]!tblProductMaster[Unit Cost])</f>
        <v>5.2</v>
      </c>
      <c r="P143" s="8">
        <f t="shared" si="12"/>
        <v>2574</v>
      </c>
      <c r="Q143" s="8">
        <f t="shared" si="13"/>
        <v>3361.05</v>
      </c>
      <c r="R143" s="4">
        <f t="shared" si="14"/>
        <v>0.56630525437864887</v>
      </c>
      <c r="S143" t="s">
        <v>87</v>
      </c>
      <c r="T143">
        <f>Table6[[#This Row],[Discount]]*Table6[[#This Row],[List Price]]*Table6[[#This Row],[Units]]</f>
        <v>0</v>
      </c>
    </row>
    <row r="144" spans="1:20" x14ac:dyDescent="0.2">
      <c r="A144" t="s">
        <v>237</v>
      </c>
      <c r="B144" s="2">
        <v>46189.118763210354</v>
      </c>
      <c r="C144" t="s">
        <v>93</v>
      </c>
      <c r="D144" t="s">
        <v>96</v>
      </c>
      <c r="E144" t="s">
        <v>56</v>
      </c>
      <c r="F144" t="s">
        <v>7</v>
      </c>
      <c r="G144" t="s">
        <v>66</v>
      </c>
      <c r="H144" t="str">
        <f>_xlfn.XLOOKUP(Table6[[#This Row],[SKU]],tblProductMaster[SKU],tblProductMaster[Product])</f>
        <v>Electric Brush Heads</v>
      </c>
      <c r="I144">
        <v>672</v>
      </c>
      <c r="J144">
        <f>_xlfn.XLOOKUP(G144,[1]!tblProductMaster[SKU],[1]!tblProductMaster[List Price])</f>
        <v>12.99</v>
      </c>
      <c r="K144" t="s">
        <v>89</v>
      </c>
      <c r="L144" s="3">
        <v>0.1</v>
      </c>
      <c r="M144" s="9">
        <f t="shared" si="10"/>
        <v>11.691000000000001</v>
      </c>
      <c r="N144" s="8">
        <f t="shared" si="11"/>
        <v>7856.3520000000008</v>
      </c>
      <c r="O144" s="9">
        <f>_xlfn.XLOOKUP(G144,[1]!tblProductMaster[SKU],[1]!tblProductMaster[Unit Cost])</f>
        <v>5.2</v>
      </c>
      <c r="P144" s="8">
        <f t="shared" si="12"/>
        <v>3494.4</v>
      </c>
      <c r="Q144" s="8">
        <f t="shared" si="13"/>
        <v>4361.9520000000011</v>
      </c>
      <c r="R144" s="4">
        <f t="shared" si="14"/>
        <v>0.55521341202634511</v>
      </c>
      <c r="S144" t="s">
        <v>90</v>
      </c>
      <c r="T144">
        <f>Table6[[#This Row],[Discount]]*Table6[[#This Row],[List Price]]*Table6[[#This Row],[Units]]</f>
        <v>872.92800000000011</v>
      </c>
    </row>
    <row r="145" spans="1:20" x14ac:dyDescent="0.2">
      <c r="A145" t="s">
        <v>238</v>
      </c>
      <c r="B145" s="2">
        <v>46379.902221754957</v>
      </c>
      <c r="C145" t="s">
        <v>98</v>
      </c>
      <c r="D145" t="s">
        <v>104</v>
      </c>
      <c r="E145" t="s">
        <v>25</v>
      </c>
      <c r="F145" t="s">
        <v>18</v>
      </c>
      <c r="G145" t="s">
        <v>37</v>
      </c>
      <c r="H145" t="str">
        <f>_xlfn.XLOOKUP(Table6[[#This Row],[SKU]],tblProductMaster[SKU],tblProductMaster[Product])</f>
        <v>Body Wash</v>
      </c>
      <c r="I145">
        <v>638</v>
      </c>
      <c r="J145">
        <f>_xlfn.XLOOKUP(G145,[1]!tblProductMaster[SKU],[1]!tblProductMaster[List Price])</f>
        <v>5.49</v>
      </c>
      <c r="K145" t="s">
        <v>86</v>
      </c>
      <c r="L145" s="3">
        <v>0</v>
      </c>
      <c r="M145" s="9">
        <f t="shared" si="10"/>
        <v>5.49</v>
      </c>
      <c r="N145" s="8">
        <f t="shared" si="11"/>
        <v>3502.6200000000003</v>
      </c>
      <c r="O145" s="9">
        <f>_xlfn.XLOOKUP(G145,[1]!tblProductMaster[SKU],[1]!tblProductMaster[Unit Cost])</f>
        <v>2.2999999999999998</v>
      </c>
      <c r="P145" s="8">
        <f t="shared" si="12"/>
        <v>1467.3999999999999</v>
      </c>
      <c r="Q145" s="8">
        <f t="shared" si="13"/>
        <v>2035.2200000000005</v>
      </c>
      <c r="R145" s="4">
        <f t="shared" si="14"/>
        <v>0.58105646630236807</v>
      </c>
      <c r="S145" t="s">
        <v>87</v>
      </c>
      <c r="T145">
        <f>Table6[[#This Row],[Discount]]*Table6[[#This Row],[List Price]]*Table6[[#This Row],[Units]]</f>
        <v>0</v>
      </c>
    </row>
    <row r="146" spans="1:20" x14ac:dyDescent="0.2">
      <c r="A146" t="s">
        <v>239</v>
      </c>
      <c r="B146" s="2">
        <v>46044.56876633934</v>
      </c>
      <c r="C146" t="s">
        <v>93</v>
      </c>
      <c r="D146" t="s">
        <v>85</v>
      </c>
      <c r="E146" t="s">
        <v>8</v>
      </c>
      <c r="F146" t="s">
        <v>18</v>
      </c>
      <c r="G146" t="s">
        <v>17</v>
      </c>
      <c r="H146" t="str">
        <f>_xlfn.XLOOKUP(Table6[[#This Row],[SKU]],tblProductMaster[SKU],tblProductMaster[Product])</f>
        <v>Anti-Dandruff Shampoo</v>
      </c>
      <c r="I146">
        <v>784</v>
      </c>
      <c r="J146">
        <f>_xlfn.XLOOKUP(G146,[1]!tblProductMaster[SKU],[1]!tblProductMaster[List Price])</f>
        <v>6.49</v>
      </c>
      <c r="K146" t="s">
        <v>86</v>
      </c>
      <c r="L146" s="3">
        <v>0</v>
      </c>
      <c r="M146" s="9">
        <f t="shared" si="10"/>
        <v>6.49</v>
      </c>
      <c r="N146" s="8">
        <f t="shared" si="11"/>
        <v>5088.16</v>
      </c>
      <c r="O146" s="9">
        <f>_xlfn.XLOOKUP(G146,[1]!tblProductMaster[SKU],[1]!tblProductMaster[Unit Cost])</f>
        <v>2.8</v>
      </c>
      <c r="P146" s="8">
        <f t="shared" si="12"/>
        <v>2195.1999999999998</v>
      </c>
      <c r="Q146" s="8">
        <f t="shared" si="13"/>
        <v>2892.96</v>
      </c>
      <c r="R146" s="4">
        <f t="shared" si="14"/>
        <v>0.5685670261941449</v>
      </c>
      <c r="S146" t="s">
        <v>87</v>
      </c>
      <c r="T146">
        <f>Table6[[#This Row],[Discount]]*Table6[[#This Row],[List Price]]*Table6[[#This Row],[Units]]</f>
        <v>0</v>
      </c>
    </row>
    <row r="147" spans="1:20" x14ac:dyDescent="0.2">
      <c r="A147" t="s">
        <v>240</v>
      </c>
      <c r="B147" s="2">
        <v>46098.772608123625</v>
      </c>
      <c r="C147" t="s">
        <v>84</v>
      </c>
      <c r="D147" t="s">
        <v>96</v>
      </c>
      <c r="E147" t="s">
        <v>40</v>
      </c>
      <c r="F147" t="s">
        <v>18</v>
      </c>
      <c r="G147" t="s">
        <v>42</v>
      </c>
      <c r="H147" t="str">
        <f>_xlfn.XLOOKUP(Table6[[#This Row],[SKU]],tblProductMaster[SKU],tblProductMaster[Product])</f>
        <v>Detergent Capsules</v>
      </c>
      <c r="I147">
        <v>401</v>
      </c>
      <c r="J147">
        <f>_xlfn.XLOOKUP(G147,[1]!tblProductMaster[SKU],[1]!tblProductMaster[List Price])</f>
        <v>11.99</v>
      </c>
      <c r="K147" t="s">
        <v>86</v>
      </c>
      <c r="L147" s="3">
        <v>0</v>
      </c>
      <c r="M147" s="9">
        <f t="shared" si="10"/>
        <v>11.99</v>
      </c>
      <c r="N147" s="8">
        <f t="shared" si="11"/>
        <v>4807.99</v>
      </c>
      <c r="O147" s="9">
        <f>_xlfn.XLOOKUP(G147,[1]!tblProductMaster[SKU],[1]!tblProductMaster[Unit Cost])</f>
        <v>5.2</v>
      </c>
      <c r="P147" s="8">
        <f t="shared" si="12"/>
        <v>2085.2000000000003</v>
      </c>
      <c r="Q147" s="8">
        <f t="shared" si="13"/>
        <v>2722.7899999999995</v>
      </c>
      <c r="R147" s="4">
        <f t="shared" si="14"/>
        <v>0.56630525437864876</v>
      </c>
      <c r="S147" t="s">
        <v>87</v>
      </c>
      <c r="T147">
        <f>Table6[[#This Row],[Discount]]*Table6[[#This Row],[List Price]]*Table6[[#This Row],[Units]]</f>
        <v>0</v>
      </c>
    </row>
    <row r="148" spans="1:20" x14ac:dyDescent="0.2">
      <c r="A148" t="s">
        <v>241</v>
      </c>
      <c r="B148" s="2">
        <v>46224.136950270091</v>
      </c>
      <c r="C148" t="s">
        <v>84</v>
      </c>
      <c r="D148" t="s">
        <v>85</v>
      </c>
      <c r="E148" t="s">
        <v>40</v>
      </c>
      <c r="F148" t="s">
        <v>7</v>
      </c>
      <c r="G148" t="s">
        <v>44</v>
      </c>
      <c r="H148" t="str">
        <f>_xlfn.XLOOKUP(Table6[[#This Row],[SKU]],tblProductMaster[SKU],tblProductMaster[Product])</f>
        <v>Fabric Softener</v>
      </c>
      <c r="I148">
        <v>731</v>
      </c>
      <c r="J148">
        <f>_xlfn.XLOOKUP(G148,[1]!tblProductMaster[SKU],[1]!tblProductMaster[List Price])</f>
        <v>6.99</v>
      </c>
      <c r="K148" t="s">
        <v>86</v>
      </c>
      <c r="L148" s="3">
        <v>0</v>
      </c>
      <c r="M148" s="9">
        <f t="shared" si="10"/>
        <v>6.99</v>
      </c>
      <c r="N148" s="8">
        <f t="shared" si="11"/>
        <v>5109.6900000000005</v>
      </c>
      <c r="O148" s="9">
        <f>_xlfn.XLOOKUP(G148,[1]!tblProductMaster[SKU],[1]!tblProductMaster[Unit Cost])</f>
        <v>2.9</v>
      </c>
      <c r="P148" s="8">
        <f t="shared" si="12"/>
        <v>2119.9</v>
      </c>
      <c r="Q148" s="8">
        <f t="shared" si="13"/>
        <v>2989.7900000000004</v>
      </c>
      <c r="R148" s="4">
        <f t="shared" si="14"/>
        <v>0.58512160228898424</v>
      </c>
      <c r="S148" t="s">
        <v>87</v>
      </c>
      <c r="T148">
        <f>Table6[[#This Row],[Discount]]*Table6[[#This Row],[List Price]]*Table6[[#This Row],[Units]]</f>
        <v>0</v>
      </c>
    </row>
    <row r="149" spans="1:20" x14ac:dyDescent="0.2">
      <c r="A149" t="s">
        <v>242</v>
      </c>
      <c r="B149" s="2">
        <v>46051.310492496617</v>
      </c>
      <c r="C149" t="s">
        <v>93</v>
      </c>
      <c r="D149" t="s">
        <v>85</v>
      </c>
      <c r="E149" t="s">
        <v>56</v>
      </c>
      <c r="F149" t="s">
        <v>15</v>
      </c>
      <c r="G149" t="s">
        <v>55</v>
      </c>
      <c r="H149" t="str">
        <f>_xlfn.XLOOKUP(Table6[[#This Row],[SKU]],tblProductMaster[SKU],tblProductMaster[Product])</f>
        <v>Toothpaste 75ml</v>
      </c>
      <c r="I149">
        <v>744</v>
      </c>
      <c r="J149">
        <f>_xlfn.XLOOKUP(G149,[1]!tblProductMaster[SKU],[1]!tblProductMaster[List Price])</f>
        <v>3.49</v>
      </c>
      <c r="K149" t="s">
        <v>86</v>
      </c>
      <c r="L149" s="3">
        <v>0</v>
      </c>
      <c r="M149" s="9">
        <f t="shared" si="10"/>
        <v>3.49</v>
      </c>
      <c r="N149" s="8">
        <f t="shared" si="11"/>
        <v>2596.56</v>
      </c>
      <c r="O149" s="9">
        <f>_xlfn.XLOOKUP(G149,[1]!tblProductMaster[SKU],[1]!tblProductMaster[Unit Cost])</f>
        <v>1.2</v>
      </c>
      <c r="P149" s="8">
        <f t="shared" si="12"/>
        <v>892.8</v>
      </c>
      <c r="Q149" s="8">
        <f t="shared" si="13"/>
        <v>1703.76</v>
      </c>
      <c r="R149" s="4">
        <f t="shared" si="14"/>
        <v>0.65616045845272208</v>
      </c>
      <c r="S149" t="s">
        <v>87</v>
      </c>
      <c r="T149">
        <f>Table6[[#This Row],[Discount]]*Table6[[#This Row],[List Price]]*Table6[[#This Row],[Units]]</f>
        <v>0</v>
      </c>
    </row>
    <row r="150" spans="1:20" x14ac:dyDescent="0.2">
      <c r="A150" t="s">
        <v>243</v>
      </c>
      <c r="B150" s="2">
        <v>46178.371235817976</v>
      </c>
      <c r="C150" t="s">
        <v>98</v>
      </c>
      <c r="D150" t="s">
        <v>85</v>
      </c>
      <c r="E150" t="s">
        <v>8</v>
      </c>
      <c r="F150" t="s">
        <v>15</v>
      </c>
      <c r="G150" t="s">
        <v>16</v>
      </c>
      <c r="H150" t="str">
        <f>_xlfn.XLOOKUP(Table6[[#This Row],[SKU]],tblProductMaster[SKU],tblProductMaster[Product])</f>
        <v>Conditioner 250ml</v>
      </c>
      <c r="I150">
        <v>350</v>
      </c>
      <c r="J150">
        <f>_xlfn.XLOOKUP(G150,[1]!tblProductMaster[SKU],[1]!tblProductMaster[List Price])</f>
        <v>4.79</v>
      </c>
      <c r="K150" t="s">
        <v>86</v>
      </c>
      <c r="L150" s="3">
        <v>0</v>
      </c>
      <c r="M150" s="9">
        <f t="shared" si="10"/>
        <v>4.79</v>
      </c>
      <c r="N150" s="8">
        <f t="shared" si="11"/>
        <v>1676.5</v>
      </c>
      <c r="O150" s="9">
        <f>_xlfn.XLOOKUP(G150,[1]!tblProductMaster[SKU],[1]!tblProductMaster[Unit Cost])</f>
        <v>2</v>
      </c>
      <c r="P150" s="8">
        <f t="shared" si="12"/>
        <v>700</v>
      </c>
      <c r="Q150" s="8">
        <f t="shared" si="13"/>
        <v>976.5</v>
      </c>
      <c r="R150" s="4">
        <f t="shared" si="14"/>
        <v>0.58246346555323592</v>
      </c>
      <c r="S150" t="s">
        <v>87</v>
      </c>
      <c r="T150">
        <f>Table6[[#This Row],[Discount]]*Table6[[#This Row],[List Price]]*Table6[[#This Row],[Units]]</f>
        <v>0</v>
      </c>
    </row>
    <row r="151" spans="1:20" x14ac:dyDescent="0.2">
      <c r="A151" t="s">
        <v>244</v>
      </c>
      <c r="B151" s="2">
        <v>46203.661061243518</v>
      </c>
      <c r="C151" t="s">
        <v>93</v>
      </c>
      <c r="D151" t="s">
        <v>104</v>
      </c>
      <c r="E151" t="s">
        <v>40</v>
      </c>
      <c r="F151" t="s">
        <v>7</v>
      </c>
      <c r="G151" t="s">
        <v>44</v>
      </c>
      <c r="H151" t="str">
        <f>_xlfn.XLOOKUP(Table6[[#This Row],[SKU]],tblProductMaster[SKU],tblProductMaster[Product])</f>
        <v>Fabric Softener</v>
      </c>
      <c r="I151">
        <v>224</v>
      </c>
      <c r="J151">
        <f>_xlfn.XLOOKUP(G151,[1]!tblProductMaster[SKU],[1]!tblProductMaster[List Price])</f>
        <v>6.99</v>
      </c>
      <c r="K151" t="s">
        <v>86</v>
      </c>
      <c r="L151" s="3">
        <v>0</v>
      </c>
      <c r="M151" s="9">
        <f t="shared" si="10"/>
        <v>6.99</v>
      </c>
      <c r="N151" s="8">
        <f t="shared" si="11"/>
        <v>1565.76</v>
      </c>
      <c r="O151" s="9">
        <f>_xlfn.XLOOKUP(G151,[1]!tblProductMaster[SKU],[1]!tblProductMaster[Unit Cost])</f>
        <v>2.9</v>
      </c>
      <c r="P151" s="8">
        <f t="shared" si="12"/>
        <v>649.6</v>
      </c>
      <c r="Q151" s="8">
        <f t="shared" si="13"/>
        <v>916.16</v>
      </c>
      <c r="R151" s="4">
        <f t="shared" si="14"/>
        <v>0.58512160228898424</v>
      </c>
      <c r="S151" t="s">
        <v>87</v>
      </c>
      <c r="T151">
        <f>Table6[[#This Row],[Discount]]*Table6[[#This Row],[List Price]]*Table6[[#This Row],[Units]]</f>
        <v>0</v>
      </c>
    </row>
    <row r="152" spans="1:20" x14ac:dyDescent="0.2">
      <c r="A152" t="s">
        <v>245</v>
      </c>
      <c r="B152" s="2">
        <v>46333.274272332405</v>
      </c>
      <c r="C152" t="s">
        <v>84</v>
      </c>
      <c r="D152" t="s">
        <v>96</v>
      </c>
      <c r="E152" t="s">
        <v>8</v>
      </c>
      <c r="F152" t="s">
        <v>18</v>
      </c>
      <c r="G152" t="s">
        <v>20</v>
      </c>
      <c r="H152" t="str">
        <f>_xlfn.XLOOKUP(Table6[[#This Row],[SKU]],tblProductMaster[SKU],tblProductMaster[Product])</f>
        <v>Hair Oil</v>
      </c>
      <c r="I152">
        <v>699</v>
      </c>
      <c r="J152">
        <f>_xlfn.XLOOKUP(G152,[1]!tblProductMaster[SKU],[1]!tblProductMaster[List Price])</f>
        <v>7.49</v>
      </c>
      <c r="K152" t="s">
        <v>86</v>
      </c>
      <c r="L152" s="3">
        <v>0</v>
      </c>
      <c r="M152" s="9">
        <f t="shared" si="10"/>
        <v>7.49</v>
      </c>
      <c r="N152" s="8">
        <f t="shared" si="11"/>
        <v>5235.51</v>
      </c>
      <c r="O152" s="9">
        <f>_xlfn.XLOOKUP(G152,[1]!tblProductMaster[SKU],[1]!tblProductMaster[Unit Cost])</f>
        <v>3.1</v>
      </c>
      <c r="P152" s="8">
        <f t="shared" si="12"/>
        <v>2166.9</v>
      </c>
      <c r="Q152" s="8">
        <f t="shared" si="13"/>
        <v>3068.61</v>
      </c>
      <c r="R152" s="4">
        <f t="shared" si="14"/>
        <v>0.58611481975967961</v>
      </c>
      <c r="S152" t="s">
        <v>87</v>
      </c>
      <c r="T152">
        <f>Table6[[#This Row],[Discount]]*Table6[[#This Row],[List Price]]*Table6[[#This Row],[Units]]</f>
        <v>0</v>
      </c>
    </row>
    <row r="153" spans="1:20" x14ac:dyDescent="0.2">
      <c r="A153" t="s">
        <v>246</v>
      </c>
      <c r="B153" s="2">
        <v>46236.71327752772</v>
      </c>
      <c r="C153" t="s">
        <v>84</v>
      </c>
      <c r="D153" t="s">
        <v>104</v>
      </c>
      <c r="E153" t="s">
        <v>40</v>
      </c>
      <c r="F153" t="s">
        <v>7</v>
      </c>
      <c r="G153" t="s">
        <v>48</v>
      </c>
      <c r="H153" t="str">
        <f>_xlfn.XLOOKUP(Table6[[#This Row],[SKU]],tblProductMaster[SKU],tblProductMaster[Product])</f>
        <v>Color Detergent</v>
      </c>
      <c r="I153">
        <v>554</v>
      </c>
      <c r="J153">
        <f>_xlfn.XLOOKUP(G153,[1]!tblProductMaster[SKU],[1]!tblProductMaster[List Price])</f>
        <v>9.49</v>
      </c>
      <c r="K153" t="s">
        <v>89</v>
      </c>
      <c r="L153" s="3">
        <v>0.1</v>
      </c>
      <c r="M153" s="9">
        <f t="shared" si="10"/>
        <v>8.5410000000000004</v>
      </c>
      <c r="N153" s="8">
        <f t="shared" si="11"/>
        <v>4731.7139999999999</v>
      </c>
      <c r="O153" s="9">
        <f>_xlfn.XLOOKUP(G153,[1]!tblProductMaster[SKU],[1]!tblProductMaster[Unit Cost])</f>
        <v>4</v>
      </c>
      <c r="P153" s="8">
        <f t="shared" si="12"/>
        <v>2216</v>
      </c>
      <c r="Q153" s="8">
        <f t="shared" si="13"/>
        <v>2515.7139999999999</v>
      </c>
      <c r="R153" s="4">
        <f t="shared" si="14"/>
        <v>0.53167076454747686</v>
      </c>
      <c r="S153" t="s">
        <v>99</v>
      </c>
      <c r="T153">
        <f>Table6[[#This Row],[Discount]]*Table6[[#This Row],[List Price]]*Table6[[#This Row],[Units]]</f>
        <v>525.74599999999998</v>
      </c>
    </row>
    <row r="154" spans="1:20" x14ac:dyDescent="0.2">
      <c r="A154" t="s">
        <v>247</v>
      </c>
      <c r="B154" s="2">
        <v>46304.296267417056</v>
      </c>
      <c r="C154" t="s">
        <v>98</v>
      </c>
      <c r="D154" t="s">
        <v>96</v>
      </c>
      <c r="E154" t="s">
        <v>8</v>
      </c>
      <c r="F154" t="s">
        <v>15</v>
      </c>
      <c r="G154" t="s">
        <v>14</v>
      </c>
      <c r="H154" t="str">
        <f>_xlfn.XLOOKUP(Table6[[#This Row],[SKU]],tblProductMaster[SKU],tblProductMaster[Product])</f>
        <v>Shampoo 250ml</v>
      </c>
      <c r="I154">
        <v>567</v>
      </c>
      <c r="J154">
        <f>_xlfn.XLOOKUP(G154,[1]!tblProductMaster[SKU],[1]!tblProductMaster[List Price])</f>
        <v>4.99</v>
      </c>
      <c r="K154" t="s">
        <v>86</v>
      </c>
      <c r="L154" s="3">
        <v>0</v>
      </c>
      <c r="M154" s="9">
        <f t="shared" si="10"/>
        <v>4.99</v>
      </c>
      <c r="N154" s="8">
        <f t="shared" si="11"/>
        <v>2829.33</v>
      </c>
      <c r="O154" s="9">
        <f>_xlfn.XLOOKUP(G154,[1]!tblProductMaster[SKU],[1]!tblProductMaster[Unit Cost])</f>
        <v>2.1</v>
      </c>
      <c r="P154" s="8">
        <f t="shared" si="12"/>
        <v>1190.7</v>
      </c>
      <c r="Q154" s="8">
        <f t="shared" si="13"/>
        <v>1638.6299999999999</v>
      </c>
      <c r="R154" s="4">
        <f t="shared" si="14"/>
        <v>0.57915831663326656</v>
      </c>
      <c r="S154" t="s">
        <v>87</v>
      </c>
      <c r="T154">
        <f>Table6[[#This Row],[Discount]]*Table6[[#This Row],[List Price]]*Table6[[#This Row],[Units]]</f>
        <v>0</v>
      </c>
    </row>
    <row r="155" spans="1:20" x14ac:dyDescent="0.2">
      <c r="A155" t="s">
        <v>248</v>
      </c>
      <c r="B155" s="2">
        <v>46031.375273919846</v>
      </c>
      <c r="C155" t="s">
        <v>98</v>
      </c>
      <c r="D155" t="s">
        <v>104</v>
      </c>
      <c r="E155" t="s">
        <v>25</v>
      </c>
      <c r="F155" t="s">
        <v>18</v>
      </c>
      <c r="G155" t="s">
        <v>27</v>
      </c>
      <c r="H155" t="str">
        <f>_xlfn.XLOOKUP(Table6[[#This Row],[SKU]],tblProductMaster[SKU],tblProductMaster[Product])</f>
        <v>Face Cream 50ml</v>
      </c>
      <c r="I155">
        <v>443</v>
      </c>
      <c r="J155">
        <f>_xlfn.XLOOKUP(G155,[1]!tblProductMaster[SKU],[1]!tblProductMaster[List Price])</f>
        <v>9.99</v>
      </c>
      <c r="K155" t="s">
        <v>86</v>
      </c>
      <c r="L155" s="3">
        <v>0</v>
      </c>
      <c r="M155" s="9">
        <f t="shared" si="10"/>
        <v>9.99</v>
      </c>
      <c r="N155" s="8">
        <f t="shared" si="11"/>
        <v>4425.57</v>
      </c>
      <c r="O155" s="9">
        <f>_xlfn.XLOOKUP(G155,[1]!tblProductMaster[SKU],[1]!tblProductMaster[Unit Cost])</f>
        <v>4.2</v>
      </c>
      <c r="P155" s="8">
        <f t="shared" si="12"/>
        <v>1860.6000000000001</v>
      </c>
      <c r="Q155" s="8">
        <f t="shared" si="13"/>
        <v>2564.9699999999993</v>
      </c>
      <c r="R155" s="4">
        <f t="shared" si="14"/>
        <v>0.57957957957957951</v>
      </c>
      <c r="S155" t="s">
        <v>87</v>
      </c>
      <c r="T155">
        <f>Table6[[#This Row],[Discount]]*Table6[[#This Row],[List Price]]*Table6[[#This Row],[Units]]</f>
        <v>0</v>
      </c>
    </row>
    <row r="156" spans="1:20" x14ac:dyDescent="0.2">
      <c r="A156" t="s">
        <v>249</v>
      </c>
      <c r="B156" s="2">
        <v>46045.26777490737</v>
      </c>
      <c r="C156" t="s">
        <v>84</v>
      </c>
      <c r="D156" t="s">
        <v>85</v>
      </c>
      <c r="E156" t="s">
        <v>56</v>
      </c>
      <c r="F156" t="s">
        <v>7</v>
      </c>
      <c r="G156" t="s">
        <v>58</v>
      </c>
      <c r="H156" t="str">
        <f>_xlfn.XLOOKUP(Table6[[#This Row],[SKU]],tblProductMaster[SKU],tblProductMaster[Product])</f>
        <v>Whitening Toothpaste</v>
      </c>
      <c r="I156">
        <v>670</v>
      </c>
      <c r="J156">
        <f>_xlfn.XLOOKUP(G156,[1]!tblProductMaster[SKU],[1]!tblProductMaster[List Price])</f>
        <v>4.99</v>
      </c>
      <c r="K156" t="s">
        <v>86</v>
      </c>
      <c r="L156" s="3">
        <v>0</v>
      </c>
      <c r="M156" s="9">
        <f t="shared" si="10"/>
        <v>4.99</v>
      </c>
      <c r="N156" s="8">
        <f t="shared" si="11"/>
        <v>3343.3</v>
      </c>
      <c r="O156" s="9">
        <f>_xlfn.XLOOKUP(G156,[1]!tblProductMaster[SKU],[1]!tblProductMaster[Unit Cost])</f>
        <v>1.8</v>
      </c>
      <c r="P156" s="8">
        <f t="shared" si="12"/>
        <v>1206</v>
      </c>
      <c r="Q156" s="8">
        <f t="shared" si="13"/>
        <v>2137.3000000000002</v>
      </c>
      <c r="R156" s="4">
        <f t="shared" si="14"/>
        <v>0.63927855711422843</v>
      </c>
      <c r="S156" t="s">
        <v>87</v>
      </c>
      <c r="T156">
        <f>Table6[[#This Row],[Discount]]*Table6[[#This Row],[List Price]]*Table6[[#This Row],[Units]]</f>
        <v>0</v>
      </c>
    </row>
    <row r="157" spans="1:20" x14ac:dyDescent="0.2">
      <c r="A157" t="s">
        <v>250</v>
      </c>
      <c r="B157" s="2">
        <v>46231.259694161672</v>
      </c>
      <c r="C157" t="s">
        <v>93</v>
      </c>
      <c r="D157" t="s">
        <v>85</v>
      </c>
      <c r="E157" t="s">
        <v>56</v>
      </c>
      <c r="F157" t="s">
        <v>15</v>
      </c>
      <c r="G157" t="s">
        <v>62</v>
      </c>
      <c r="H157" t="str">
        <f>_xlfn.XLOOKUP(Table6[[#This Row],[SKU]],tblProductMaster[SKU],tblProductMaster[Product])</f>
        <v>Mouthwash 500ml</v>
      </c>
      <c r="I157">
        <v>721</v>
      </c>
      <c r="J157">
        <f>_xlfn.XLOOKUP(G157,[1]!tblProductMaster[SKU],[1]!tblProductMaster[List Price])</f>
        <v>5.99</v>
      </c>
      <c r="K157" t="s">
        <v>86</v>
      </c>
      <c r="L157" s="3">
        <v>0</v>
      </c>
      <c r="M157" s="9">
        <f t="shared" si="10"/>
        <v>5.99</v>
      </c>
      <c r="N157" s="8">
        <f t="shared" si="11"/>
        <v>4318.79</v>
      </c>
      <c r="O157" s="9">
        <f>_xlfn.XLOOKUP(G157,[1]!tblProductMaster[SKU],[1]!tblProductMaster[Unit Cost])</f>
        <v>2.4</v>
      </c>
      <c r="P157" s="8">
        <f t="shared" si="12"/>
        <v>1730.3999999999999</v>
      </c>
      <c r="Q157" s="8">
        <f t="shared" si="13"/>
        <v>2588.3900000000003</v>
      </c>
      <c r="R157" s="4">
        <f t="shared" si="14"/>
        <v>0.59933222036727885</v>
      </c>
      <c r="S157" t="s">
        <v>87</v>
      </c>
      <c r="T157">
        <f>Table6[[#This Row],[Discount]]*Table6[[#This Row],[List Price]]*Table6[[#This Row],[Units]]</f>
        <v>0</v>
      </c>
    </row>
    <row r="158" spans="1:20" x14ac:dyDescent="0.2">
      <c r="A158" t="s">
        <v>251</v>
      </c>
      <c r="B158" s="2">
        <v>46129.867704321303</v>
      </c>
      <c r="C158" t="s">
        <v>98</v>
      </c>
      <c r="D158" t="s">
        <v>85</v>
      </c>
      <c r="E158" t="s">
        <v>8</v>
      </c>
      <c r="F158" t="s">
        <v>7</v>
      </c>
      <c r="G158" t="s">
        <v>6</v>
      </c>
      <c r="H158" t="str">
        <f>_xlfn.XLOOKUP(Table6[[#This Row],[SKU]],tblProductMaster[SKU],tblProductMaster[Product])</f>
        <v>Shampoo 250ml</v>
      </c>
      <c r="I158">
        <v>798</v>
      </c>
      <c r="J158">
        <f>_xlfn.XLOOKUP(G158,[1]!tblProductMaster[SKU],[1]!tblProductMaster[List Price])</f>
        <v>5.99</v>
      </c>
      <c r="K158" t="s">
        <v>86</v>
      </c>
      <c r="L158" s="3">
        <v>0</v>
      </c>
      <c r="M158" s="9">
        <f t="shared" si="10"/>
        <v>5.99</v>
      </c>
      <c r="N158" s="8">
        <f t="shared" si="11"/>
        <v>4780.0200000000004</v>
      </c>
      <c r="O158" s="9">
        <f>_xlfn.XLOOKUP(G158,[1]!tblProductMaster[SKU],[1]!tblProductMaster[Unit Cost])</f>
        <v>2.4</v>
      </c>
      <c r="P158" s="8">
        <f t="shared" si="12"/>
        <v>1915.1999999999998</v>
      </c>
      <c r="Q158" s="8">
        <f t="shared" si="13"/>
        <v>2864.8200000000006</v>
      </c>
      <c r="R158" s="4">
        <f t="shared" si="14"/>
        <v>0.59933222036727885</v>
      </c>
      <c r="S158" t="s">
        <v>87</v>
      </c>
      <c r="T158">
        <f>Table6[[#This Row],[Discount]]*Table6[[#This Row],[List Price]]*Table6[[#This Row],[Units]]</f>
        <v>0</v>
      </c>
    </row>
    <row r="159" spans="1:20" x14ac:dyDescent="0.2">
      <c r="A159" t="s">
        <v>252</v>
      </c>
      <c r="B159" s="2">
        <v>46067.327934817324</v>
      </c>
      <c r="C159" t="s">
        <v>84</v>
      </c>
      <c r="D159" t="s">
        <v>96</v>
      </c>
      <c r="E159" t="s">
        <v>56</v>
      </c>
      <c r="F159" t="s">
        <v>15</v>
      </c>
      <c r="G159" t="s">
        <v>55</v>
      </c>
      <c r="H159" t="str">
        <f>_xlfn.XLOOKUP(Table6[[#This Row],[SKU]],tblProductMaster[SKU],tblProductMaster[Product])</f>
        <v>Toothpaste 75ml</v>
      </c>
      <c r="I159">
        <v>775</v>
      </c>
      <c r="J159">
        <f>_xlfn.XLOOKUP(G159,[1]!tblProductMaster[SKU],[1]!tblProductMaster[List Price])</f>
        <v>3.49</v>
      </c>
      <c r="K159" t="s">
        <v>86</v>
      </c>
      <c r="L159" s="3">
        <v>0</v>
      </c>
      <c r="M159" s="9">
        <f t="shared" si="10"/>
        <v>3.49</v>
      </c>
      <c r="N159" s="8">
        <f t="shared" si="11"/>
        <v>2704.75</v>
      </c>
      <c r="O159" s="9">
        <f>_xlfn.XLOOKUP(G159,[1]!tblProductMaster[SKU],[1]!tblProductMaster[Unit Cost])</f>
        <v>1.2</v>
      </c>
      <c r="P159" s="8">
        <f t="shared" si="12"/>
        <v>930</v>
      </c>
      <c r="Q159" s="8">
        <f t="shared" si="13"/>
        <v>1774.75</v>
      </c>
      <c r="R159" s="4">
        <f t="shared" si="14"/>
        <v>0.65616045845272208</v>
      </c>
      <c r="S159" t="s">
        <v>87</v>
      </c>
      <c r="T159">
        <f>Table6[[#This Row],[Discount]]*Table6[[#This Row],[List Price]]*Table6[[#This Row],[Units]]</f>
        <v>0</v>
      </c>
    </row>
    <row r="160" spans="1:20" x14ac:dyDescent="0.2">
      <c r="A160" t="s">
        <v>253</v>
      </c>
      <c r="B160" s="2">
        <v>46236.947272186451</v>
      </c>
      <c r="C160" t="s">
        <v>84</v>
      </c>
      <c r="D160" t="s">
        <v>85</v>
      </c>
      <c r="E160" t="s">
        <v>8</v>
      </c>
      <c r="F160" t="s">
        <v>18</v>
      </c>
      <c r="G160" t="s">
        <v>20</v>
      </c>
      <c r="H160" t="str">
        <f>_xlfn.XLOOKUP(Table6[[#This Row],[SKU]],tblProductMaster[SKU],tblProductMaster[Product])</f>
        <v>Hair Oil</v>
      </c>
      <c r="I160">
        <v>566</v>
      </c>
      <c r="J160">
        <f>_xlfn.XLOOKUP(G160,[1]!tblProductMaster[SKU],[1]!tblProductMaster[List Price])</f>
        <v>7.49</v>
      </c>
      <c r="K160" t="s">
        <v>89</v>
      </c>
      <c r="L160" s="3">
        <v>0.2</v>
      </c>
      <c r="M160" s="9">
        <f t="shared" si="10"/>
        <v>5.9920000000000009</v>
      </c>
      <c r="N160" s="8">
        <f t="shared" si="11"/>
        <v>3391.4720000000007</v>
      </c>
      <c r="O160" s="9">
        <f>_xlfn.XLOOKUP(G160,[1]!tblProductMaster[SKU],[1]!tblProductMaster[Unit Cost])</f>
        <v>3.1</v>
      </c>
      <c r="P160" s="8">
        <f t="shared" si="12"/>
        <v>1754.6000000000001</v>
      </c>
      <c r="Q160" s="8">
        <f t="shared" si="13"/>
        <v>1636.8720000000005</v>
      </c>
      <c r="R160" s="4">
        <f t="shared" si="14"/>
        <v>0.48264352469959954</v>
      </c>
      <c r="S160" t="s">
        <v>90</v>
      </c>
      <c r="T160">
        <f>Table6[[#This Row],[Discount]]*Table6[[#This Row],[List Price]]*Table6[[#This Row],[Units]]</f>
        <v>847.86800000000017</v>
      </c>
    </row>
    <row r="161" spans="1:20" x14ac:dyDescent="0.2">
      <c r="A161" t="s">
        <v>254</v>
      </c>
      <c r="B161" s="2">
        <v>46097.367344759354</v>
      </c>
      <c r="C161" t="s">
        <v>93</v>
      </c>
      <c r="D161" t="s">
        <v>96</v>
      </c>
      <c r="E161" t="s">
        <v>56</v>
      </c>
      <c r="F161" t="s">
        <v>7</v>
      </c>
      <c r="G161" t="s">
        <v>58</v>
      </c>
      <c r="H161" t="str">
        <f>_xlfn.XLOOKUP(Table6[[#This Row],[SKU]],tblProductMaster[SKU],tblProductMaster[Product])</f>
        <v>Whitening Toothpaste</v>
      </c>
      <c r="I161">
        <v>421</v>
      </c>
      <c r="J161">
        <f>_xlfn.XLOOKUP(G161,[1]!tblProductMaster[SKU],[1]!tblProductMaster[List Price])</f>
        <v>4.99</v>
      </c>
      <c r="K161" t="s">
        <v>86</v>
      </c>
      <c r="L161" s="3">
        <v>0</v>
      </c>
      <c r="M161" s="9">
        <f t="shared" si="10"/>
        <v>4.99</v>
      </c>
      <c r="N161" s="8">
        <f t="shared" si="11"/>
        <v>2100.79</v>
      </c>
      <c r="O161" s="9">
        <f>_xlfn.XLOOKUP(G161,[1]!tblProductMaster[SKU],[1]!tblProductMaster[Unit Cost])</f>
        <v>1.8</v>
      </c>
      <c r="P161" s="8">
        <f t="shared" si="12"/>
        <v>757.80000000000007</v>
      </c>
      <c r="Q161" s="8">
        <f t="shared" si="13"/>
        <v>1342.9899999999998</v>
      </c>
      <c r="R161" s="4">
        <f t="shared" si="14"/>
        <v>0.63927855711422832</v>
      </c>
      <c r="S161" t="s">
        <v>87</v>
      </c>
      <c r="T161">
        <f>Table6[[#This Row],[Discount]]*Table6[[#This Row],[List Price]]*Table6[[#This Row],[Units]]</f>
        <v>0</v>
      </c>
    </row>
    <row r="162" spans="1:20" x14ac:dyDescent="0.2">
      <c r="A162" t="s">
        <v>255</v>
      </c>
      <c r="B162" s="2">
        <v>46137.19076797981</v>
      </c>
      <c r="C162" t="s">
        <v>93</v>
      </c>
      <c r="D162" t="s">
        <v>104</v>
      </c>
      <c r="E162" t="s">
        <v>40</v>
      </c>
      <c r="F162" t="s">
        <v>7</v>
      </c>
      <c r="G162" t="s">
        <v>48</v>
      </c>
      <c r="H162" t="str">
        <f>_xlfn.XLOOKUP(Table6[[#This Row],[SKU]],tblProductMaster[SKU],tblProductMaster[Product])</f>
        <v>Color Detergent</v>
      </c>
      <c r="I162">
        <v>741</v>
      </c>
      <c r="J162">
        <f>_xlfn.XLOOKUP(G162,[1]!tblProductMaster[SKU],[1]!tblProductMaster[List Price])</f>
        <v>9.49</v>
      </c>
      <c r="K162" t="s">
        <v>89</v>
      </c>
      <c r="L162" s="3">
        <v>0.2</v>
      </c>
      <c r="M162" s="9">
        <f t="shared" si="10"/>
        <v>7.5920000000000005</v>
      </c>
      <c r="N162" s="8">
        <f t="shared" si="11"/>
        <v>5625.6720000000005</v>
      </c>
      <c r="O162" s="9">
        <f>_xlfn.XLOOKUP(G162,[1]!tblProductMaster[SKU],[1]!tblProductMaster[Unit Cost])</f>
        <v>4</v>
      </c>
      <c r="P162" s="8">
        <f t="shared" si="12"/>
        <v>2964</v>
      </c>
      <c r="Q162" s="8">
        <f t="shared" si="13"/>
        <v>2661.6720000000005</v>
      </c>
      <c r="R162" s="4">
        <f t="shared" si="14"/>
        <v>0.47312961011591154</v>
      </c>
      <c r="S162" t="s">
        <v>99</v>
      </c>
      <c r="T162">
        <f>Table6[[#This Row],[Discount]]*Table6[[#This Row],[List Price]]*Table6[[#This Row],[Units]]</f>
        <v>1406.4180000000001</v>
      </c>
    </row>
    <row r="163" spans="1:20" x14ac:dyDescent="0.2">
      <c r="A163" t="s">
        <v>256</v>
      </c>
      <c r="B163" s="2">
        <v>46106.561869495214</v>
      </c>
      <c r="C163" t="s">
        <v>98</v>
      </c>
      <c r="D163" t="s">
        <v>104</v>
      </c>
      <c r="E163" t="s">
        <v>25</v>
      </c>
      <c r="F163" t="s">
        <v>15</v>
      </c>
      <c r="G163" t="s">
        <v>35</v>
      </c>
      <c r="H163" t="str">
        <f>_xlfn.XLOOKUP(Table6[[#This Row],[SKU]],tblProductMaster[SKU],tblProductMaster[Product])</f>
        <v>Hand Cream</v>
      </c>
      <c r="I163">
        <v>739</v>
      </c>
      <c r="J163">
        <f>_xlfn.XLOOKUP(G163,[1]!tblProductMaster[SKU],[1]!tblProductMaster[List Price])</f>
        <v>4.99</v>
      </c>
      <c r="K163" t="s">
        <v>86</v>
      </c>
      <c r="L163" s="3">
        <v>0</v>
      </c>
      <c r="M163" s="9">
        <f t="shared" si="10"/>
        <v>4.99</v>
      </c>
      <c r="N163" s="8">
        <f t="shared" si="11"/>
        <v>3687.61</v>
      </c>
      <c r="O163" s="9">
        <f>_xlfn.XLOOKUP(G163,[1]!tblProductMaster[SKU],[1]!tblProductMaster[Unit Cost])</f>
        <v>2.1</v>
      </c>
      <c r="P163" s="8">
        <f t="shared" si="12"/>
        <v>1551.9</v>
      </c>
      <c r="Q163" s="8">
        <f t="shared" si="13"/>
        <v>2135.71</v>
      </c>
      <c r="R163" s="4">
        <f t="shared" si="14"/>
        <v>0.57915831663326656</v>
      </c>
      <c r="S163" t="s">
        <v>87</v>
      </c>
      <c r="T163">
        <f>Table6[[#This Row],[Discount]]*Table6[[#This Row],[List Price]]*Table6[[#This Row],[Units]]</f>
        <v>0</v>
      </c>
    </row>
    <row r="164" spans="1:20" x14ac:dyDescent="0.2">
      <c r="A164" t="s">
        <v>257</v>
      </c>
      <c r="B164" s="2">
        <v>46106.082536187583</v>
      </c>
      <c r="C164" t="s">
        <v>98</v>
      </c>
      <c r="D164" t="s">
        <v>96</v>
      </c>
      <c r="E164" t="s">
        <v>25</v>
      </c>
      <c r="F164" t="s">
        <v>15</v>
      </c>
      <c r="G164" t="s">
        <v>35</v>
      </c>
      <c r="H164" t="str">
        <f>_xlfn.XLOOKUP(Table6[[#This Row],[SKU]],tblProductMaster[SKU],tblProductMaster[Product])</f>
        <v>Hand Cream</v>
      </c>
      <c r="I164">
        <v>777</v>
      </c>
      <c r="J164">
        <f>_xlfn.XLOOKUP(G164,[1]!tblProductMaster[SKU],[1]!tblProductMaster[List Price])</f>
        <v>4.99</v>
      </c>
      <c r="K164" t="s">
        <v>89</v>
      </c>
      <c r="L164" s="3">
        <v>0.2</v>
      </c>
      <c r="M164" s="9">
        <f t="shared" si="10"/>
        <v>3.9920000000000004</v>
      </c>
      <c r="N164" s="8">
        <f t="shared" si="11"/>
        <v>3101.7840000000006</v>
      </c>
      <c r="O164" s="9">
        <f>_xlfn.XLOOKUP(G164,[1]!tblProductMaster[SKU],[1]!tblProductMaster[Unit Cost])</f>
        <v>2.1</v>
      </c>
      <c r="P164" s="8">
        <f t="shared" si="12"/>
        <v>1631.7</v>
      </c>
      <c r="Q164" s="8">
        <f t="shared" si="13"/>
        <v>1470.0840000000005</v>
      </c>
      <c r="R164" s="4">
        <f t="shared" si="14"/>
        <v>0.47394789579158325</v>
      </c>
      <c r="S164" t="s">
        <v>99</v>
      </c>
      <c r="T164">
        <f>Table6[[#This Row],[Discount]]*Table6[[#This Row],[List Price]]*Table6[[#This Row],[Units]]</f>
        <v>775.44600000000014</v>
      </c>
    </row>
    <row r="165" spans="1:20" x14ac:dyDescent="0.2">
      <c r="A165" t="s">
        <v>258</v>
      </c>
      <c r="B165" s="2">
        <v>46078.491021504138</v>
      </c>
      <c r="C165" t="s">
        <v>93</v>
      </c>
      <c r="D165" t="s">
        <v>104</v>
      </c>
      <c r="E165" t="s">
        <v>40</v>
      </c>
      <c r="F165" t="s">
        <v>7</v>
      </c>
      <c r="G165" t="s">
        <v>48</v>
      </c>
      <c r="H165" t="str">
        <f>_xlfn.XLOOKUP(Table6[[#This Row],[SKU]],tblProductMaster[SKU],tblProductMaster[Product])</f>
        <v>Color Detergent</v>
      </c>
      <c r="I165">
        <v>394</v>
      </c>
      <c r="J165">
        <f>_xlfn.XLOOKUP(G165,[1]!tblProductMaster[SKU],[1]!tblProductMaster[List Price])</f>
        <v>9.49</v>
      </c>
      <c r="K165" t="s">
        <v>86</v>
      </c>
      <c r="L165" s="3">
        <v>0</v>
      </c>
      <c r="M165" s="9">
        <f t="shared" si="10"/>
        <v>9.49</v>
      </c>
      <c r="N165" s="8">
        <f t="shared" si="11"/>
        <v>3739.06</v>
      </c>
      <c r="O165" s="9">
        <f>_xlfn.XLOOKUP(G165,[1]!tblProductMaster[SKU],[1]!tblProductMaster[Unit Cost])</f>
        <v>4</v>
      </c>
      <c r="P165" s="8">
        <f t="shared" si="12"/>
        <v>1576</v>
      </c>
      <c r="Q165" s="8">
        <f t="shared" si="13"/>
        <v>2163.06</v>
      </c>
      <c r="R165" s="4">
        <f t="shared" si="14"/>
        <v>0.57850368809272923</v>
      </c>
      <c r="S165" t="s">
        <v>87</v>
      </c>
      <c r="T165">
        <f>Table6[[#This Row],[Discount]]*Table6[[#This Row],[List Price]]*Table6[[#This Row],[Units]]</f>
        <v>0</v>
      </c>
    </row>
    <row r="166" spans="1:20" x14ac:dyDescent="0.2">
      <c r="A166" t="s">
        <v>259</v>
      </c>
      <c r="B166" s="2">
        <v>46185.978532856134</v>
      </c>
      <c r="C166" t="s">
        <v>84</v>
      </c>
      <c r="D166" t="s">
        <v>104</v>
      </c>
      <c r="E166" t="s">
        <v>56</v>
      </c>
      <c r="F166" t="s">
        <v>18</v>
      </c>
      <c r="G166" t="s">
        <v>68</v>
      </c>
      <c r="H166" t="str">
        <f>_xlfn.XLOOKUP(Table6[[#This Row],[SKU]],tblProductMaster[SKU],tblProductMaster[Product])</f>
        <v>Kids Toothpaste</v>
      </c>
      <c r="I166">
        <v>331</v>
      </c>
      <c r="J166">
        <f>_xlfn.XLOOKUP(G166,[1]!tblProductMaster[SKU],[1]!tblProductMaster[List Price])</f>
        <v>3.29</v>
      </c>
      <c r="K166" t="s">
        <v>86</v>
      </c>
      <c r="L166" s="3">
        <v>0</v>
      </c>
      <c r="M166" s="9">
        <f t="shared" si="10"/>
        <v>3.29</v>
      </c>
      <c r="N166" s="8">
        <f t="shared" si="11"/>
        <v>1088.99</v>
      </c>
      <c r="O166" s="9">
        <f>_xlfn.XLOOKUP(G166,[1]!tblProductMaster[SKU],[1]!tblProductMaster[Unit Cost])</f>
        <v>1.1000000000000001</v>
      </c>
      <c r="P166" s="8">
        <f t="shared" si="12"/>
        <v>364.1</v>
      </c>
      <c r="Q166" s="8">
        <f t="shared" si="13"/>
        <v>724.89</v>
      </c>
      <c r="R166" s="4">
        <f t="shared" si="14"/>
        <v>0.66565349544072949</v>
      </c>
      <c r="S166" t="s">
        <v>87</v>
      </c>
      <c r="T166">
        <f>Table6[[#This Row],[Discount]]*Table6[[#This Row],[List Price]]*Table6[[#This Row],[Units]]</f>
        <v>0</v>
      </c>
    </row>
    <row r="167" spans="1:20" x14ac:dyDescent="0.2">
      <c r="A167" t="s">
        <v>260</v>
      </c>
      <c r="B167" s="2">
        <v>46284.107275576593</v>
      </c>
      <c r="C167" t="s">
        <v>84</v>
      </c>
      <c r="D167" t="s">
        <v>85</v>
      </c>
      <c r="E167" t="s">
        <v>8</v>
      </c>
      <c r="F167" t="s">
        <v>7</v>
      </c>
      <c r="G167" t="s">
        <v>10</v>
      </c>
      <c r="H167" t="str">
        <f>_xlfn.XLOOKUP(Table6[[#This Row],[SKU]],tblProductMaster[SKU],tblProductMaster[Product])</f>
        <v>Shampoo 500ml</v>
      </c>
      <c r="I167">
        <v>362</v>
      </c>
      <c r="J167">
        <f>_xlfn.XLOOKUP(G167,[1]!tblProductMaster[SKU],[1]!tblProductMaster[List Price])</f>
        <v>8.99</v>
      </c>
      <c r="K167" t="s">
        <v>86</v>
      </c>
      <c r="L167" s="3">
        <v>0</v>
      </c>
      <c r="M167" s="9">
        <f t="shared" si="10"/>
        <v>8.99</v>
      </c>
      <c r="N167" s="8">
        <f t="shared" si="11"/>
        <v>3254.38</v>
      </c>
      <c r="O167" s="9">
        <f>_xlfn.XLOOKUP(G167,[1]!tblProductMaster[SKU],[1]!tblProductMaster[Unit Cost])</f>
        <v>3.6</v>
      </c>
      <c r="P167" s="8">
        <f t="shared" si="12"/>
        <v>1303.2</v>
      </c>
      <c r="Q167" s="8">
        <f t="shared" si="13"/>
        <v>1951.18</v>
      </c>
      <c r="R167" s="4">
        <f t="shared" si="14"/>
        <v>0.59955506117908786</v>
      </c>
      <c r="S167" t="s">
        <v>87</v>
      </c>
      <c r="T167">
        <f>Table6[[#This Row],[Discount]]*Table6[[#This Row],[List Price]]*Table6[[#This Row],[Units]]</f>
        <v>0</v>
      </c>
    </row>
    <row r="168" spans="1:20" x14ac:dyDescent="0.2">
      <c r="A168" t="s">
        <v>261</v>
      </c>
      <c r="B168" s="2">
        <v>46312.388705871548</v>
      </c>
      <c r="C168" t="s">
        <v>84</v>
      </c>
      <c r="D168" t="s">
        <v>96</v>
      </c>
      <c r="E168" t="s">
        <v>56</v>
      </c>
      <c r="F168" t="s">
        <v>15</v>
      </c>
      <c r="G168" t="s">
        <v>62</v>
      </c>
      <c r="H168" t="str">
        <f>_xlfn.XLOOKUP(Table6[[#This Row],[SKU]],tblProductMaster[SKU],tblProductMaster[Product])</f>
        <v>Mouthwash 500ml</v>
      </c>
      <c r="I168">
        <v>375</v>
      </c>
      <c r="J168">
        <f>_xlfn.XLOOKUP(G168,[1]!tblProductMaster[SKU],[1]!tblProductMaster[List Price])</f>
        <v>5.99</v>
      </c>
      <c r="K168" t="s">
        <v>86</v>
      </c>
      <c r="L168" s="3">
        <v>0</v>
      </c>
      <c r="M168" s="9">
        <f t="shared" si="10"/>
        <v>5.99</v>
      </c>
      <c r="N168" s="8">
        <f t="shared" si="11"/>
        <v>2246.25</v>
      </c>
      <c r="O168" s="9">
        <f>_xlfn.XLOOKUP(G168,[1]!tblProductMaster[SKU],[1]!tblProductMaster[Unit Cost])</f>
        <v>2.4</v>
      </c>
      <c r="P168" s="8">
        <f t="shared" si="12"/>
        <v>900</v>
      </c>
      <c r="Q168" s="8">
        <f t="shared" si="13"/>
        <v>1346.25</v>
      </c>
      <c r="R168" s="4">
        <f t="shared" si="14"/>
        <v>0.59933222036727885</v>
      </c>
      <c r="S168" t="s">
        <v>87</v>
      </c>
      <c r="T168">
        <f>Table6[[#This Row],[Discount]]*Table6[[#This Row],[List Price]]*Table6[[#This Row],[Units]]</f>
        <v>0</v>
      </c>
    </row>
    <row r="169" spans="1:20" x14ac:dyDescent="0.2">
      <c r="A169" t="s">
        <v>262</v>
      </c>
      <c r="B169" s="2">
        <v>46222.090361737057</v>
      </c>
      <c r="C169" t="s">
        <v>98</v>
      </c>
      <c r="D169" t="s">
        <v>96</v>
      </c>
      <c r="E169" t="s">
        <v>8</v>
      </c>
      <c r="F169" t="s">
        <v>18</v>
      </c>
      <c r="G169" t="s">
        <v>20</v>
      </c>
      <c r="H169" t="str">
        <f>_xlfn.XLOOKUP(Table6[[#This Row],[SKU]],tblProductMaster[SKU],tblProductMaster[Product])</f>
        <v>Hair Oil</v>
      </c>
      <c r="I169">
        <v>374</v>
      </c>
      <c r="J169">
        <f>_xlfn.XLOOKUP(G169,[1]!tblProductMaster[SKU],[1]!tblProductMaster[List Price])</f>
        <v>7.49</v>
      </c>
      <c r="K169" t="s">
        <v>86</v>
      </c>
      <c r="L169" s="3">
        <v>0</v>
      </c>
      <c r="M169" s="9">
        <f t="shared" si="10"/>
        <v>7.49</v>
      </c>
      <c r="N169" s="8">
        <f t="shared" si="11"/>
        <v>2801.26</v>
      </c>
      <c r="O169" s="9">
        <f>_xlfn.XLOOKUP(G169,[1]!tblProductMaster[SKU],[1]!tblProductMaster[Unit Cost])</f>
        <v>3.1</v>
      </c>
      <c r="P169" s="8">
        <f t="shared" si="12"/>
        <v>1159.4000000000001</v>
      </c>
      <c r="Q169" s="8">
        <f t="shared" si="13"/>
        <v>1641.8600000000001</v>
      </c>
      <c r="R169" s="4">
        <f t="shared" si="14"/>
        <v>0.58611481975967961</v>
      </c>
      <c r="S169" t="s">
        <v>87</v>
      </c>
      <c r="T169">
        <f>Table6[[#This Row],[Discount]]*Table6[[#This Row],[List Price]]*Table6[[#This Row],[Units]]</f>
        <v>0</v>
      </c>
    </row>
    <row r="170" spans="1:20" x14ac:dyDescent="0.2">
      <c r="A170" t="s">
        <v>263</v>
      </c>
      <c r="B170" s="2">
        <v>46167.024369258637</v>
      </c>
      <c r="C170" t="s">
        <v>93</v>
      </c>
      <c r="D170" t="s">
        <v>104</v>
      </c>
      <c r="E170" t="s">
        <v>25</v>
      </c>
      <c r="F170" t="s">
        <v>18</v>
      </c>
      <c r="G170" t="s">
        <v>37</v>
      </c>
      <c r="H170" t="str">
        <f>_xlfn.XLOOKUP(Table6[[#This Row],[SKU]],tblProductMaster[SKU],tblProductMaster[Product])</f>
        <v>Body Wash</v>
      </c>
      <c r="I170">
        <v>625</v>
      </c>
      <c r="J170">
        <f>_xlfn.XLOOKUP(G170,[1]!tblProductMaster[SKU],[1]!tblProductMaster[List Price])</f>
        <v>5.49</v>
      </c>
      <c r="K170" t="s">
        <v>86</v>
      </c>
      <c r="L170" s="3">
        <v>0</v>
      </c>
      <c r="M170" s="9">
        <f t="shared" si="10"/>
        <v>5.49</v>
      </c>
      <c r="N170" s="8">
        <f t="shared" si="11"/>
        <v>3431.25</v>
      </c>
      <c r="O170" s="9">
        <f>_xlfn.XLOOKUP(G170,[1]!tblProductMaster[SKU],[1]!tblProductMaster[Unit Cost])</f>
        <v>2.2999999999999998</v>
      </c>
      <c r="P170" s="8">
        <f t="shared" si="12"/>
        <v>1437.5</v>
      </c>
      <c r="Q170" s="8">
        <f t="shared" si="13"/>
        <v>1993.75</v>
      </c>
      <c r="R170" s="4">
        <f t="shared" si="14"/>
        <v>0.58105646630236796</v>
      </c>
      <c r="S170" t="s">
        <v>87</v>
      </c>
      <c r="T170">
        <f>Table6[[#This Row],[Discount]]*Table6[[#This Row],[List Price]]*Table6[[#This Row],[Units]]</f>
        <v>0</v>
      </c>
    </row>
    <row r="171" spans="1:20" x14ac:dyDescent="0.2">
      <c r="A171" t="s">
        <v>264</v>
      </c>
      <c r="B171" s="2">
        <v>46273.339665897627</v>
      </c>
      <c r="C171" t="s">
        <v>84</v>
      </c>
      <c r="D171" t="s">
        <v>104</v>
      </c>
      <c r="E171" t="s">
        <v>25</v>
      </c>
      <c r="F171" t="s">
        <v>15</v>
      </c>
      <c r="G171" t="s">
        <v>35</v>
      </c>
      <c r="H171" t="str">
        <f>_xlfn.XLOOKUP(Table6[[#This Row],[SKU]],tblProductMaster[SKU],tblProductMaster[Product])</f>
        <v>Hand Cream</v>
      </c>
      <c r="I171">
        <v>764</v>
      </c>
      <c r="J171">
        <f>_xlfn.XLOOKUP(G171,[1]!tblProductMaster[SKU],[1]!tblProductMaster[List Price])</f>
        <v>4.99</v>
      </c>
      <c r="K171" t="s">
        <v>86</v>
      </c>
      <c r="L171" s="3">
        <v>0</v>
      </c>
      <c r="M171" s="9">
        <f t="shared" si="10"/>
        <v>4.99</v>
      </c>
      <c r="N171" s="8">
        <f t="shared" si="11"/>
        <v>3812.36</v>
      </c>
      <c r="O171" s="9">
        <f>_xlfn.XLOOKUP(G171,[1]!tblProductMaster[SKU],[1]!tblProductMaster[Unit Cost])</f>
        <v>2.1</v>
      </c>
      <c r="P171" s="8">
        <f t="shared" si="12"/>
        <v>1604.4</v>
      </c>
      <c r="Q171" s="8">
        <f t="shared" si="13"/>
        <v>2207.96</v>
      </c>
      <c r="R171" s="4">
        <f t="shared" si="14"/>
        <v>0.57915831663326656</v>
      </c>
      <c r="S171" t="s">
        <v>87</v>
      </c>
      <c r="T171">
        <f>Table6[[#This Row],[Discount]]*Table6[[#This Row],[List Price]]*Table6[[#This Row],[Units]]</f>
        <v>0</v>
      </c>
    </row>
    <row r="172" spans="1:20" x14ac:dyDescent="0.2">
      <c r="A172" t="s">
        <v>265</v>
      </c>
      <c r="B172" s="2">
        <v>46359.411525508294</v>
      </c>
      <c r="C172" t="s">
        <v>93</v>
      </c>
      <c r="D172" t="s">
        <v>85</v>
      </c>
      <c r="E172" t="s">
        <v>56</v>
      </c>
      <c r="F172" t="s">
        <v>18</v>
      </c>
      <c r="G172" t="s">
        <v>68</v>
      </c>
      <c r="H172" t="str">
        <f>_xlfn.XLOOKUP(Table6[[#This Row],[SKU]],tblProductMaster[SKU],tblProductMaster[Product])</f>
        <v>Kids Toothpaste</v>
      </c>
      <c r="I172">
        <v>710</v>
      </c>
      <c r="J172">
        <f>_xlfn.XLOOKUP(G172,[1]!tblProductMaster[SKU],[1]!tblProductMaster[List Price])</f>
        <v>3.29</v>
      </c>
      <c r="K172" t="s">
        <v>89</v>
      </c>
      <c r="L172" s="3">
        <v>0.1</v>
      </c>
      <c r="M172" s="9">
        <f t="shared" si="10"/>
        <v>2.9610000000000003</v>
      </c>
      <c r="N172" s="8">
        <f t="shared" si="11"/>
        <v>2102.3100000000004</v>
      </c>
      <c r="O172" s="9">
        <f>_xlfn.XLOOKUP(G172,[1]!tblProductMaster[SKU],[1]!tblProductMaster[Unit Cost])</f>
        <v>1.1000000000000001</v>
      </c>
      <c r="P172" s="8">
        <f t="shared" si="12"/>
        <v>781.00000000000011</v>
      </c>
      <c r="Q172" s="8">
        <f t="shared" si="13"/>
        <v>1321.3100000000004</v>
      </c>
      <c r="R172" s="4">
        <f t="shared" si="14"/>
        <v>0.62850388382303279</v>
      </c>
      <c r="S172" t="s">
        <v>90</v>
      </c>
      <c r="T172">
        <f>Table6[[#This Row],[Discount]]*Table6[[#This Row],[List Price]]*Table6[[#This Row],[Units]]</f>
        <v>233.59</v>
      </c>
    </row>
    <row r="173" spans="1:20" x14ac:dyDescent="0.2">
      <c r="A173" t="s">
        <v>266</v>
      </c>
      <c r="B173" s="2">
        <v>46324.688565265009</v>
      </c>
      <c r="C173" t="s">
        <v>98</v>
      </c>
      <c r="D173" t="s">
        <v>104</v>
      </c>
      <c r="E173" t="s">
        <v>40</v>
      </c>
      <c r="F173" t="s">
        <v>18</v>
      </c>
      <c r="G173" t="s">
        <v>54</v>
      </c>
      <c r="H173" t="str">
        <f>_xlfn.XLOOKUP(Table6[[#This Row],[SKU]],tblProductMaster[SKU],tblProductMaster[Product])</f>
        <v>Fabric Softener</v>
      </c>
      <c r="I173">
        <v>498</v>
      </c>
      <c r="J173">
        <f>_xlfn.XLOOKUP(G173,[1]!tblProductMaster[SKU],[1]!tblProductMaster[List Price])</f>
        <v>5.49</v>
      </c>
      <c r="K173" t="s">
        <v>86</v>
      </c>
      <c r="L173" s="3">
        <v>0</v>
      </c>
      <c r="M173" s="9">
        <f t="shared" si="10"/>
        <v>5.49</v>
      </c>
      <c r="N173" s="8">
        <f t="shared" si="11"/>
        <v>2734.02</v>
      </c>
      <c r="O173" s="9">
        <f>_xlfn.XLOOKUP(G173,[1]!tblProductMaster[SKU],[1]!tblProductMaster[Unit Cost])</f>
        <v>2.4</v>
      </c>
      <c r="P173" s="8">
        <f t="shared" si="12"/>
        <v>1195.2</v>
      </c>
      <c r="Q173" s="8">
        <f t="shared" si="13"/>
        <v>1538.82</v>
      </c>
      <c r="R173" s="4">
        <f t="shared" si="14"/>
        <v>0.56284153005464477</v>
      </c>
      <c r="S173" t="s">
        <v>87</v>
      </c>
      <c r="T173">
        <f>Table6[[#This Row],[Discount]]*Table6[[#This Row],[List Price]]*Table6[[#This Row],[Units]]</f>
        <v>0</v>
      </c>
    </row>
    <row r="174" spans="1:20" x14ac:dyDescent="0.2">
      <c r="A174" t="s">
        <v>267</v>
      </c>
      <c r="B174" s="2">
        <v>46300.582035258987</v>
      </c>
      <c r="C174" t="s">
        <v>98</v>
      </c>
      <c r="D174" t="s">
        <v>104</v>
      </c>
      <c r="E174" t="s">
        <v>56</v>
      </c>
      <c r="F174" t="s">
        <v>15</v>
      </c>
      <c r="G174" t="s">
        <v>62</v>
      </c>
      <c r="H174" t="str">
        <f>_xlfn.XLOOKUP(Table6[[#This Row],[SKU]],tblProductMaster[SKU],tblProductMaster[Product])</f>
        <v>Mouthwash 500ml</v>
      </c>
      <c r="I174">
        <v>592</v>
      </c>
      <c r="J174">
        <f>_xlfn.XLOOKUP(G174,[1]!tblProductMaster[SKU],[1]!tblProductMaster[List Price])</f>
        <v>5.99</v>
      </c>
      <c r="K174" t="s">
        <v>86</v>
      </c>
      <c r="L174" s="3">
        <v>0</v>
      </c>
      <c r="M174" s="9">
        <f t="shared" si="10"/>
        <v>5.99</v>
      </c>
      <c r="N174" s="8">
        <f t="shared" si="11"/>
        <v>3546.08</v>
      </c>
      <c r="O174" s="9">
        <f>_xlfn.XLOOKUP(G174,[1]!tblProductMaster[SKU],[1]!tblProductMaster[Unit Cost])</f>
        <v>2.4</v>
      </c>
      <c r="P174" s="8">
        <f t="shared" si="12"/>
        <v>1420.8</v>
      </c>
      <c r="Q174" s="8">
        <f t="shared" si="13"/>
        <v>2125.2799999999997</v>
      </c>
      <c r="R174" s="4">
        <f t="shared" si="14"/>
        <v>0.59933222036727873</v>
      </c>
      <c r="S174" t="s">
        <v>87</v>
      </c>
      <c r="T174">
        <f>Table6[[#This Row],[Discount]]*Table6[[#This Row],[List Price]]*Table6[[#This Row],[Units]]</f>
        <v>0</v>
      </c>
    </row>
    <row r="175" spans="1:20" x14ac:dyDescent="0.2">
      <c r="A175" t="s">
        <v>268</v>
      </c>
      <c r="B175" s="2">
        <v>46227.109035615627</v>
      </c>
      <c r="C175" t="s">
        <v>98</v>
      </c>
      <c r="D175" t="s">
        <v>85</v>
      </c>
      <c r="E175" t="s">
        <v>25</v>
      </c>
      <c r="F175" t="s">
        <v>7</v>
      </c>
      <c r="G175" t="s">
        <v>31</v>
      </c>
      <c r="H175" t="str">
        <f>_xlfn.XLOOKUP(Table6[[#This Row],[SKU]],tblProductMaster[SKU],tblProductMaster[Product])</f>
        <v>Facial Cleanser</v>
      </c>
      <c r="I175">
        <v>293</v>
      </c>
      <c r="J175">
        <f>_xlfn.XLOOKUP(G175,[1]!tblProductMaster[SKU],[1]!tblProductMaster[List Price])</f>
        <v>8.49</v>
      </c>
      <c r="K175" t="s">
        <v>86</v>
      </c>
      <c r="L175" s="3">
        <v>0</v>
      </c>
      <c r="M175" s="9">
        <f t="shared" si="10"/>
        <v>8.49</v>
      </c>
      <c r="N175" s="8">
        <f t="shared" si="11"/>
        <v>2487.5700000000002</v>
      </c>
      <c r="O175" s="9">
        <f>_xlfn.XLOOKUP(G175,[1]!tblProductMaster[SKU],[1]!tblProductMaster[Unit Cost])</f>
        <v>3.5</v>
      </c>
      <c r="P175" s="8">
        <f t="shared" si="12"/>
        <v>1025.5</v>
      </c>
      <c r="Q175" s="8">
        <f t="shared" si="13"/>
        <v>1462.0700000000002</v>
      </c>
      <c r="R175" s="4">
        <f t="shared" si="14"/>
        <v>0.58775029446407545</v>
      </c>
      <c r="S175" t="s">
        <v>87</v>
      </c>
      <c r="T175">
        <f>Table6[[#This Row],[Discount]]*Table6[[#This Row],[List Price]]*Table6[[#This Row],[Units]]</f>
        <v>0</v>
      </c>
    </row>
    <row r="176" spans="1:20" x14ac:dyDescent="0.2">
      <c r="A176" t="s">
        <v>269</v>
      </c>
      <c r="B176" s="2">
        <v>46141.36179156119</v>
      </c>
      <c r="C176" t="s">
        <v>93</v>
      </c>
      <c r="D176" t="s">
        <v>85</v>
      </c>
      <c r="E176" t="s">
        <v>8</v>
      </c>
      <c r="F176" t="s">
        <v>18</v>
      </c>
      <c r="G176" t="s">
        <v>20</v>
      </c>
      <c r="H176" t="str">
        <f>_xlfn.XLOOKUP(Table6[[#This Row],[SKU]],tblProductMaster[SKU],tblProductMaster[Product])</f>
        <v>Hair Oil</v>
      </c>
      <c r="I176">
        <v>675</v>
      </c>
      <c r="J176">
        <f>_xlfn.XLOOKUP(G176,[1]!tblProductMaster[SKU],[1]!tblProductMaster[List Price])</f>
        <v>7.49</v>
      </c>
      <c r="K176" t="s">
        <v>86</v>
      </c>
      <c r="L176" s="3">
        <v>0</v>
      </c>
      <c r="M176" s="9">
        <f t="shared" si="10"/>
        <v>7.49</v>
      </c>
      <c r="N176" s="8">
        <f t="shared" si="11"/>
        <v>5055.75</v>
      </c>
      <c r="O176" s="9">
        <f>_xlfn.XLOOKUP(G176,[1]!tblProductMaster[SKU],[1]!tblProductMaster[Unit Cost])</f>
        <v>3.1</v>
      </c>
      <c r="P176" s="8">
        <f t="shared" si="12"/>
        <v>2092.5</v>
      </c>
      <c r="Q176" s="8">
        <f t="shared" si="13"/>
        <v>2963.25</v>
      </c>
      <c r="R176" s="4">
        <f t="shared" si="14"/>
        <v>0.58611481975967961</v>
      </c>
      <c r="S176" t="s">
        <v>87</v>
      </c>
      <c r="T176">
        <f>Table6[[#This Row],[Discount]]*Table6[[#This Row],[List Price]]*Table6[[#This Row],[Units]]</f>
        <v>0</v>
      </c>
    </row>
    <row r="177" spans="1:20" x14ac:dyDescent="0.2">
      <c r="A177" t="s">
        <v>270</v>
      </c>
      <c r="B177" s="2">
        <v>46211.401184814727</v>
      </c>
      <c r="C177" t="s">
        <v>93</v>
      </c>
      <c r="D177" t="s">
        <v>85</v>
      </c>
      <c r="E177" t="s">
        <v>25</v>
      </c>
      <c r="F177" t="s">
        <v>18</v>
      </c>
      <c r="G177" t="s">
        <v>37</v>
      </c>
      <c r="H177" t="str">
        <f>_xlfn.XLOOKUP(Table6[[#This Row],[SKU]],tblProductMaster[SKU],tblProductMaster[Product])</f>
        <v>Body Wash</v>
      </c>
      <c r="I177">
        <v>713</v>
      </c>
      <c r="J177">
        <f>_xlfn.XLOOKUP(G177,[1]!tblProductMaster[SKU],[1]!tblProductMaster[List Price])</f>
        <v>5.49</v>
      </c>
      <c r="K177" t="s">
        <v>86</v>
      </c>
      <c r="L177" s="3">
        <v>0</v>
      </c>
      <c r="M177" s="9">
        <f t="shared" si="10"/>
        <v>5.49</v>
      </c>
      <c r="N177" s="8">
        <f t="shared" si="11"/>
        <v>3914.3700000000003</v>
      </c>
      <c r="O177" s="9">
        <f>_xlfn.XLOOKUP(G177,[1]!tblProductMaster[SKU],[1]!tblProductMaster[Unit Cost])</f>
        <v>2.2999999999999998</v>
      </c>
      <c r="P177" s="8">
        <f t="shared" si="12"/>
        <v>1639.8999999999999</v>
      </c>
      <c r="Q177" s="8">
        <f t="shared" si="13"/>
        <v>2274.4700000000003</v>
      </c>
      <c r="R177" s="4">
        <f t="shared" si="14"/>
        <v>0.58105646630236796</v>
      </c>
      <c r="S177" t="s">
        <v>87</v>
      </c>
      <c r="T177">
        <f>Table6[[#This Row],[Discount]]*Table6[[#This Row],[List Price]]*Table6[[#This Row],[Units]]</f>
        <v>0</v>
      </c>
    </row>
    <row r="178" spans="1:20" x14ac:dyDescent="0.2">
      <c r="A178" t="s">
        <v>271</v>
      </c>
      <c r="B178" s="2">
        <v>46079.709167387169</v>
      </c>
      <c r="C178" t="s">
        <v>98</v>
      </c>
      <c r="D178" t="s">
        <v>104</v>
      </c>
      <c r="E178" t="s">
        <v>56</v>
      </c>
      <c r="F178" t="s">
        <v>7</v>
      </c>
      <c r="G178" t="s">
        <v>64</v>
      </c>
      <c r="H178" t="str">
        <f>_xlfn.XLOOKUP(Table6[[#This Row],[SKU]],tblProductMaster[SKU],tblProductMaster[Product])</f>
        <v>Toothbrush</v>
      </c>
      <c r="I178">
        <v>1191</v>
      </c>
      <c r="J178">
        <f>_xlfn.XLOOKUP(G178,[1]!tblProductMaster[SKU],[1]!tblProductMaster[List Price])</f>
        <v>3.99</v>
      </c>
      <c r="K178" t="s">
        <v>89</v>
      </c>
      <c r="L178" s="3">
        <v>0.2</v>
      </c>
      <c r="M178" s="9">
        <f t="shared" si="10"/>
        <v>3.1920000000000002</v>
      </c>
      <c r="N178" s="8">
        <f t="shared" si="11"/>
        <v>3801.672</v>
      </c>
      <c r="O178" s="9">
        <f>_xlfn.XLOOKUP(G178,[1]!tblProductMaster[SKU],[1]!tblProductMaster[Unit Cost])</f>
        <v>1.5</v>
      </c>
      <c r="P178" s="8">
        <f t="shared" si="12"/>
        <v>1786.5</v>
      </c>
      <c r="Q178" s="8">
        <f t="shared" si="13"/>
        <v>2015.172</v>
      </c>
      <c r="R178" s="4">
        <f t="shared" si="14"/>
        <v>0.53007518796992481</v>
      </c>
      <c r="S178" t="s">
        <v>90</v>
      </c>
      <c r="T178">
        <f>Table6[[#This Row],[Discount]]*Table6[[#This Row],[List Price]]*Table6[[#This Row],[Units]]</f>
        <v>950.41800000000001</v>
      </c>
    </row>
    <row r="179" spans="1:20" x14ac:dyDescent="0.2">
      <c r="A179" t="s">
        <v>272</v>
      </c>
      <c r="B179" s="2">
        <v>46115.256598629181</v>
      </c>
      <c r="C179" t="s">
        <v>93</v>
      </c>
      <c r="D179" t="s">
        <v>104</v>
      </c>
      <c r="E179" t="s">
        <v>40</v>
      </c>
      <c r="F179" t="s">
        <v>7</v>
      </c>
      <c r="G179" t="s">
        <v>48</v>
      </c>
      <c r="H179" t="str">
        <f>_xlfn.XLOOKUP(Table6[[#This Row],[SKU]],tblProductMaster[SKU],tblProductMaster[Product])</f>
        <v>Color Detergent</v>
      </c>
      <c r="I179">
        <v>692</v>
      </c>
      <c r="J179">
        <f>_xlfn.XLOOKUP(G179,[1]!tblProductMaster[SKU],[1]!tblProductMaster[List Price])</f>
        <v>9.49</v>
      </c>
      <c r="K179" t="s">
        <v>86</v>
      </c>
      <c r="L179" s="3">
        <v>0</v>
      </c>
      <c r="M179" s="9">
        <f t="shared" si="10"/>
        <v>9.49</v>
      </c>
      <c r="N179" s="8">
        <f t="shared" si="11"/>
        <v>6567.08</v>
      </c>
      <c r="O179" s="9">
        <f>_xlfn.XLOOKUP(G179,[1]!tblProductMaster[SKU],[1]!tblProductMaster[Unit Cost])</f>
        <v>4</v>
      </c>
      <c r="P179" s="8">
        <f t="shared" si="12"/>
        <v>2768</v>
      </c>
      <c r="Q179" s="8">
        <f t="shared" si="13"/>
        <v>3799.08</v>
      </c>
      <c r="R179" s="4">
        <f t="shared" si="14"/>
        <v>0.57850368809272923</v>
      </c>
      <c r="S179" t="s">
        <v>87</v>
      </c>
      <c r="T179">
        <f>Table6[[#This Row],[Discount]]*Table6[[#This Row],[List Price]]*Table6[[#This Row],[Units]]</f>
        <v>0</v>
      </c>
    </row>
    <row r="180" spans="1:20" x14ac:dyDescent="0.2">
      <c r="A180" t="s">
        <v>273</v>
      </c>
      <c r="B180" s="2">
        <v>46209.33772928486</v>
      </c>
      <c r="C180" t="s">
        <v>98</v>
      </c>
      <c r="D180" t="s">
        <v>96</v>
      </c>
      <c r="E180" t="s">
        <v>56</v>
      </c>
      <c r="F180" t="s">
        <v>15</v>
      </c>
      <c r="G180" t="s">
        <v>55</v>
      </c>
      <c r="H180" t="str">
        <f>_xlfn.XLOOKUP(Table6[[#This Row],[SKU]],tblProductMaster[SKU],tblProductMaster[Product])</f>
        <v>Toothpaste 75ml</v>
      </c>
      <c r="I180">
        <v>408</v>
      </c>
      <c r="J180">
        <f>_xlfn.XLOOKUP(G180,[1]!tblProductMaster[SKU],[1]!tblProductMaster[List Price])</f>
        <v>3.49</v>
      </c>
      <c r="K180" t="s">
        <v>89</v>
      </c>
      <c r="L180" s="3">
        <v>0.3</v>
      </c>
      <c r="M180" s="9">
        <f t="shared" si="10"/>
        <v>2.4430000000000001</v>
      </c>
      <c r="N180" s="8">
        <f t="shared" si="11"/>
        <v>996.74400000000003</v>
      </c>
      <c r="O180" s="9">
        <f>_xlfn.XLOOKUP(G180,[1]!tblProductMaster[SKU],[1]!tblProductMaster[Unit Cost])</f>
        <v>1.2</v>
      </c>
      <c r="P180" s="8">
        <f t="shared" si="12"/>
        <v>489.59999999999997</v>
      </c>
      <c r="Q180" s="8">
        <f t="shared" si="13"/>
        <v>507.14400000000006</v>
      </c>
      <c r="R180" s="4">
        <f t="shared" si="14"/>
        <v>0.50880065493246018</v>
      </c>
      <c r="S180" t="s">
        <v>90</v>
      </c>
      <c r="T180">
        <f>Table6[[#This Row],[Discount]]*Table6[[#This Row],[List Price]]*Table6[[#This Row],[Units]]</f>
        <v>427.17599999999999</v>
      </c>
    </row>
    <row r="181" spans="1:20" x14ac:dyDescent="0.2">
      <c r="A181" t="s">
        <v>274</v>
      </c>
      <c r="B181" s="2">
        <v>46323.683688345402</v>
      </c>
      <c r="C181" t="s">
        <v>98</v>
      </c>
      <c r="D181" t="s">
        <v>85</v>
      </c>
      <c r="E181" t="s">
        <v>8</v>
      </c>
      <c r="F181" t="s">
        <v>7</v>
      </c>
      <c r="G181" t="s">
        <v>6</v>
      </c>
      <c r="H181" t="str">
        <f>_xlfn.XLOOKUP(Table6[[#This Row],[SKU]],tblProductMaster[SKU],tblProductMaster[Product])</f>
        <v>Shampoo 250ml</v>
      </c>
      <c r="I181">
        <v>388</v>
      </c>
      <c r="J181">
        <f>_xlfn.XLOOKUP(G181,[1]!tblProductMaster[SKU],[1]!tblProductMaster[List Price])</f>
        <v>5.99</v>
      </c>
      <c r="K181" t="s">
        <v>86</v>
      </c>
      <c r="L181" s="3">
        <v>0</v>
      </c>
      <c r="M181" s="9">
        <f t="shared" si="10"/>
        <v>5.99</v>
      </c>
      <c r="N181" s="8">
        <f t="shared" si="11"/>
        <v>2324.12</v>
      </c>
      <c r="O181" s="9">
        <f>_xlfn.XLOOKUP(G181,[1]!tblProductMaster[SKU],[1]!tblProductMaster[Unit Cost])</f>
        <v>2.4</v>
      </c>
      <c r="P181" s="8">
        <f t="shared" si="12"/>
        <v>931.19999999999993</v>
      </c>
      <c r="Q181" s="8">
        <f t="shared" si="13"/>
        <v>1392.92</v>
      </c>
      <c r="R181" s="4">
        <f t="shared" si="14"/>
        <v>0.59933222036727885</v>
      </c>
      <c r="S181" t="s">
        <v>87</v>
      </c>
      <c r="T181">
        <f>Table6[[#This Row],[Discount]]*Table6[[#This Row],[List Price]]*Table6[[#This Row],[Units]]</f>
        <v>0</v>
      </c>
    </row>
    <row r="182" spans="1:20" x14ac:dyDescent="0.2">
      <c r="A182" t="s">
        <v>275</v>
      </c>
      <c r="B182" s="2">
        <v>46110.87594424394</v>
      </c>
      <c r="C182" t="s">
        <v>98</v>
      </c>
      <c r="D182" t="s">
        <v>96</v>
      </c>
      <c r="E182" t="s">
        <v>56</v>
      </c>
      <c r="F182" t="s">
        <v>15</v>
      </c>
      <c r="G182" t="s">
        <v>62</v>
      </c>
      <c r="H182" t="str">
        <f>_xlfn.XLOOKUP(Table6[[#This Row],[SKU]],tblProductMaster[SKU],tblProductMaster[Product])</f>
        <v>Mouthwash 500ml</v>
      </c>
      <c r="I182">
        <v>677</v>
      </c>
      <c r="J182">
        <f>_xlfn.XLOOKUP(G182,[1]!tblProductMaster[SKU],[1]!tblProductMaster[List Price])</f>
        <v>5.99</v>
      </c>
      <c r="K182" t="s">
        <v>86</v>
      </c>
      <c r="L182" s="3">
        <v>0</v>
      </c>
      <c r="M182" s="9">
        <f t="shared" si="10"/>
        <v>5.99</v>
      </c>
      <c r="N182" s="8">
        <f t="shared" si="11"/>
        <v>4055.23</v>
      </c>
      <c r="O182" s="9">
        <f>_xlfn.XLOOKUP(G182,[1]!tblProductMaster[SKU],[1]!tblProductMaster[Unit Cost])</f>
        <v>2.4</v>
      </c>
      <c r="P182" s="8">
        <f t="shared" si="12"/>
        <v>1624.8</v>
      </c>
      <c r="Q182" s="8">
        <f t="shared" si="13"/>
        <v>2430.4300000000003</v>
      </c>
      <c r="R182" s="4">
        <f t="shared" si="14"/>
        <v>0.59933222036727885</v>
      </c>
      <c r="S182" t="s">
        <v>87</v>
      </c>
      <c r="T182">
        <f>Table6[[#This Row],[Discount]]*Table6[[#This Row],[List Price]]*Table6[[#This Row],[Units]]</f>
        <v>0</v>
      </c>
    </row>
    <row r="183" spans="1:20" x14ac:dyDescent="0.2">
      <c r="A183" t="s">
        <v>276</v>
      </c>
      <c r="B183" s="2">
        <v>46206.940693965895</v>
      </c>
      <c r="C183" t="s">
        <v>98</v>
      </c>
      <c r="D183" t="s">
        <v>104</v>
      </c>
      <c r="E183" t="s">
        <v>8</v>
      </c>
      <c r="F183" t="s">
        <v>18</v>
      </c>
      <c r="G183" t="s">
        <v>17</v>
      </c>
      <c r="H183" t="str">
        <f>_xlfn.XLOOKUP(Table6[[#This Row],[SKU]],tblProductMaster[SKU],tblProductMaster[Product])</f>
        <v>Anti-Dandruff Shampoo</v>
      </c>
      <c r="I183">
        <v>373</v>
      </c>
      <c r="J183">
        <f>_xlfn.XLOOKUP(G183,[1]!tblProductMaster[SKU],[1]!tblProductMaster[List Price])</f>
        <v>6.49</v>
      </c>
      <c r="K183" t="s">
        <v>86</v>
      </c>
      <c r="L183" s="3">
        <v>0</v>
      </c>
      <c r="M183" s="9">
        <f t="shared" si="10"/>
        <v>6.49</v>
      </c>
      <c r="N183" s="8">
        <f t="shared" si="11"/>
        <v>2420.77</v>
      </c>
      <c r="O183" s="9">
        <f>_xlfn.XLOOKUP(G183,[1]!tblProductMaster[SKU],[1]!tblProductMaster[Unit Cost])</f>
        <v>2.8</v>
      </c>
      <c r="P183" s="8">
        <f t="shared" si="12"/>
        <v>1044.3999999999999</v>
      </c>
      <c r="Q183" s="8">
        <f t="shared" si="13"/>
        <v>1376.3700000000001</v>
      </c>
      <c r="R183" s="4">
        <f t="shared" si="14"/>
        <v>0.5685670261941449</v>
      </c>
      <c r="S183" t="s">
        <v>87</v>
      </c>
      <c r="T183">
        <f>Table6[[#This Row],[Discount]]*Table6[[#This Row],[List Price]]*Table6[[#This Row],[Units]]</f>
        <v>0</v>
      </c>
    </row>
    <row r="184" spans="1:20" x14ac:dyDescent="0.2">
      <c r="A184" t="s">
        <v>277</v>
      </c>
      <c r="B184" s="2">
        <v>46244.669139834754</v>
      </c>
      <c r="C184" t="s">
        <v>84</v>
      </c>
      <c r="D184" t="s">
        <v>96</v>
      </c>
      <c r="E184" t="s">
        <v>8</v>
      </c>
      <c r="F184" t="s">
        <v>15</v>
      </c>
      <c r="G184" t="s">
        <v>22</v>
      </c>
      <c r="H184" t="str">
        <f>_xlfn.XLOOKUP(Table6[[#This Row],[SKU]],tblProductMaster[SKU],tblProductMaster[Product])</f>
        <v>Styling Gel</v>
      </c>
      <c r="I184">
        <v>730</v>
      </c>
      <c r="J184">
        <f>_xlfn.XLOOKUP(G184,[1]!tblProductMaster[SKU],[1]!tblProductMaster[List Price])</f>
        <v>4.49</v>
      </c>
      <c r="K184" t="s">
        <v>86</v>
      </c>
      <c r="L184" s="3">
        <v>0</v>
      </c>
      <c r="M184" s="9">
        <f t="shared" si="10"/>
        <v>4.49</v>
      </c>
      <c r="N184" s="8">
        <f t="shared" si="11"/>
        <v>3277.7000000000003</v>
      </c>
      <c r="O184" s="9">
        <f>_xlfn.XLOOKUP(G184,[1]!tblProductMaster[SKU],[1]!tblProductMaster[Unit Cost])</f>
        <v>1.9</v>
      </c>
      <c r="P184" s="8">
        <f t="shared" si="12"/>
        <v>1387</v>
      </c>
      <c r="Q184" s="8">
        <f t="shared" si="13"/>
        <v>1890.7000000000003</v>
      </c>
      <c r="R184" s="4">
        <f t="shared" si="14"/>
        <v>0.57683741648106912</v>
      </c>
      <c r="S184" t="s">
        <v>87</v>
      </c>
      <c r="T184">
        <f>Table6[[#This Row],[Discount]]*Table6[[#This Row],[List Price]]*Table6[[#This Row],[Units]]</f>
        <v>0</v>
      </c>
    </row>
    <row r="185" spans="1:20" x14ac:dyDescent="0.2">
      <c r="A185" t="s">
        <v>278</v>
      </c>
      <c r="B185" s="2">
        <v>46215.040478227813</v>
      </c>
      <c r="C185" t="s">
        <v>93</v>
      </c>
      <c r="D185" t="s">
        <v>96</v>
      </c>
      <c r="E185" t="s">
        <v>8</v>
      </c>
      <c r="F185" t="s">
        <v>15</v>
      </c>
      <c r="G185" t="s">
        <v>22</v>
      </c>
      <c r="H185" t="str">
        <f>_xlfn.XLOOKUP(Table6[[#This Row],[SKU]],tblProductMaster[SKU],tblProductMaster[Product])</f>
        <v>Styling Gel</v>
      </c>
      <c r="I185">
        <v>732</v>
      </c>
      <c r="J185">
        <f>_xlfn.XLOOKUP(G185,[1]!tblProductMaster[SKU],[1]!tblProductMaster[List Price])</f>
        <v>4.49</v>
      </c>
      <c r="K185" t="s">
        <v>86</v>
      </c>
      <c r="L185" s="3">
        <v>0</v>
      </c>
      <c r="M185" s="9">
        <f t="shared" si="10"/>
        <v>4.49</v>
      </c>
      <c r="N185" s="8">
        <f t="shared" si="11"/>
        <v>3286.6800000000003</v>
      </c>
      <c r="O185" s="9">
        <f>_xlfn.XLOOKUP(G185,[1]!tblProductMaster[SKU],[1]!tblProductMaster[Unit Cost])</f>
        <v>1.9</v>
      </c>
      <c r="P185" s="8">
        <f t="shared" si="12"/>
        <v>1390.8</v>
      </c>
      <c r="Q185" s="8">
        <f t="shared" si="13"/>
        <v>1895.8800000000003</v>
      </c>
      <c r="R185" s="4">
        <f t="shared" si="14"/>
        <v>0.57683741648106912</v>
      </c>
      <c r="S185" t="s">
        <v>87</v>
      </c>
      <c r="T185">
        <f>Table6[[#This Row],[Discount]]*Table6[[#This Row],[List Price]]*Table6[[#This Row],[Units]]</f>
        <v>0</v>
      </c>
    </row>
    <row r="186" spans="1:20" x14ac:dyDescent="0.2">
      <c r="A186" t="s">
        <v>279</v>
      </c>
      <c r="B186" s="2">
        <v>46343.986406677075</v>
      </c>
      <c r="C186" t="s">
        <v>84</v>
      </c>
      <c r="D186" t="s">
        <v>96</v>
      </c>
      <c r="E186" t="s">
        <v>8</v>
      </c>
      <c r="F186" t="s">
        <v>18</v>
      </c>
      <c r="G186" t="s">
        <v>17</v>
      </c>
      <c r="H186" t="str">
        <f>_xlfn.XLOOKUP(Table6[[#This Row],[SKU]],tblProductMaster[SKU],tblProductMaster[Product])</f>
        <v>Anti-Dandruff Shampoo</v>
      </c>
      <c r="I186">
        <v>532</v>
      </c>
      <c r="J186">
        <f>_xlfn.XLOOKUP(G186,[1]!tblProductMaster[SKU],[1]!tblProductMaster[List Price])</f>
        <v>6.49</v>
      </c>
      <c r="K186" t="s">
        <v>89</v>
      </c>
      <c r="L186" s="3">
        <v>0.1</v>
      </c>
      <c r="M186" s="9">
        <f t="shared" si="10"/>
        <v>5.8410000000000002</v>
      </c>
      <c r="N186" s="8">
        <f t="shared" si="11"/>
        <v>3107.4120000000003</v>
      </c>
      <c r="O186" s="9">
        <f>_xlfn.XLOOKUP(G186,[1]!tblProductMaster[SKU],[1]!tblProductMaster[Unit Cost])</f>
        <v>2.8</v>
      </c>
      <c r="P186" s="8">
        <f t="shared" si="12"/>
        <v>1489.6</v>
      </c>
      <c r="Q186" s="8">
        <f t="shared" si="13"/>
        <v>1617.8120000000004</v>
      </c>
      <c r="R186" s="4">
        <f t="shared" si="14"/>
        <v>0.52063002910460543</v>
      </c>
      <c r="S186" t="s">
        <v>99</v>
      </c>
      <c r="T186">
        <f>Table6[[#This Row],[Discount]]*Table6[[#This Row],[List Price]]*Table6[[#This Row],[Units]]</f>
        <v>345.26800000000003</v>
      </c>
    </row>
    <row r="187" spans="1:20" x14ac:dyDescent="0.2">
      <c r="A187" t="s">
        <v>280</v>
      </c>
      <c r="B187" s="2">
        <v>46325.489788119179</v>
      </c>
      <c r="C187" t="s">
        <v>84</v>
      </c>
      <c r="D187" t="s">
        <v>104</v>
      </c>
      <c r="E187" t="s">
        <v>40</v>
      </c>
      <c r="F187" t="s">
        <v>7</v>
      </c>
      <c r="G187" t="s">
        <v>48</v>
      </c>
      <c r="H187" t="str">
        <f>_xlfn.XLOOKUP(Table6[[#This Row],[SKU]],tblProductMaster[SKU],tblProductMaster[Product])</f>
        <v>Color Detergent</v>
      </c>
      <c r="I187">
        <v>412</v>
      </c>
      <c r="J187">
        <f>_xlfn.XLOOKUP(G187,[1]!tblProductMaster[SKU],[1]!tblProductMaster[List Price])</f>
        <v>9.49</v>
      </c>
      <c r="K187" t="s">
        <v>86</v>
      </c>
      <c r="L187" s="3">
        <v>0</v>
      </c>
      <c r="M187" s="9">
        <f t="shared" si="10"/>
        <v>9.49</v>
      </c>
      <c r="N187" s="8">
        <f t="shared" si="11"/>
        <v>3909.88</v>
      </c>
      <c r="O187" s="9">
        <f>_xlfn.XLOOKUP(G187,[1]!tblProductMaster[SKU],[1]!tblProductMaster[Unit Cost])</f>
        <v>4</v>
      </c>
      <c r="P187" s="8">
        <f t="shared" si="12"/>
        <v>1648</v>
      </c>
      <c r="Q187" s="8">
        <f t="shared" si="13"/>
        <v>2261.88</v>
      </c>
      <c r="R187" s="4">
        <f t="shared" si="14"/>
        <v>0.57850368809272923</v>
      </c>
      <c r="S187" t="s">
        <v>87</v>
      </c>
      <c r="T187">
        <f>Table6[[#This Row],[Discount]]*Table6[[#This Row],[List Price]]*Table6[[#This Row],[Units]]</f>
        <v>0</v>
      </c>
    </row>
    <row r="188" spans="1:20" x14ac:dyDescent="0.2">
      <c r="A188" t="s">
        <v>281</v>
      </c>
      <c r="B188" s="2">
        <v>46053.206552124262</v>
      </c>
      <c r="C188" t="s">
        <v>98</v>
      </c>
      <c r="D188" t="s">
        <v>96</v>
      </c>
      <c r="E188" t="s">
        <v>56</v>
      </c>
      <c r="F188" t="s">
        <v>15</v>
      </c>
      <c r="G188" t="s">
        <v>62</v>
      </c>
      <c r="H188" t="str">
        <f>_xlfn.XLOOKUP(Table6[[#This Row],[SKU]],tblProductMaster[SKU],tblProductMaster[Product])</f>
        <v>Mouthwash 500ml</v>
      </c>
      <c r="I188">
        <v>993</v>
      </c>
      <c r="J188">
        <f>_xlfn.XLOOKUP(G188,[1]!tblProductMaster[SKU],[1]!tblProductMaster[List Price])</f>
        <v>5.99</v>
      </c>
      <c r="K188" t="s">
        <v>89</v>
      </c>
      <c r="L188" s="3">
        <v>0.2</v>
      </c>
      <c r="M188" s="9">
        <f t="shared" si="10"/>
        <v>4.7920000000000007</v>
      </c>
      <c r="N188" s="8">
        <f t="shared" si="11"/>
        <v>4758.456000000001</v>
      </c>
      <c r="O188" s="9">
        <f>_xlfn.XLOOKUP(G188,[1]!tblProductMaster[SKU],[1]!tblProductMaster[Unit Cost])</f>
        <v>2.4</v>
      </c>
      <c r="P188" s="8">
        <f t="shared" si="12"/>
        <v>2383.1999999999998</v>
      </c>
      <c r="Q188" s="8">
        <f t="shared" si="13"/>
        <v>2375.2560000000012</v>
      </c>
      <c r="R188" s="4">
        <f t="shared" si="14"/>
        <v>0.49916527545909867</v>
      </c>
      <c r="S188" t="s">
        <v>90</v>
      </c>
      <c r="T188">
        <f>Table6[[#This Row],[Discount]]*Table6[[#This Row],[List Price]]*Table6[[#This Row],[Units]]</f>
        <v>1189.6140000000003</v>
      </c>
    </row>
    <row r="189" spans="1:20" x14ac:dyDescent="0.2">
      <c r="A189" t="s">
        <v>282</v>
      </c>
      <c r="B189" s="2">
        <v>46136.623203098658</v>
      </c>
      <c r="C189" t="s">
        <v>84</v>
      </c>
      <c r="D189" t="s">
        <v>104</v>
      </c>
      <c r="E189" t="s">
        <v>40</v>
      </c>
      <c r="F189" t="s">
        <v>18</v>
      </c>
      <c r="G189" t="s">
        <v>42</v>
      </c>
      <c r="H189" t="str">
        <f>_xlfn.XLOOKUP(Table6[[#This Row],[SKU]],tblProductMaster[SKU],tblProductMaster[Product])</f>
        <v>Detergent Capsules</v>
      </c>
      <c r="I189">
        <v>797</v>
      </c>
      <c r="J189">
        <f>_xlfn.XLOOKUP(G189,[1]!tblProductMaster[SKU],[1]!tblProductMaster[List Price])</f>
        <v>11.99</v>
      </c>
      <c r="K189" t="s">
        <v>86</v>
      </c>
      <c r="L189" s="3">
        <v>0</v>
      </c>
      <c r="M189" s="9">
        <f t="shared" si="10"/>
        <v>11.99</v>
      </c>
      <c r="N189" s="8">
        <f t="shared" si="11"/>
        <v>9556.0300000000007</v>
      </c>
      <c r="O189" s="9">
        <f>_xlfn.XLOOKUP(G189,[1]!tblProductMaster[SKU],[1]!tblProductMaster[Unit Cost])</f>
        <v>5.2</v>
      </c>
      <c r="P189" s="8">
        <f t="shared" si="12"/>
        <v>4144.4000000000005</v>
      </c>
      <c r="Q189" s="8">
        <f t="shared" si="13"/>
        <v>5411.63</v>
      </c>
      <c r="R189" s="4">
        <f t="shared" si="14"/>
        <v>0.56630525437864887</v>
      </c>
      <c r="S189" t="s">
        <v>87</v>
      </c>
      <c r="T189">
        <f>Table6[[#This Row],[Discount]]*Table6[[#This Row],[List Price]]*Table6[[#This Row],[Units]]</f>
        <v>0</v>
      </c>
    </row>
    <row r="190" spans="1:20" x14ac:dyDescent="0.2">
      <c r="A190" t="s">
        <v>283</v>
      </c>
      <c r="B190" s="2">
        <v>46157.543431093727</v>
      </c>
      <c r="C190" t="s">
        <v>93</v>
      </c>
      <c r="D190" t="s">
        <v>85</v>
      </c>
      <c r="E190" t="s">
        <v>56</v>
      </c>
      <c r="F190" t="s">
        <v>15</v>
      </c>
      <c r="G190" t="s">
        <v>62</v>
      </c>
      <c r="H190" t="str">
        <f>_xlfn.XLOOKUP(Table6[[#This Row],[SKU]],tblProductMaster[SKU],tblProductMaster[Product])</f>
        <v>Mouthwash 500ml</v>
      </c>
      <c r="I190">
        <v>755</v>
      </c>
      <c r="J190">
        <f>_xlfn.XLOOKUP(G190,[1]!tblProductMaster[SKU],[1]!tblProductMaster[List Price])</f>
        <v>5.99</v>
      </c>
      <c r="K190" t="s">
        <v>86</v>
      </c>
      <c r="L190" s="3">
        <v>0</v>
      </c>
      <c r="M190" s="9">
        <f t="shared" si="10"/>
        <v>5.99</v>
      </c>
      <c r="N190" s="8">
        <f t="shared" si="11"/>
        <v>4522.45</v>
      </c>
      <c r="O190" s="9">
        <f>_xlfn.XLOOKUP(G190,[1]!tblProductMaster[SKU],[1]!tblProductMaster[Unit Cost])</f>
        <v>2.4</v>
      </c>
      <c r="P190" s="8">
        <f t="shared" si="12"/>
        <v>1812</v>
      </c>
      <c r="Q190" s="8">
        <f t="shared" si="13"/>
        <v>2710.45</v>
      </c>
      <c r="R190" s="4">
        <f t="shared" si="14"/>
        <v>0.59933222036727873</v>
      </c>
      <c r="S190" t="s">
        <v>87</v>
      </c>
      <c r="T190">
        <f>Table6[[#This Row],[Discount]]*Table6[[#This Row],[List Price]]*Table6[[#This Row],[Units]]</f>
        <v>0</v>
      </c>
    </row>
    <row r="191" spans="1:20" x14ac:dyDescent="0.2">
      <c r="A191" t="s">
        <v>284</v>
      </c>
      <c r="B191" s="2">
        <v>46246.395888910047</v>
      </c>
      <c r="C191" t="s">
        <v>84</v>
      </c>
      <c r="D191" t="s">
        <v>96</v>
      </c>
      <c r="E191" t="s">
        <v>56</v>
      </c>
      <c r="F191" t="s">
        <v>15</v>
      </c>
      <c r="G191" t="s">
        <v>55</v>
      </c>
      <c r="H191" t="str">
        <f>_xlfn.XLOOKUP(Table6[[#This Row],[SKU]],tblProductMaster[SKU],tblProductMaster[Product])</f>
        <v>Toothpaste 75ml</v>
      </c>
      <c r="I191">
        <v>237</v>
      </c>
      <c r="J191">
        <f>_xlfn.XLOOKUP(G191,[1]!tblProductMaster[SKU],[1]!tblProductMaster[List Price])</f>
        <v>3.49</v>
      </c>
      <c r="K191" t="s">
        <v>86</v>
      </c>
      <c r="L191" s="3">
        <v>0</v>
      </c>
      <c r="M191" s="9">
        <f t="shared" si="10"/>
        <v>3.49</v>
      </c>
      <c r="N191" s="8">
        <f t="shared" si="11"/>
        <v>827.13</v>
      </c>
      <c r="O191" s="9">
        <f>_xlfn.XLOOKUP(G191,[1]!tblProductMaster[SKU],[1]!tblProductMaster[Unit Cost])</f>
        <v>1.2</v>
      </c>
      <c r="P191" s="8">
        <f t="shared" si="12"/>
        <v>284.39999999999998</v>
      </c>
      <c r="Q191" s="8">
        <f t="shared" si="13"/>
        <v>542.73</v>
      </c>
      <c r="R191" s="4">
        <f t="shared" si="14"/>
        <v>0.65616045845272208</v>
      </c>
      <c r="S191" t="s">
        <v>87</v>
      </c>
      <c r="T191">
        <f>Table6[[#This Row],[Discount]]*Table6[[#This Row],[List Price]]*Table6[[#This Row],[Units]]</f>
        <v>0</v>
      </c>
    </row>
    <row r="192" spans="1:20" x14ac:dyDescent="0.2">
      <c r="A192" t="s">
        <v>285</v>
      </c>
      <c r="B192" s="2">
        <v>46262.438137422512</v>
      </c>
      <c r="C192" t="s">
        <v>84</v>
      </c>
      <c r="D192" t="s">
        <v>96</v>
      </c>
      <c r="E192" t="s">
        <v>40</v>
      </c>
      <c r="F192" t="s">
        <v>18</v>
      </c>
      <c r="G192" t="s">
        <v>42</v>
      </c>
      <c r="H192" t="str">
        <f>_xlfn.XLOOKUP(Table6[[#This Row],[SKU]],tblProductMaster[SKU],tblProductMaster[Product])</f>
        <v>Detergent Capsules</v>
      </c>
      <c r="I192">
        <v>433</v>
      </c>
      <c r="J192">
        <f>_xlfn.XLOOKUP(G192,[1]!tblProductMaster[SKU],[1]!tblProductMaster[List Price])</f>
        <v>11.99</v>
      </c>
      <c r="K192" t="s">
        <v>89</v>
      </c>
      <c r="L192" s="3">
        <v>0.1</v>
      </c>
      <c r="M192" s="9">
        <f t="shared" si="10"/>
        <v>10.791</v>
      </c>
      <c r="N192" s="8">
        <f t="shared" si="11"/>
        <v>4672.5030000000006</v>
      </c>
      <c r="O192" s="9">
        <f>_xlfn.XLOOKUP(G192,[1]!tblProductMaster[SKU],[1]!tblProductMaster[Unit Cost])</f>
        <v>5.2</v>
      </c>
      <c r="P192" s="8">
        <f t="shared" si="12"/>
        <v>2251.6</v>
      </c>
      <c r="Q192" s="8">
        <f t="shared" si="13"/>
        <v>2420.9030000000007</v>
      </c>
      <c r="R192" s="4">
        <f t="shared" si="14"/>
        <v>0.51811694930960994</v>
      </c>
      <c r="S192" t="s">
        <v>90</v>
      </c>
      <c r="T192">
        <f>Table6[[#This Row],[Discount]]*Table6[[#This Row],[List Price]]*Table6[[#This Row],[Units]]</f>
        <v>519.16700000000003</v>
      </c>
    </row>
    <row r="193" spans="1:20" x14ac:dyDescent="0.2">
      <c r="A193" t="s">
        <v>286</v>
      </c>
      <c r="B193" s="2">
        <v>46358.412159563013</v>
      </c>
      <c r="C193" t="s">
        <v>98</v>
      </c>
      <c r="D193" t="s">
        <v>104</v>
      </c>
      <c r="E193" t="s">
        <v>56</v>
      </c>
      <c r="F193" t="s">
        <v>15</v>
      </c>
      <c r="G193" t="s">
        <v>55</v>
      </c>
      <c r="H193" t="str">
        <f>_xlfn.XLOOKUP(Table6[[#This Row],[SKU]],tblProductMaster[SKU],tblProductMaster[Product])</f>
        <v>Toothpaste 75ml</v>
      </c>
      <c r="I193">
        <v>1145</v>
      </c>
      <c r="J193">
        <f>_xlfn.XLOOKUP(G193,[1]!tblProductMaster[SKU],[1]!tblProductMaster[List Price])</f>
        <v>3.49</v>
      </c>
      <c r="K193" t="s">
        <v>89</v>
      </c>
      <c r="L193" s="3">
        <v>0.1</v>
      </c>
      <c r="M193" s="9">
        <f t="shared" si="10"/>
        <v>3.1410000000000005</v>
      </c>
      <c r="N193" s="8">
        <f t="shared" si="11"/>
        <v>3596.4450000000006</v>
      </c>
      <c r="O193" s="9">
        <f>_xlfn.XLOOKUP(G193,[1]!tblProductMaster[SKU],[1]!tblProductMaster[Unit Cost])</f>
        <v>1.2</v>
      </c>
      <c r="P193" s="8">
        <f t="shared" si="12"/>
        <v>1374</v>
      </c>
      <c r="Q193" s="8">
        <f t="shared" si="13"/>
        <v>2222.4450000000006</v>
      </c>
      <c r="R193" s="4">
        <f t="shared" si="14"/>
        <v>0.61795606494746902</v>
      </c>
      <c r="S193" t="s">
        <v>90</v>
      </c>
      <c r="T193">
        <f>Table6[[#This Row],[Discount]]*Table6[[#This Row],[List Price]]*Table6[[#This Row],[Units]]</f>
        <v>399.60500000000002</v>
      </c>
    </row>
    <row r="194" spans="1:20" x14ac:dyDescent="0.2">
      <c r="A194" t="s">
        <v>287</v>
      </c>
      <c r="B194" s="2">
        <v>46124.198975631327</v>
      </c>
      <c r="C194" t="s">
        <v>93</v>
      </c>
      <c r="D194" t="s">
        <v>96</v>
      </c>
      <c r="E194" t="s">
        <v>56</v>
      </c>
      <c r="F194" t="s">
        <v>15</v>
      </c>
      <c r="G194" t="s">
        <v>62</v>
      </c>
      <c r="H194" t="str">
        <f>_xlfn.XLOOKUP(Table6[[#This Row],[SKU]],tblProductMaster[SKU],tblProductMaster[Product])</f>
        <v>Mouthwash 500ml</v>
      </c>
      <c r="I194">
        <v>1134</v>
      </c>
      <c r="J194">
        <f>_xlfn.XLOOKUP(G194,[1]!tblProductMaster[SKU],[1]!tblProductMaster[List Price])</f>
        <v>5.99</v>
      </c>
      <c r="K194" t="s">
        <v>89</v>
      </c>
      <c r="L194" s="3">
        <v>0.1</v>
      </c>
      <c r="M194" s="9">
        <f t="shared" si="10"/>
        <v>5.391</v>
      </c>
      <c r="N194" s="8">
        <f t="shared" si="11"/>
        <v>6113.3940000000002</v>
      </c>
      <c r="O194" s="9">
        <f>_xlfn.XLOOKUP(G194,[1]!tblProductMaster[SKU],[1]!tblProductMaster[Unit Cost])</f>
        <v>2.4</v>
      </c>
      <c r="P194" s="8">
        <f t="shared" si="12"/>
        <v>2721.6</v>
      </c>
      <c r="Q194" s="8">
        <f t="shared" si="13"/>
        <v>3391.7940000000003</v>
      </c>
      <c r="R194" s="4">
        <f t="shared" si="14"/>
        <v>0.55481357818586541</v>
      </c>
      <c r="S194" t="s">
        <v>90</v>
      </c>
      <c r="T194">
        <f>Table6[[#This Row],[Discount]]*Table6[[#This Row],[List Price]]*Table6[[#This Row],[Units]]</f>
        <v>679.26600000000008</v>
      </c>
    </row>
    <row r="195" spans="1:20" x14ac:dyDescent="0.2">
      <c r="A195" t="s">
        <v>288</v>
      </c>
      <c r="B195" s="2">
        <v>46173.466375975135</v>
      </c>
      <c r="C195" t="s">
        <v>93</v>
      </c>
      <c r="D195" t="s">
        <v>85</v>
      </c>
      <c r="E195" t="s">
        <v>8</v>
      </c>
      <c r="F195" t="s">
        <v>15</v>
      </c>
      <c r="G195" t="s">
        <v>16</v>
      </c>
      <c r="H195" t="str">
        <f>_xlfn.XLOOKUP(Table6[[#This Row],[SKU]],tblProductMaster[SKU],tblProductMaster[Product])</f>
        <v>Conditioner 250ml</v>
      </c>
      <c r="I195">
        <v>797</v>
      </c>
      <c r="J195">
        <f>_xlfn.XLOOKUP(G195,[1]!tblProductMaster[SKU],[1]!tblProductMaster[List Price])</f>
        <v>4.79</v>
      </c>
      <c r="K195" t="s">
        <v>86</v>
      </c>
      <c r="L195" s="3">
        <v>0</v>
      </c>
      <c r="M195" s="9">
        <f t="shared" ref="M195:M258" si="15">J195*(1-L195)</f>
        <v>4.79</v>
      </c>
      <c r="N195" s="8">
        <f t="shared" ref="N195:N258" si="16">M195*I195</f>
        <v>3817.63</v>
      </c>
      <c r="O195" s="9">
        <f>_xlfn.XLOOKUP(G195,[1]!tblProductMaster[SKU],[1]!tblProductMaster[Unit Cost])</f>
        <v>2</v>
      </c>
      <c r="P195" s="8">
        <f t="shared" ref="P195:P258" si="17">O195*I195</f>
        <v>1594</v>
      </c>
      <c r="Q195" s="8">
        <f t="shared" ref="Q195:Q258" si="18">N195-P195</f>
        <v>2223.63</v>
      </c>
      <c r="R195" s="4">
        <f t="shared" ref="R195:R258" si="19">Q195/N195</f>
        <v>0.58246346555323592</v>
      </c>
      <c r="S195" t="s">
        <v>87</v>
      </c>
      <c r="T195">
        <f>Table6[[#This Row],[Discount]]*Table6[[#This Row],[List Price]]*Table6[[#This Row],[Units]]</f>
        <v>0</v>
      </c>
    </row>
    <row r="196" spans="1:20" x14ac:dyDescent="0.2">
      <c r="A196" t="s">
        <v>289</v>
      </c>
      <c r="B196" s="2">
        <v>46369.184917832026</v>
      </c>
      <c r="C196" t="s">
        <v>84</v>
      </c>
      <c r="D196" t="s">
        <v>96</v>
      </c>
      <c r="E196" t="s">
        <v>40</v>
      </c>
      <c r="F196" t="s">
        <v>15</v>
      </c>
      <c r="G196" t="s">
        <v>46</v>
      </c>
      <c r="H196" t="str">
        <f>_xlfn.XLOOKUP(Table6[[#This Row],[SKU]],tblProductMaster[SKU],tblProductMaster[Product])</f>
        <v>Stain Remover</v>
      </c>
      <c r="I196">
        <v>624</v>
      </c>
      <c r="J196">
        <f>_xlfn.XLOOKUP(G196,[1]!tblProductMaster[SKU],[1]!tblProductMaster[List Price])</f>
        <v>5.99</v>
      </c>
      <c r="K196" t="s">
        <v>86</v>
      </c>
      <c r="L196" s="3">
        <v>0</v>
      </c>
      <c r="M196" s="9">
        <f t="shared" si="15"/>
        <v>5.99</v>
      </c>
      <c r="N196" s="8">
        <f t="shared" si="16"/>
        <v>3737.76</v>
      </c>
      <c r="O196" s="9">
        <f>_xlfn.XLOOKUP(G196,[1]!tblProductMaster[SKU],[1]!tblProductMaster[Unit Cost])</f>
        <v>2.5</v>
      </c>
      <c r="P196" s="8">
        <f t="shared" si="17"/>
        <v>1560</v>
      </c>
      <c r="Q196" s="8">
        <f t="shared" si="18"/>
        <v>2177.7600000000002</v>
      </c>
      <c r="R196" s="4">
        <f t="shared" si="19"/>
        <v>0.58263772954924875</v>
      </c>
      <c r="S196" t="s">
        <v>87</v>
      </c>
      <c r="T196">
        <f>Table6[[#This Row],[Discount]]*Table6[[#This Row],[List Price]]*Table6[[#This Row],[Units]]</f>
        <v>0</v>
      </c>
    </row>
    <row r="197" spans="1:20" x14ac:dyDescent="0.2">
      <c r="A197" t="s">
        <v>290</v>
      </c>
      <c r="B197" s="2">
        <v>46119.85401933024</v>
      </c>
      <c r="C197" t="s">
        <v>98</v>
      </c>
      <c r="D197" t="s">
        <v>104</v>
      </c>
      <c r="E197" t="s">
        <v>8</v>
      </c>
      <c r="F197" t="s">
        <v>15</v>
      </c>
      <c r="G197" t="s">
        <v>22</v>
      </c>
      <c r="H197" t="str">
        <f>_xlfn.XLOOKUP(Table6[[#This Row],[SKU]],tblProductMaster[SKU],tblProductMaster[Product])</f>
        <v>Styling Gel</v>
      </c>
      <c r="I197">
        <v>352</v>
      </c>
      <c r="J197">
        <f>_xlfn.XLOOKUP(G197,[1]!tblProductMaster[SKU],[1]!tblProductMaster[List Price])</f>
        <v>4.49</v>
      </c>
      <c r="K197" t="s">
        <v>86</v>
      </c>
      <c r="L197" s="3">
        <v>0</v>
      </c>
      <c r="M197" s="9">
        <f t="shared" si="15"/>
        <v>4.49</v>
      </c>
      <c r="N197" s="8">
        <f t="shared" si="16"/>
        <v>1580.48</v>
      </c>
      <c r="O197" s="9">
        <f>_xlfn.XLOOKUP(G197,[1]!tblProductMaster[SKU],[1]!tblProductMaster[Unit Cost])</f>
        <v>1.9</v>
      </c>
      <c r="P197" s="8">
        <f t="shared" si="17"/>
        <v>668.8</v>
      </c>
      <c r="Q197" s="8">
        <f t="shared" si="18"/>
        <v>911.68000000000006</v>
      </c>
      <c r="R197" s="4">
        <f t="shared" si="19"/>
        <v>0.57683741648106912</v>
      </c>
      <c r="S197" t="s">
        <v>87</v>
      </c>
      <c r="T197">
        <f>Table6[[#This Row],[Discount]]*Table6[[#This Row],[List Price]]*Table6[[#This Row],[Units]]</f>
        <v>0</v>
      </c>
    </row>
    <row r="198" spans="1:20" x14ac:dyDescent="0.2">
      <c r="A198" t="s">
        <v>291</v>
      </c>
      <c r="B198" s="2">
        <v>46278.566157375622</v>
      </c>
      <c r="C198" t="s">
        <v>84</v>
      </c>
      <c r="D198" t="s">
        <v>85</v>
      </c>
      <c r="E198" t="s">
        <v>8</v>
      </c>
      <c r="F198" t="s">
        <v>18</v>
      </c>
      <c r="G198" t="s">
        <v>20</v>
      </c>
      <c r="H198" t="str">
        <f>_xlfn.XLOOKUP(Table6[[#This Row],[SKU]],tblProductMaster[SKU],tblProductMaster[Product])</f>
        <v>Hair Oil</v>
      </c>
      <c r="I198">
        <v>294</v>
      </c>
      <c r="J198">
        <f>_xlfn.XLOOKUP(G198,[1]!tblProductMaster[SKU],[1]!tblProductMaster[List Price])</f>
        <v>7.49</v>
      </c>
      <c r="K198" t="s">
        <v>86</v>
      </c>
      <c r="L198" s="3">
        <v>0</v>
      </c>
      <c r="M198" s="9">
        <f t="shared" si="15"/>
        <v>7.49</v>
      </c>
      <c r="N198" s="8">
        <f t="shared" si="16"/>
        <v>2202.06</v>
      </c>
      <c r="O198" s="9">
        <f>_xlfn.XLOOKUP(G198,[1]!tblProductMaster[SKU],[1]!tblProductMaster[Unit Cost])</f>
        <v>3.1</v>
      </c>
      <c r="P198" s="8">
        <f t="shared" si="17"/>
        <v>911.4</v>
      </c>
      <c r="Q198" s="8">
        <f t="shared" si="18"/>
        <v>1290.6599999999999</v>
      </c>
      <c r="R198" s="4">
        <f t="shared" si="19"/>
        <v>0.5861148197596795</v>
      </c>
      <c r="S198" t="s">
        <v>87</v>
      </c>
      <c r="T198">
        <f>Table6[[#This Row],[Discount]]*Table6[[#This Row],[List Price]]*Table6[[#This Row],[Units]]</f>
        <v>0</v>
      </c>
    </row>
    <row r="199" spans="1:20" x14ac:dyDescent="0.2">
      <c r="A199" t="s">
        <v>292</v>
      </c>
      <c r="B199" s="2">
        <v>46081.476229045322</v>
      </c>
      <c r="C199" t="s">
        <v>98</v>
      </c>
      <c r="D199" t="s">
        <v>104</v>
      </c>
      <c r="E199" t="s">
        <v>25</v>
      </c>
      <c r="F199" t="s">
        <v>15</v>
      </c>
      <c r="G199" t="s">
        <v>29</v>
      </c>
      <c r="H199" t="str">
        <f>_xlfn.XLOOKUP(Table6[[#This Row],[SKU]],tblProductMaster[SKU],tblProductMaster[Product])</f>
        <v>Shower Gel 250ml</v>
      </c>
      <c r="I199">
        <v>504</v>
      </c>
      <c r="J199">
        <f>_xlfn.XLOOKUP(G199,[1]!tblProductMaster[SKU],[1]!tblProductMaster[List Price])</f>
        <v>4.49</v>
      </c>
      <c r="K199" t="s">
        <v>86</v>
      </c>
      <c r="L199" s="3">
        <v>0</v>
      </c>
      <c r="M199" s="9">
        <f t="shared" si="15"/>
        <v>4.49</v>
      </c>
      <c r="N199" s="8">
        <f t="shared" si="16"/>
        <v>2262.96</v>
      </c>
      <c r="O199" s="9">
        <f>_xlfn.XLOOKUP(G199,[1]!tblProductMaster[SKU],[1]!tblProductMaster[Unit Cost])</f>
        <v>1.9</v>
      </c>
      <c r="P199" s="8">
        <f t="shared" si="17"/>
        <v>957.59999999999991</v>
      </c>
      <c r="Q199" s="8">
        <f t="shared" si="18"/>
        <v>1305.3600000000001</v>
      </c>
      <c r="R199" s="4">
        <f t="shared" si="19"/>
        <v>0.57683741648106912</v>
      </c>
      <c r="S199" t="s">
        <v>87</v>
      </c>
      <c r="T199">
        <f>Table6[[#This Row],[Discount]]*Table6[[#This Row],[List Price]]*Table6[[#This Row],[Units]]</f>
        <v>0</v>
      </c>
    </row>
    <row r="200" spans="1:20" x14ac:dyDescent="0.2">
      <c r="A200" t="s">
        <v>293</v>
      </c>
      <c r="B200" s="2">
        <v>46328.208980655218</v>
      </c>
      <c r="C200" t="s">
        <v>93</v>
      </c>
      <c r="D200" t="s">
        <v>104</v>
      </c>
      <c r="E200" t="s">
        <v>25</v>
      </c>
      <c r="F200" t="s">
        <v>7</v>
      </c>
      <c r="G200" t="s">
        <v>33</v>
      </c>
      <c r="H200" t="str">
        <f>_xlfn.XLOOKUP(Table6[[#This Row],[SKU]],tblProductMaster[SKU],tblProductMaster[Product])</f>
        <v>Sunscreen 200ml</v>
      </c>
      <c r="I200">
        <v>658</v>
      </c>
      <c r="J200">
        <f>_xlfn.XLOOKUP(G200,[1]!tblProductMaster[SKU],[1]!tblProductMaster[List Price])</f>
        <v>10.99</v>
      </c>
      <c r="K200" t="s">
        <v>86</v>
      </c>
      <c r="L200" s="3">
        <v>0</v>
      </c>
      <c r="M200" s="9">
        <f t="shared" si="15"/>
        <v>10.99</v>
      </c>
      <c r="N200" s="8">
        <f t="shared" si="16"/>
        <v>7231.42</v>
      </c>
      <c r="O200" s="9">
        <f>_xlfn.XLOOKUP(G200,[1]!tblProductMaster[SKU],[1]!tblProductMaster[Unit Cost])</f>
        <v>4.5999999999999996</v>
      </c>
      <c r="P200" s="8">
        <f t="shared" si="17"/>
        <v>3026.7999999999997</v>
      </c>
      <c r="Q200" s="8">
        <f t="shared" si="18"/>
        <v>4204.6200000000008</v>
      </c>
      <c r="R200" s="4">
        <f t="shared" si="19"/>
        <v>0.58143767060964524</v>
      </c>
      <c r="S200" t="s">
        <v>87</v>
      </c>
      <c r="T200">
        <f>Table6[[#This Row],[Discount]]*Table6[[#This Row],[List Price]]*Table6[[#This Row],[Units]]</f>
        <v>0</v>
      </c>
    </row>
    <row r="201" spans="1:20" x14ac:dyDescent="0.2">
      <c r="A201" t="s">
        <v>294</v>
      </c>
      <c r="B201" s="2">
        <v>46060.893879279785</v>
      </c>
      <c r="C201" t="s">
        <v>93</v>
      </c>
      <c r="D201" t="s">
        <v>96</v>
      </c>
      <c r="E201" t="s">
        <v>56</v>
      </c>
      <c r="F201" t="s">
        <v>7</v>
      </c>
      <c r="G201" t="s">
        <v>58</v>
      </c>
      <c r="H201" t="str">
        <f>_xlfn.XLOOKUP(Table6[[#This Row],[SKU]],tblProductMaster[SKU],tblProductMaster[Product])</f>
        <v>Whitening Toothpaste</v>
      </c>
      <c r="I201">
        <v>491</v>
      </c>
      <c r="J201">
        <f>_xlfn.XLOOKUP(G201,[1]!tblProductMaster[SKU],[1]!tblProductMaster[List Price])</f>
        <v>4.99</v>
      </c>
      <c r="K201" t="s">
        <v>89</v>
      </c>
      <c r="L201" s="3">
        <v>0.1</v>
      </c>
      <c r="M201" s="9">
        <f t="shared" si="15"/>
        <v>4.4910000000000005</v>
      </c>
      <c r="N201" s="8">
        <f t="shared" si="16"/>
        <v>2205.0810000000001</v>
      </c>
      <c r="O201" s="9">
        <f>_xlfn.XLOOKUP(G201,[1]!tblProductMaster[SKU],[1]!tblProductMaster[Unit Cost])</f>
        <v>1.8</v>
      </c>
      <c r="P201" s="8">
        <f t="shared" si="17"/>
        <v>883.80000000000007</v>
      </c>
      <c r="Q201" s="8">
        <f t="shared" si="18"/>
        <v>1321.2809999999999</v>
      </c>
      <c r="R201" s="4">
        <f t="shared" si="19"/>
        <v>0.59919839679358711</v>
      </c>
      <c r="S201" t="s">
        <v>90</v>
      </c>
      <c r="T201">
        <f>Table6[[#This Row],[Discount]]*Table6[[#This Row],[List Price]]*Table6[[#This Row],[Units]]</f>
        <v>245.00900000000001</v>
      </c>
    </row>
    <row r="202" spans="1:20" x14ac:dyDescent="0.2">
      <c r="A202" t="s">
        <v>295</v>
      </c>
      <c r="B202" s="2">
        <v>46240.743717864345</v>
      </c>
      <c r="C202" t="s">
        <v>98</v>
      </c>
      <c r="D202" t="s">
        <v>96</v>
      </c>
      <c r="E202" t="s">
        <v>56</v>
      </c>
      <c r="F202" t="s">
        <v>7</v>
      </c>
      <c r="G202" t="s">
        <v>66</v>
      </c>
      <c r="H202" t="str">
        <f>_xlfn.XLOOKUP(Table6[[#This Row],[SKU]],tblProductMaster[SKU],tblProductMaster[Product])</f>
        <v>Electric Brush Heads</v>
      </c>
      <c r="I202">
        <v>646</v>
      </c>
      <c r="J202">
        <f>_xlfn.XLOOKUP(G202,[1]!tblProductMaster[SKU],[1]!tblProductMaster[List Price])</f>
        <v>12.99</v>
      </c>
      <c r="K202" t="s">
        <v>89</v>
      </c>
      <c r="L202" s="3">
        <v>0.1</v>
      </c>
      <c r="M202" s="9">
        <f t="shared" si="15"/>
        <v>11.691000000000001</v>
      </c>
      <c r="N202" s="8">
        <f t="shared" si="16"/>
        <v>7552.3860000000004</v>
      </c>
      <c r="O202" s="9">
        <f>_xlfn.XLOOKUP(G202,[1]!tblProductMaster[SKU],[1]!tblProductMaster[Unit Cost])</f>
        <v>5.2</v>
      </c>
      <c r="P202" s="8">
        <f t="shared" si="17"/>
        <v>3359.2000000000003</v>
      </c>
      <c r="Q202" s="8">
        <f t="shared" si="18"/>
        <v>4193.1859999999997</v>
      </c>
      <c r="R202" s="4">
        <f t="shared" si="19"/>
        <v>0.555213412026345</v>
      </c>
      <c r="S202" t="s">
        <v>99</v>
      </c>
      <c r="T202">
        <f>Table6[[#This Row],[Discount]]*Table6[[#This Row],[List Price]]*Table6[[#This Row],[Units]]</f>
        <v>839.15400000000011</v>
      </c>
    </row>
    <row r="203" spans="1:20" x14ac:dyDescent="0.2">
      <c r="A203" t="s">
        <v>296</v>
      </c>
      <c r="B203" s="2">
        <v>46324.85955592386</v>
      </c>
      <c r="C203" t="s">
        <v>98</v>
      </c>
      <c r="D203" t="s">
        <v>96</v>
      </c>
      <c r="E203" t="s">
        <v>56</v>
      </c>
      <c r="F203" t="s">
        <v>7</v>
      </c>
      <c r="G203" t="s">
        <v>58</v>
      </c>
      <c r="H203" t="str">
        <f>_xlfn.XLOOKUP(Table6[[#This Row],[SKU]],tblProductMaster[SKU],tblProductMaster[Product])</f>
        <v>Whitening Toothpaste</v>
      </c>
      <c r="I203">
        <v>381</v>
      </c>
      <c r="J203">
        <f>_xlfn.XLOOKUP(G203,[1]!tblProductMaster[SKU],[1]!tblProductMaster[List Price])</f>
        <v>4.99</v>
      </c>
      <c r="K203" t="s">
        <v>86</v>
      </c>
      <c r="L203" s="3">
        <v>0</v>
      </c>
      <c r="M203" s="9">
        <f t="shared" si="15"/>
        <v>4.99</v>
      </c>
      <c r="N203" s="8">
        <f t="shared" si="16"/>
        <v>1901.19</v>
      </c>
      <c r="O203" s="9">
        <f>_xlfn.XLOOKUP(G203,[1]!tblProductMaster[SKU],[1]!tblProductMaster[Unit Cost])</f>
        <v>1.8</v>
      </c>
      <c r="P203" s="8">
        <f t="shared" si="17"/>
        <v>685.80000000000007</v>
      </c>
      <c r="Q203" s="8">
        <f t="shared" si="18"/>
        <v>1215.3899999999999</v>
      </c>
      <c r="R203" s="4">
        <f t="shared" si="19"/>
        <v>0.63927855711422832</v>
      </c>
      <c r="S203" t="s">
        <v>87</v>
      </c>
      <c r="T203">
        <f>Table6[[#This Row],[Discount]]*Table6[[#This Row],[List Price]]*Table6[[#This Row],[Units]]</f>
        <v>0</v>
      </c>
    </row>
    <row r="204" spans="1:20" x14ac:dyDescent="0.2">
      <c r="A204" t="s">
        <v>297</v>
      </c>
      <c r="B204" s="2">
        <v>46082.933030515349</v>
      </c>
      <c r="C204" t="s">
        <v>93</v>
      </c>
      <c r="D204" t="s">
        <v>104</v>
      </c>
      <c r="E204" t="s">
        <v>40</v>
      </c>
      <c r="F204" t="s">
        <v>7</v>
      </c>
      <c r="G204" t="s">
        <v>48</v>
      </c>
      <c r="H204" t="str">
        <f>_xlfn.XLOOKUP(Table6[[#This Row],[SKU]],tblProductMaster[SKU],tblProductMaster[Product])</f>
        <v>Color Detergent</v>
      </c>
      <c r="I204">
        <v>542</v>
      </c>
      <c r="J204">
        <f>_xlfn.XLOOKUP(G204,[1]!tblProductMaster[SKU],[1]!tblProductMaster[List Price])</f>
        <v>9.49</v>
      </c>
      <c r="K204" t="s">
        <v>89</v>
      </c>
      <c r="L204" s="3">
        <v>0.2</v>
      </c>
      <c r="M204" s="9">
        <f t="shared" si="15"/>
        <v>7.5920000000000005</v>
      </c>
      <c r="N204" s="8">
        <f t="shared" si="16"/>
        <v>4114.8640000000005</v>
      </c>
      <c r="O204" s="9">
        <f>_xlfn.XLOOKUP(G204,[1]!tblProductMaster[SKU],[1]!tblProductMaster[Unit Cost])</f>
        <v>4</v>
      </c>
      <c r="P204" s="8">
        <f t="shared" si="17"/>
        <v>2168</v>
      </c>
      <c r="Q204" s="8">
        <f t="shared" si="18"/>
        <v>1946.8640000000005</v>
      </c>
      <c r="R204" s="4">
        <f t="shared" si="19"/>
        <v>0.47312961011591154</v>
      </c>
      <c r="S204" t="s">
        <v>90</v>
      </c>
      <c r="T204">
        <f>Table6[[#This Row],[Discount]]*Table6[[#This Row],[List Price]]*Table6[[#This Row],[Units]]</f>
        <v>1028.7160000000001</v>
      </c>
    </row>
    <row r="205" spans="1:20" x14ac:dyDescent="0.2">
      <c r="A205" t="s">
        <v>298</v>
      </c>
      <c r="B205" s="2">
        <v>46296.662758747596</v>
      </c>
      <c r="C205" t="s">
        <v>93</v>
      </c>
      <c r="D205" t="s">
        <v>85</v>
      </c>
      <c r="E205" t="s">
        <v>25</v>
      </c>
      <c r="F205" t="s">
        <v>18</v>
      </c>
      <c r="G205" t="s">
        <v>37</v>
      </c>
      <c r="H205" t="str">
        <f>_xlfn.XLOOKUP(Table6[[#This Row],[SKU]],tblProductMaster[SKU],tblProductMaster[Product])</f>
        <v>Body Wash</v>
      </c>
      <c r="I205">
        <v>1004</v>
      </c>
      <c r="J205">
        <f>_xlfn.XLOOKUP(G205,[1]!tblProductMaster[SKU],[1]!tblProductMaster[List Price])</f>
        <v>5.49</v>
      </c>
      <c r="K205" t="s">
        <v>89</v>
      </c>
      <c r="L205" s="3">
        <v>0.2</v>
      </c>
      <c r="M205" s="9">
        <f t="shared" si="15"/>
        <v>4.3920000000000003</v>
      </c>
      <c r="N205" s="8">
        <f t="shared" si="16"/>
        <v>4409.5680000000002</v>
      </c>
      <c r="O205" s="9">
        <f>_xlfn.XLOOKUP(G205,[1]!tblProductMaster[SKU],[1]!tblProductMaster[Unit Cost])</f>
        <v>2.2999999999999998</v>
      </c>
      <c r="P205" s="8">
        <f t="shared" si="17"/>
        <v>2309.1999999999998</v>
      </c>
      <c r="Q205" s="8">
        <f t="shared" si="18"/>
        <v>2100.3680000000004</v>
      </c>
      <c r="R205" s="4">
        <f t="shared" si="19"/>
        <v>0.47632058287795997</v>
      </c>
      <c r="S205" t="s">
        <v>90</v>
      </c>
      <c r="T205">
        <f>Table6[[#This Row],[Discount]]*Table6[[#This Row],[List Price]]*Table6[[#This Row],[Units]]</f>
        <v>1102.3920000000001</v>
      </c>
    </row>
    <row r="206" spans="1:20" x14ac:dyDescent="0.2">
      <c r="A206" t="s">
        <v>299</v>
      </c>
      <c r="B206" s="2">
        <v>46256.290788494167</v>
      </c>
      <c r="C206" t="s">
        <v>84</v>
      </c>
      <c r="D206" t="s">
        <v>96</v>
      </c>
      <c r="E206" t="s">
        <v>40</v>
      </c>
      <c r="F206" t="s">
        <v>15</v>
      </c>
      <c r="G206" t="s">
        <v>39</v>
      </c>
      <c r="H206" t="str">
        <f>_xlfn.XLOOKUP(Table6[[#This Row],[SKU]],tblProductMaster[SKU],tblProductMaster[Product])</f>
        <v>Detergent 1L</v>
      </c>
      <c r="I206">
        <v>784</v>
      </c>
      <c r="J206">
        <f>_xlfn.XLOOKUP(G206,[1]!tblProductMaster[SKU],[1]!tblProductMaster[List Price])</f>
        <v>8.49</v>
      </c>
      <c r="K206" t="s">
        <v>89</v>
      </c>
      <c r="L206" s="3">
        <v>0.2</v>
      </c>
      <c r="M206" s="9">
        <f t="shared" si="15"/>
        <v>6.7920000000000007</v>
      </c>
      <c r="N206" s="8">
        <f t="shared" si="16"/>
        <v>5324.9280000000008</v>
      </c>
      <c r="O206" s="9">
        <f>_xlfn.XLOOKUP(G206,[1]!tblProductMaster[SKU],[1]!tblProductMaster[Unit Cost])</f>
        <v>3.8</v>
      </c>
      <c r="P206" s="8">
        <f t="shared" si="17"/>
        <v>2979.2</v>
      </c>
      <c r="Q206" s="8">
        <f t="shared" si="18"/>
        <v>2345.728000000001</v>
      </c>
      <c r="R206" s="4">
        <f t="shared" si="19"/>
        <v>0.44051825677267387</v>
      </c>
      <c r="S206" t="s">
        <v>94</v>
      </c>
      <c r="T206">
        <f>Table6[[#This Row],[Discount]]*Table6[[#This Row],[List Price]]*Table6[[#This Row],[Units]]</f>
        <v>1331.2320000000002</v>
      </c>
    </row>
    <row r="207" spans="1:20" x14ac:dyDescent="0.2">
      <c r="A207" t="s">
        <v>300</v>
      </c>
      <c r="B207" s="2">
        <v>46107.572123176811</v>
      </c>
      <c r="C207" t="s">
        <v>98</v>
      </c>
      <c r="D207" t="s">
        <v>96</v>
      </c>
      <c r="E207" t="s">
        <v>8</v>
      </c>
      <c r="F207" t="s">
        <v>15</v>
      </c>
      <c r="G207" t="s">
        <v>16</v>
      </c>
      <c r="H207" t="str">
        <f>_xlfn.XLOOKUP(Table6[[#This Row],[SKU]],tblProductMaster[SKU],tblProductMaster[Product])</f>
        <v>Conditioner 250ml</v>
      </c>
      <c r="I207">
        <v>516</v>
      </c>
      <c r="J207">
        <f>_xlfn.XLOOKUP(G207,[1]!tblProductMaster[SKU],[1]!tblProductMaster[List Price])</f>
        <v>4.79</v>
      </c>
      <c r="K207" t="s">
        <v>86</v>
      </c>
      <c r="L207" s="3">
        <v>0</v>
      </c>
      <c r="M207" s="9">
        <f t="shared" si="15"/>
        <v>4.79</v>
      </c>
      <c r="N207" s="8">
        <f t="shared" si="16"/>
        <v>2471.64</v>
      </c>
      <c r="O207" s="9">
        <f>_xlfn.XLOOKUP(G207,[1]!tblProductMaster[SKU],[1]!tblProductMaster[Unit Cost])</f>
        <v>2</v>
      </c>
      <c r="P207" s="8">
        <f t="shared" si="17"/>
        <v>1032</v>
      </c>
      <c r="Q207" s="8">
        <f t="shared" si="18"/>
        <v>1439.6399999999999</v>
      </c>
      <c r="R207" s="4">
        <f t="shared" si="19"/>
        <v>0.58246346555323592</v>
      </c>
      <c r="S207" t="s">
        <v>87</v>
      </c>
      <c r="T207">
        <f>Table6[[#This Row],[Discount]]*Table6[[#This Row],[List Price]]*Table6[[#This Row],[Units]]</f>
        <v>0</v>
      </c>
    </row>
    <row r="208" spans="1:20" x14ac:dyDescent="0.2">
      <c r="A208" t="s">
        <v>301</v>
      </c>
      <c r="B208" s="2">
        <v>46041.934755225084</v>
      </c>
      <c r="C208" t="s">
        <v>93</v>
      </c>
      <c r="D208" t="s">
        <v>104</v>
      </c>
      <c r="E208" t="s">
        <v>56</v>
      </c>
      <c r="F208" t="s">
        <v>15</v>
      </c>
      <c r="G208" t="s">
        <v>62</v>
      </c>
      <c r="H208" t="str">
        <f>_xlfn.XLOOKUP(Table6[[#This Row],[SKU]],tblProductMaster[SKU],tblProductMaster[Product])</f>
        <v>Mouthwash 500ml</v>
      </c>
      <c r="I208">
        <v>707</v>
      </c>
      <c r="J208">
        <f>_xlfn.XLOOKUP(G208,[1]!tblProductMaster[SKU],[1]!tblProductMaster[List Price])</f>
        <v>5.99</v>
      </c>
      <c r="K208" t="s">
        <v>86</v>
      </c>
      <c r="L208" s="3">
        <v>0</v>
      </c>
      <c r="M208" s="9">
        <f t="shared" si="15"/>
        <v>5.99</v>
      </c>
      <c r="N208" s="8">
        <f t="shared" si="16"/>
        <v>4234.93</v>
      </c>
      <c r="O208" s="9">
        <f>_xlfn.XLOOKUP(G208,[1]!tblProductMaster[SKU],[1]!tblProductMaster[Unit Cost])</f>
        <v>2.4</v>
      </c>
      <c r="P208" s="8">
        <f t="shared" si="17"/>
        <v>1696.8</v>
      </c>
      <c r="Q208" s="8">
        <f t="shared" si="18"/>
        <v>2538.13</v>
      </c>
      <c r="R208" s="4">
        <f t="shared" si="19"/>
        <v>0.59933222036727873</v>
      </c>
      <c r="S208" t="s">
        <v>87</v>
      </c>
      <c r="T208">
        <f>Table6[[#This Row],[Discount]]*Table6[[#This Row],[List Price]]*Table6[[#This Row],[Units]]</f>
        <v>0</v>
      </c>
    </row>
    <row r="209" spans="1:20" x14ac:dyDescent="0.2">
      <c r="A209" t="s">
        <v>302</v>
      </c>
      <c r="B209" s="2">
        <v>46271.352673740308</v>
      </c>
      <c r="C209" t="s">
        <v>93</v>
      </c>
      <c r="D209" t="s">
        <v>85</v>
      </c>
      <c r="E209" t="s">
        <v>25</v>
      </c>
      <c r="F209" t="s">
        <v>7</v>
      </c>
      <c r="G209" t="s">
        <v>24</v>
      </c>
      <c r="H209" t="str">
        <f>_xlfn.XLOOKUP(Table6[[#This Row],[SKU]],tblProductMaster[SKU],tblProductMaster[Product])</f>
        <v>Body Lotion 400ml</v>
      </c>
      <c r="I209">
        <v>661</v>
      </c>
      <c r="J209">
        <f>_xlfn.XLOOKUP(G209,[1]!tblProductMaster[SKU],[1]!tblProductMaster[List Price])</f>
        <v>7.99</v>
      </c>
      <c r="K209" t="s">
        <v>86</v>
      </c>
      <c r="L209" s="3">
        <v>0</v>
      </c>
      <c r="M209" s="9">
        <f t="shared" si="15"/>
        <v>7.99</v>
      </c>
      <c r="N209" s="8">
        <f t="shared" si="16"/>
        <v>5281.39</v>
      </c>
      <c r="O209" s="9">
        <f>_xlfn.XLOOKUP(G209,[1]!tblProductMaster[SKU],[1]!tblProductMaster[Unit Cost])</f>
        <v>3.1</v>
      </c>
      <c r="P209" s="8">
        <f t="shared" si="17"/>
        <v>2049.1</v>
      </c>
      <c r="Q209" s="8">
        <f t="shared" si="18"/>
        <v>3232.2900000000004</v>
      </c>
      <c r="R209" s="4">
        <f t="shared" si="19"/>
        <v>0.61201501877346687</v>
      </c>
      <c r="S209" t="s">
        <v>87</v>
      </c>
      <c r="T209">
        <f>Table6[[#This Row],[Discount]]*Table6[[#This Row],[List Price]]*Table6[[#This Row],[Units]]</f>
        <v>0</v>
      </c>
    </row>
    <row r="210" spans="1:20" x14ac:dyDescent="0.2">
      <c r="A210" t="s">
        <v>303</v>
      </c>
      <c r="B210" s="2">
        <v>46043.573910682309</v>
      </c>
      <c r="C210" t="s">
        <v>93</v>
      </c>
      <c r="D210" t="s">
        <v>96</v>
      </c>
      <c r="E210" t="s">
        <v>8</v>
      </c>
      <c r="F210" t="s">
        <v>18</v>
      </c>
      <c r="G210" t="s">
        <v>17</v>
      </c>
      <c r="H210" t="str">
        <f>_xlfn.XLOOKUP(Table6[[#This Row],[SKU]],tblProductMaster[SKU],tblProductMaster[Product])</f>
        <v>Anti-Dandruff Shampoo</v>
      </c>
      <c r="I210">
        <v>1069</v>
      </c>
      <c r="J210">
        <f>_xlfn.XLOOKUP(G210,[1]!tblProductMaster[SKU],[1]!tblProductMaster[List Price])</f>
        <v>6.49</v>
      </c>
      <c r="K210" t="s">
        <v>89</v>
      </c>
      <c r="L210" s="3">
        <v>0.2</v>
      </c>
      <c r="M210" s="9">
        <f t="shared" si="15"/>
        <v>5.1920000000000002</v>
      </c>
      <c r="N210" s="8">
        <f t="shared" si="16"/>
        <v>5550.2480000000005</v>
      </c>
      <c r="O210" s="9">
        <f>_xlfn.XLOOKUP(G210,[1]!tblProductMaster[SKU],[1]!tblProductMaster[Unit Cost])</f>
        <v>2.8</v>
      </c>
      <c r="P210" s="8">
        <f t="shared" si="17"/>
        <v>2993.2</v>
      </c>
      <c r="Q210" s="8">
        <f t="shared" si="18"/>
        <v>2557.0480000000007</v>
      </c>
      <c r="R210" s="4">
        <f t="shared" si="19"/>
        <v>0.46070878274268112</v>
      </c>
      <c r="S210" t="s">
        <v>90</v>
      </c>
      <c r="T210">
        <f>Table6[[#This Row],[Discount]]*Table6[[#This Row],[List Price]]*Table6[[#This Row],[Units]]</f>
        <v>1387.5620000000001</v>
      </c>
    </row>
    <row r="211" spans="1:20" x14ac:dyDescent="0.2">
      <c r="A211" t="s">
        <v>304</v>
      </c>
      <c r="B211" s="2">
        <v>46050.638845333531</v>
      </c>
      <c r="C211" t="s">
        <v>98</v>
      </c>
      <c r="D211" t="s">
        <v>104</v>
      </c>
      <c r="E211" t="s">
        <v>25</v>
      </c>
      <c r="F211" t="s">
        <v>7</v>
      </c>
      <c r="G211" t="s">
        <v>31</v>
      </c>
      <c r="H211" t="str">
        <f>_xlfn.XLOOKUP(Table6[[#This Row],[SKU]],tblProductMaster[SKU],tblProductMaster[Product])</f>
        <v>Facial Cleanser</v>
      </c>
      <c r="I211">
        <v>474</v>
      </c>
      <c r="J211">
        <f>_xlfn.XLOOKUP(G211,[1]!tblProductMaster[SKU],[1]!tblProductMaster[List Price])</f>
        <v>8.49</v>
      </c>
      <c r="K211" t="s">
        <v>86</v>
      </c>
      <c r="L211" s="3">
        <v>0</v>
      </c>
      <c r="M211" s="9">
        <f t="shared" si="15"/>
        <v>8.49</v>
      </c>
      <c r="N211" s="8">
        <f t="shared" si="16"/>
        <v>4024.26</v>
      </c>
      <c r="O211" s="9">
        <f>_xlfn.XLOOKUP(G211,[1]!tblProductMaster[SKU],[1]!tblProductMaster[Unit Cost])</f>
        <v>3.5</v>
      </c>
      <c r="P211" s="8">
        <f t="shared" si="17"/>
        <v>1659</v>
      </c>
      <c r="Q211" s="8">
        <f t="shared" si="18"/>
        <v>2365.2600000000002</v>
      </c>
      <c r="R211" s="4">
        <f t="shared" si="19"/>
        <v>0.58775029446407545</v>
      </c>
      <c r="S211" t="s">
        <v>87</v>
      </c>
      <c r="T211">
        <f>Table6[[#This Row],[Discount]]*Table6[[#This Row],[List Price]]*Table6[[#This Row],[Units]]</f>
        <v>0</v>
      </c>
    </row>
    <row r="212" spans="1:20" x14ac:dyDescent="0.2">
      <c r="A212" t="s">
        <v>305</v>
      </c>
      <c r="B212" s="2">
        <v>46294.800457373611</v>
      </c>
      <c r="C212" t="s">
        <v>93</v>
      </c>
      <c r="D212" t="s">
        <v>85</v>
      </c>
      <c r="E212" t="s">
        <v>40</v>
      </c>
      <c r="F212" t="s">
        <v>15</v>
      </c>
      <c r="G212" t="s">
        <v>39</v>
      </c>
      <c r="H212" t="str">
        <f>_xlfn.XLOOKUP(Table6[[#This Row],[SKU]],tblProductMaster[SKU],tblProductMaster[Product])</f>
        <v>Detergent 1L</v>
      </c>
      <c r="I212">
        <v>256</v>
      </c>
      <c r="J212">
        <f>_xlfn.XLOOKUP(G212,[1]!tblProductMaster[SKU],[1]!tblProductMaster[List Price])</f>
        <v>8.49</v>
      </c>
      <c r="K212" t="s">
        <v>86</v>
      </c>
      <c r="L212" s="3">
        <v>0</v>
      </c>
      <c r="M212" s="9">
        <f t="shared" si="15"/>
        <v>8.49</v>
      </c>
      <c r="N212" s="8">
        <f t="shared" si="16"/>
        <v>2173.44</v>
      </c>
      <c r="O212" s="9">
        <f>_xlfn.XLOOKUP(G212,[1]!tblProductMaster[SKU],[1]!tblProductMaster[Unit Cost])</f>
        <v>3.8</v>
      </c>
      <c r="P212" s="8">
        <f t="shared" si="17"/>
        <v>972.8</v>
      </c>
      <c r="Q212" s="8">
        <f t="shared" si="18"/>
        <v>1200.6400000000001</v>
      </c>
      <c r="R212" s="4">
        <f t="shared" si="19"/>
        <v>0.55241460541813903</v>
      </c>
      <c r="S212" t="s">
        <v>87</v>
      </c>
      <c r="T212">
        <f>Table6[[#This Row],[Discount]]*Table6[[#This Row],[List Price]]*Table6[[#This Row],[Units]]</f>
        <v>0</v>
      </c>
    </row>
    <row r="213" spans="1:20" x14ac:dyDescent="0.2">
      <c r="A213" t="s">
        <v>306</v>
      </c>
      <c r="B213" s="2">
        <v>46279.785931410617</v>
      </c>
      <c r="C213" t="s">
        <v>93</v>
      </c>
      <c r="D213" t="s">
        <v>85</v>
      </c>
      <c r="E213" t="s">
        <v>8</v>
      </c>
      <c r="F213" t="s">
        <v>18</v>
      </c>
      <c r="G213" t="s">
        <v>17</v>
      </c>
      <c r="H213" t="str">
        <f>_xlfn.XLOOKUP(Table6[[#This Row],[SKU]],tblProductMaster[SKU],tblProductMaster[Product])</f>
        <v>Anti-Dandruff Shampoo</v>
      </c>
      <c r="I213">
        <v>458</v>
      </c>
      <c r="J213">
        <f>_xlfn.XLOOKUP(G213,[1]!tblProductMaster[SKU],[1]!tblProductMaster[List Price])</f>
        <v>6.49</v>
      </c>
      <c r="K213" t="s">
        <v>86</v>
      </c>
      <c r="L213" s="3">
        <v>0</v>
      </c>
      <c r="M213" s="9">
        <f t="shared" si="15"/>
        <v>6.49</v>
      </c>
      <c r="N213" s="8">
        <f t="shared" si="16"/>
        <v>2972.42</v>
      </c>
      <c r="O213" s="9">
        <f>_xlfn.XLOOKUP(G213,[1]!tblProductMaster[SKU],[1]!tblProductMaster[Unit Cost])</f>
        <v>2.8</v>
      </c>
      <c r="P213" s="8">
        <f t="shared" si="17"/>
        <v>1282.3999999999999</v>
      </c>
      <c r="Q213" s="8">
        <f t="shared" si="18"/>
        <v>1690.0200000000002</v>
      </c>
      <c r="R213" s="4">
        <f t="shared" si="19"/>
        <v>0.5685670261941449</v>
      </c>
      <c r="S213" t="s">
        <v>87</v>
      </c>
      <c r="T213">
        <f>Table6[[#This Row],[Discount]]*Table6[[#This Row],[List Price]]*Table6[[#This Row],[Units]]</f>
        <v>0</v>
      </c>
    </row>
    <row r="214" spans="1:20" x14ac:dyDescent="0.2">
      <c r="A214" t="s">
        <v>307</v>
      </c>
      <c r="B214" s="2">
        <v>46379.860769654624</v>
      </c>
      <c r="C214" t="s">
        <v>98</v>
      </c>
      <c r="D214" t="s">
        <v>85</v>
      </c>
      <c r="E214" t="s">
        <v>40</v>
      </c>
      <c r="F214" t="s">
        <v>18</v>
      </c>
      <c r="G214" t="s">
        <v>42</v>
      </c>
      <c r="H214" t="str">
        <f>_xlfn.XLOOKUP(Table6[[#This Row],[SKU]],tblProductMaster[SKU],tblProductMaster[Product])</f>
        <v>Detergent Capsules</v>
      </c>
      <c r="I214">
        <v>410</v>
      </c>
      <c r="J214">
        <f>_xlfn.XLOOKUP(G214,[1]!tblProductMaster[SKU],[1]!tblProductMaster[List Price])</f>
        <v>11.99</v>
      </c>
      <c r="K214" t="s">
        <v>89</v>
      </c>
      <c r="L214" s="3">
        <v>0.1</v>
      </c>
      <c r="M214" s="9">
        <f t="shared" si="15"/>
        <v>10.791</v>
      </c>
      <c r="N214" s="8">
        <f t="shared" si="16"/>
        <v>4424.3100000000004</v>
      </c>
      <c r="O214" s="9">
        <f>_xlfn.XLOOKUP(G214,[1]!tblProductMaster[SKU],[1]!tblProductMaster[Unit Cost])</f>
        <v>5.2</v>
      </c>
      <c r="P214" s="8">
        <f t="shared" si="17"/>
        <v>2132</v>
      </c>
      <c r="Q214" s="8">
        <f t="shared" si="18"/>
        <v>2292.3100000000004</v>
      </c>
      <c r="R214" s="4">
        <f t="shared" si="19"/>
        <v>0.51811694930960994</v>
      </c>
      <c r="S214" t="s">
        <v>94</v>
      </c>
      <c r="T214">
        <f>Table6[[#This Row],[Discount]]*Table6[[#This Row],[List Price]]*Table6[[#This Row],[Units]]</f>
        <v>491.59000000000003</v>
      </c>
    </row>
    <row r="215" spans="1:20" x14ac:dyDescent="0.2">
      <c r="A215" t="s">
        <v>308</v>
      </c>
      <c r="B215" s="2">
        <v>46121.586723313747</v>
      </c>
      <c r="C215" t="s">
        <v>84</v>
      </c>
      <c r="D215" t="s">
        <v>96</v>
      </c>
      <c r="E215" t="s">
        <v>8</v>
      </c>
      <c r="F215" t="s">
        <v>7</v>
      </c>
      <c r="G215" t="s">
        <v>10</v>
      </c>
      <c r="H215" t="str">
        <f>_xlfn.XLOOKUP(Table6[[#This Row],[SKU]],tblProductMaster[SKU],tblProductMaster[Product])</f>
        <v>Shampoo 500ml</v>
      </c>
      <c r="I215">
        <v>498</v>
      </c>
      <c r="J215">
        <f>_xlfn.XLOOKUP(G215,[1]!tblProductMaster[SKU],[1]!tblProductMaster[List Price])</f>
        <v>8.99</v>
      </c>
      <c r="K215" t="s">
        <v>86</v>
      </c>
      <c r="L215" s="3">
        <v>0</v>
      </c>
      <c r="M215" s="9">
        <f t="shared" si="15"/>
        <v>8.99</v>
      </c>
      <c r="N215" s="8">
        <f t="shared" si="16"/>
        <v>4477.0200000000004</v>
      </c>
      <c r="O215" s="9">
        <f>_xlfn.XLOOKUP(G215,[1]!tblProductMaster[SKU],[1]!tblProductMaster[Unit Cost])</f>
        <v>3.6</v>
      </c>
      <c r="P215" s="8">
        <f t="shared" si="17"/>
        <v>1792.8</v>
      </c>
      <c r="Q215" s="8">
        <f t="shared" si="18"/>
        <v>2684.2200000000003</v>
      </c>
      <c r="R215" s="4">
        <f t="shared" si="19"/>
        <v>0.59955506117908786</v>
      </c>
      <c r="S215" t="s">
        <v>87</v>
      </c>
      <c r="T215">
        <f>Table6[[#This Row],[Discount]]*Table6[[#This Row],[List Price]]*Table6[[#This Row],[Units]]</f>
        <v>0</v>
      </c>
    </row>
    <row r="216" spans="1:20" x14ac:dyDescent="0.2">
      <c r="A216" t="s">
        <v>309</v>
      </c>
      <c r="B216" s="2">
        <v>46190.197206321907</v>
      </c>
      <c r="C216" t="s">
        <v>93</v>
      </c>
      <c r="D216" t="s">
        <v>104</v>
      </c>
      <c r="E216" t="s">
        <v>8</v>
      </c>
      <c r="F216" t="s">
        <v>15</v>
      </c>
      <c r="G216" t="s">
        <v>22</v>
      </c>
      <c r="H216" t="str">
        <f>_xlfn.XLOOKUP(Table6[[#This Row],[SKU]],tblProductMaster[SKU],tblProductMaster[Product])</f>
        <v>Styling Gel</v>
      </c>
      <c r="I216">
        <v>795</v>
      </c>
      <c r="J216">
        <f>_xlfn.XLOOKUP(G216,[1]!tblProductMaster[SKU],[1]!tblProductMaster[List Price])</f>
        <v>4.49</v>
      </c>
      <c r="K216" t="s">
        <v>86</v>
      </c>
      <c r="L216" s="3">
        <v>0</v>
      </c>
      <c r="M216" s="9">
        <f t="shared" si="15"/>
        <v>4.49</v>
      </c>
      <c r="N216" s="8">
        <f t="shared" si="16"/>
        <v>3569.55</v>
      </c>
      <c r="O216" s="9">
        <f>_xlfn.XLOOKUP(G216,[1]!tblProductMaster[SKU],[1]!tblProductMaster[Unit Cost])</f>
        <v>1.9</v>
      </c>
      <c r="P216" s="8">
        <f t="shared" si="17"/>
        <v>1510.5</v>
      </c>
      <c r="Q216" s="8">
        <f t="shared" si="18"/>
        <v>2059.0500000000002</v>
      </c>
      <c r="R216" s="4">
        <f t="shared" si="19"/>
        <v>0.57683741648106901</v>
      </c>
      <c r="S216" t="s">
        <v>87</v>
      </c>
      <c r="T216">
        <f>Table6[[#This Row],[Discount]]*Table6[[#This Row],[List Price]]*Table6[[#This Row],[Units]]</f>
        <v>0</v>
      </c>
    </row>
    <row r="217" spans="1:20" x14ac:dyDescent="0.2">
      <c r="A217" t="s">
        <v>310</v>
      </c>
      <c r="B217" s="2">
        <v>46133.286373884664</v>
      </c>
      <c r="C217" t="s">
        <v>84</v>
      </c>
      <c r="D217" t="s">
        <v>85</v>
      </c>
      <c r="E217" t="s">
        <v>25</v>
      </c>
      <c r="F217" t="s">
        <v>15</v>
      </c>
      <c r="G217" t="s">
        <v>35</v>
      </c>
      <c r="H217" t="str">
        <f>_xlfn.XLOOKUP(Table6[[#This Row],[SKU]],tblProductMaster[SKU],tblProductMaster[Product])</f>
        <v>Hand Cream</v>
      </c>
      <c r="I217">
        <v>782</v>
      </c>
      <c r="J217">
        <f>_xlfn.XLOOKUP(G217,[1]!tblProductMaster[SKU],[1]!tblProductMaster[List Price])</f>
        <v>4.99</v>
      </c>
      <c r="K217" t="s">
        <v>86</v>
      </c>
      <c r="L217" s="3">
        <v>0</v>
      </c>
      <c r="M217" s="9">
        <f t="shared" si="15"/>
        <v>4.99</v>
      </c>
      <c r="N217" s="8">
        <f t="shared" si="16"/>
        <v>3902.1800000000003</v>
      </c>
      <c r="O217" s="9">
        <f>_xlfn.XLOOKUP(G217,[1]!tblProductMaster[SKU],[1]!tblProductMaster[Unit Cost])</f>
        <v>2.1</v>
      </c>
      <c r="P217" s="8">
        <f t="shared" si="17"/>
        <v>1642.2</v>
      </c>
      <c r="Q217" s="8">
        <f t="shared" si="18"/>
        <v>2259.9800000000005</v>
      </c>
      <c r="R217" s="4">
        <f t="shared" si="19"/>
        <v>0.57915831663326656</v>
      </c>
      <c r="S217" t="s">
        <v>87</v>
      </c>
      <c r="T217">
        <f>Table6[[#This Row],[Discount]]*Table6[[#This Row],[List Price]]*Table6[[#This Row],[Units]]</f>
        <v>0</v>
      </c>
    </row>
    <row r="218" spans="1:20" x14ac:dyDescent="0.2">
      <c r="A218" t="s">
        <v>311</v>
      </c>
      <c r="B218" s="2">
        <v>46095.931931067003</v>
      </c>
      <c r="C218" t="s">
        <v>93</v>
      </c>
      <c r="D218" t="s">
        <v>96</v>
      </c>
      <c r="E218" t="s">
        <v>8</v>
      </c>
      <c r="F218" t="s">
        <v>7</v>
      </c>
      <c r="G218" t="s">
        <v>10</v>
      </c>
      <c r="H218" t="str">
        <f>_xlfn.XLOOKUP(Table6[[#This Row],[SKU]],tblProductMaster[SKU],tblProductMaster[Product])</f>
        <v>Shampoo 500ml</v>
      </c>
      <c r="I218">
        <v>518</v>
      </c>
      <c r="J218">
        <f>_xlfn.XLOOKUP(G218,[1]!tblProductMaster[SKU],[1]!tblProductMaster[List Price])</f>
        <v>8.99</v>
      </c>
      <c r="K218" t="s">
        <v>89</v>
      </c>
      <c r="L218" s="3">
        <v>0.3</v>
      </c>
      <c r="M218" s="9">
        <f t="shared" si="15"/>
        <v>6.2930000000000001</v>
      </c>
      <c r="N218" s="8">
        <f t="shared" si="16"/>
        <v>3259.7739999999999</v>
      </c>
      <c r="O218" s="9">
        <f>_xlfn.XLOOKUP(G218,[1]!tblProductMaster[SKU],[1]!tblProductMaster[Unit Cost])</f>
        <v>3.6</v>
      </c>
      <c r="P218" s="8">
        <f t="shared" si="17"/>
        <v>1864.8</v>
      </c>
      <c r="Q218" s="8">
        <f t="shared" si="18"/>
        <v>1394.9739999999999</v>
      </c>
      <c r="R218" s="4">
        <f t="shared" si="19"/>
        <v>0.42793580168441125</v>
      </c>
      <c r="S218" t="s">
        <v>94</v>
      </c>
      <c r="T218">
        <f>Table6[[#This Row],[Discount]]*Table6[[#This Row],[List Price]]*Table6[[#This Row],[Units]]</f>
        <v>1397.046</v>
      </c>
    </row>
    <row r="219" spans="1:20" x14ac:dyDescent="0.2">
      <c r="A219" t="s">
        <v>312</v>
      </c>
      <c r="B219" s="2">
        <v>46073.499248107328</v>
      </c>
      <c r="C219" t="s">
        <v>93</v>
      </c>
      <c r="D219" t="s">
        <v>104</v>
      </c>
      <c r="E219" t="s">
        <v>8</v>
      </c>
      <c r="F219" t="s">
        <v>15</v>
      </c>
      <c r="G219" t="s">
        <v>22</v>
      </c>
      <c r="H219" t="str">
        <f>_xlfn.XLOOKUP(Table6[[#This Row],[SKU]],tblProductMaster[SKU],tblProductMaster[Product])</f>
        <v>Styling Gel</v>
      </c>
      <c r="I219">
        <v>1069</v>
      </c>
      <c r="J219">
        <f>_xlfn.XLOOKUP(G219,[1]!tblProductMaster[SKU],[1]!tblProductMaster[List Price])</f>
        <v>4.49</v>
      </c>
      <c r="K219" t="s">
        <v>89</v>
      </c>
      <c r="L219" s="3">
        <v>0.3</v>
      </c>
      <c r="M219" s="9">
        <f t="shared" si="15"/>
        <v>3.1429999999999998</v>
      </c>
      <c r="N219" s="8">
        <f t="shared" si="16"/>
        <v>3359.8669999999997</v>
      </c>
      <c r="O219" s="9">
        <f>_xlfn.XLOOKUP(G219,[1]!tblProductMaster[SKU],[1]!tblProductMaster[Unit Cost])</f>
        <v>1.9</v>
      </c>
      <c r="P219" s="8">
        <f t="shared" si="17"/>
        <v>2031.1</v>
      </c>
      <c r="Q219" s="8">
        <f t="shared" si="18"/>
        <v>1328.7669999999998</v>
      </c>
      <c r="R219" s="4">
        <f t="shared" si="19"/>
        <v>0.39548202354438433</v>
      </c>
      <c r="S219" t="s">
        <v>94</v>
      </c>
      <c r="T219">
        <f>Table6[[#This Row],[Discount]]*Table6[[#This Row],[List Price]]*Table6[[#This Row],[Units]]</f>
        <v>1439.943</v>
      </c>
    </row>
    <row r="220" spans="1:20" x14ac:dyDescent="0.2">
      <c r="A220" t="s">
        <v>313</v>
      </c>
      <c r="B220" s="2">
        <v>46234.782079000826</v>
      </c>
      <c r="C220" t="s">
        <v>98</v>
      </c>
      <c r="D220" t="s">
        <v>104</v>
      </c>
      <c r="E220" t="s">
        <v>40</v>
      </c>
      <c r="F220" t="s">
        <v>15</v>
      </c>
      <c r="G220" t="s">
        <v>52</v>
      </c>
      <c r="H220" t="str">
        <f>_xlfn.XLOOKUP(Table6[[#This Row],[SKU]],tblProductMaster[SKU],tblProductMaster[Product])</f>
        <v>Laundry Pods</v>
      </c>
      <c r="I220">
        <v>1094</v>
      </c>
      <c r="J220">
        <f>_xlfn.XLOOKUP(G220,[1]!tblProductMaster[SKU],[1]!tblProductMaster[List Price])</f>
        <v>10.49</v>
      </c>
      <c r="K220" t="s">
        <v>89</v>
      </c>
      <c r="L220" s="3">
        <v>0.2</v>
      </c>
      <c r="M220" s="9">
        <f t="shared" si="15"/>
        <v>8.3920000000000012</v>
      </c>
      <c r="N220" s="8">
        <f t="shared" si="16"/>
        <v>9180.8480000000018</v>
      </c>
      <c r="O220" s="9">
        <f>_xlfn.XLOOKUP(G220,[1]!tblProductMaster[SKU],[1]!tblProductMaster[Unit Cost])</f>
        <v>4.5999999999999996</v>
      </c>
      <c r="P220" s="8">
        <f t="shared" si="17"/>
        <v>5032.3999999999996</v>
      </c>
      <c r="Q220" s="8">
        <f t="shared" si="18"/>
        <v>4148.4480000000021</v>
      </c>
      <c r="R220" s="4">
        <f t="shared" si="19"/>
        <v>0.45185891325071509</v>
      </c>
      <c r="S220" t="s">
        <v>99</v>
      </c>
      <c r="T220">
        <f>Table6[[#This Row],[Discount]]*Table6[[#This Row],[List Price]]*Table6[[#This Row],[Units]]</f>
        <v>2295.2120000000004</v>
      </c>
    </row>
    <row r="221" spans="1:20" x14ac:dyDescent="0.2">
      <c r="A221" t="s">
        <v>314</v>
      </c>
      <c r="B221" s="2">
        <v>46314.692750663147</v>
      </c>
      <c r="C221" t="s">
        <v>93</v>
      </c>
      <c r="D221" t="s">
        <v>96</v>
      </c>
      <c r="E221" t="s">
        <v>40</v>
      </c>
      <c r="F221" t="s">
        <v>7</v>
      </c>
      <c r="G221" t="s">
        <v>44</v>
      </c>
      <c r="H221" t="str">
        <f>_xlfn.XLOOKUP(Table6[[#This Row],[SKU]],tblProductMaster[SKU],tblProductMaster[Product])</f>
        <v>Fabric Softener</v>
      </c>
      <c r="I221">
        <v>219</v>
      </c>
      <c r="J221">
        <f>_xlfn.XLOOKUP(G221,[1]!tblProductMaster[SKU],[1]!tblProductMaster[List Price])</f>
        <v>6.99</v>
      </c>
      <c r="K221" t="s">
        <v>86</v>
      </c>
      <c r="L221" s="3">
        <v>0</v>
      </c>
      <c r="M221" s="9">
        <f t="shared" si="15"/>
        <v>6.99</v>
      </c>
      <c r="N221" s="8">
        <f t="shared" si="16"/>
        <v>1530.81</v>
      </c>
      <c r="O221" s="9">
        <f>_xlfn.XLOOKUP(G221,[1]!tblProductMaster[SKU],[1]!tblProductMaster[Unit Cost])</f>
        <v>2.9</v>
      </c>
      <c r="P221" s="8">
        <f t="shared" si="17"/>
        <v>635.1</v>
      </c>
      <c r="Q221" s="8">
        <f t="shared" si="18"/>
        <v>895.70999999999992</v>
      </c>
      <c r="R221" s="4">
        <f t="shared" si="19"/>
        <v>0.58512160228898424</v>
      </c>
      <c r="S221" t="s">
        <v>87</v>
      </c>
      <c r="T221">
        <f>Table6[[#This Row],[Discount]]*Table6[[#This Row],[List Price]]*Table6[[#This Row],[Units]]</f>
        <v>0</v>
      </c>
    </row>
    <row r="222" spans="1:20" x14ac:dyDescent="0.2">
      <c r="A222" t="s">
        <v>315</v>
      </c>
      <c r="B222" s="2">
        <v>46130.686029420234</v>
      </c>
      <c r="C222" t="s">
        <v>98</v>
      </c>
      <c r="D222" t="s">
        <v>104</v>
      </c>
      <c r="E222" t="s">
        <v>8</v>
      </c>
      <c r="F222" t="s">
        <v>18</v>
      </c>
      <c r="G222" t="s">
        <v>17</v>
      </c>
      <c r="H222" t="str">
        <f>_xlfn.XLOOKUP(Table6[[#This Row],[SKU]],tblProductMaster[SKU],tblProductMaster[Product])</f>
        <v>Anti-Dandruff Shampoo</v>
      </c>
      <c r="I222">
        <v>296</v>
      </c>
      <c r="J222">
        <f>_xlfn.XLOOKUP(G222,[1]!tblProductMaster[SKU],[1]!tblProductMaster[List Price])</f>
        <v>6.49</v>
      </c>
      <c r="K222" t="s">
        <v>86</v>
      </c>
      <c r="L222" s="3">
        <v>0</v>
      </c>
      <c r="M222" s="9">
        <f t="shared" si="15"/>
        <v>6.49</v>
      </c>
      <c r="N222" s="8">
        <f t="shared" si="16"/>
        <v>1921.04</v>
      </c>
      <c r="O222" s="9">
        <f>_xlfn.XLOOKUP(G222,[1]!tblProductMaster[SKU],[1]!tblProductMaster[Unit Cost])</f>
        <v>2.8</v>
      </c>
      <c r="P222" s="8">
        <f t="shared" si="17"/>
        <v>828.8</v>
      </c>
      <c r="Q222" s="8">
        <f t="shared" si="18"/>
        <v>1092.24</v>
      </c>
      <c r="R222" s="4">
        <f t="shared" si="19"/>
        <v>0.5685670261941449</v>
      </c>
      <c r="S222" t="s">
        <v>87</v>
      </c>
      <c r="T222">
        <f>Table6[[#This Row],[Discount]]*Table6[[#This Row],[List Price]]*Table6[[#This Row],[Units]]</f>
        <v>0</v>
      </c>
    </row>
    <row r="223" spans="1:20" x14ac:dyDescent="0.2">
      <c r="A223" t="s">
        <v>316</v>
      </c>
      <c r="B223" s="2">
        <v>46059.166675914632</v>
      </c>
      <c r="C223" t="s">
        <v>98</v>
      </c>
      <c r="D223" t="s">
        <v>104</v>
      </c>
      <c r="E223" t="s">
        <v>56</v>
      </c>
      <c r="F223" t="s">
        <v>7</v>
      </c>
      <c r="G223" t="s">
        <v>64</v>
      </c>
      <c r="H223" t="str">
        <f>_xlfn.XLOOKUP(Table6[[#This Row],[SKU]],tblProductMaster[SKU],tblProductMaster[Product])</f>
        <v>Toothbrush</v>
      </c>
      <c r="I223">
        <v>799</v>
      </c>
      <c r="J223">
        <f>_xlfn.XLOOKUP(G223,[1]!tblProductMaster[SKU],[1]!tblProductMaster[List Price])</f>
        <v>3.99</v>
      </c>
      <c r="K223" t="s">
        <v>86</v>
      </c>
      <c r="L223" s="3">
        <v>0</v>
      </c>
      <c r="M223" s="9">
        <f t="shared" si="15"/>
        <v>3.99</v>
      </c>
      <c r="N223" s="8">
        <f t="shared" si="16"/>
        <v>3188.01</v>
      </c>
      <c r="O223" s="9">
        <f>_xlfn.XLOOKUP(G223,[1]!tblProductMaster[SKU],[1]!tblProductMaster[Unit Cost])</f>
        <v>1.5</v>
      </c>
      <c r="P223" s="8">
        <f t="shared" si="17"/>
        <v>1198.5</v>
      </c>
      <c r="Q223" s="8">
        <f t="shared" si="18"/>
        <v>1989.5100000000002</v>
      </c>
      <c r="R223" s="4">
        <f t="shared" si="19"/>
        <v>0.62406015037593987</v>
      </c>
      <c r="S223" t="s">
        <v>87</v>
      </c>
      <c r="T223">
        <f>Table6[[#This Row],[Discount]]*Table6[[#This Row],[List Price]]*Table6[[#This Row],[Units]]</f>
        <v>0</v>
      </c>
    </row>
    <row r="224" spans="1:20" x14ac:dyDescent="0.2">
      <c r="A224" t="s">
        <v>317</v>
      </c>
      <c r="B224" s="2">
        <v>46127.796872435349</v>
      </c>
      <c r="C224" t="s">
        <v>93</v>
      </c>
      <c r="D224" t="s">
        <v>85</v>
      </c>
      <c r="E224" t="s">
        <v>56</v>
      </c>
      <c r="F224" t="s">
        <v>7</v>
      </c>
      <c r="G224" t="s">
        <v>66</v>
      </c>
      <c r="H224" t="str">
        <f>_xlfn.XLOOKUP(Table6[[#This Row],[SKU]],tblProductMaster[SKU],tblProductMaster[Product])</f>
        <v>Electric Brush Heads</v>
      </c>
      <c r="I224">
        <v>423</v>
      </c>
      <c r="J224">
        <f>_xlfn.XLOOKUP(G224,[1]!tblProductMaster[SKU],[1]!tblProductMaster[List Price])</f>
        <v>12.99</v>
      </c>
      <c r="K224" t="s">
        <v>86</v>
      </c>
      <c r="L224" s="3">
        <v>0</v>
      </c>
      <c r="M224" s="9">
        <f t="shared" si="15"/>
        <v>12.99</v>
      </c>
      <c r="N224" s="8">
        <f t="shared" si="16"/>
        <v>5494.77</v>
      </c>
      <c r="O224" s="9">
        <f>_xlfn.XLOOKUP(G224,[1]!tblProductMaster[SKU],[1]!tblProductMaster[Unit Cost])</f>
        <v>5.2</v>
      </c>
      <c r="P224" s="8">
        <f t="shared" si="17"/>
        <v>2199.6</v>
      </c>
      <c r="Q224" s="8">
        <f t="shared" si="18"/>
        <v>3295.1700000000005</v>
      </c>
      <c r="R224" s="4">
        <f t="shared" si="19"/>
        <v>0.59969207082371057</v>
      </c>
      <c r="S224" t="s">
        <v>87</v>
      </c>
      <c r="T224">
        <f>Table6[[#This Row],[Discount]]*Table6[[#This Row],[List Price]]*Table6[[#This Row],[Units]]</f>
        <v>0</v>
      </c>
    </row>
    <row r="225" spans="1:20" x14ac:dyDescent="0.2">
      <c r="A225" t="s">
        <v>318</v>
      </c>
      <c r="B225" s="2">
        <v>46357.956263920045</v>
      </c>
      <c r="C225" t="s">
        <v>98</v>
      </c>
      <c r="D225" t="s">
        <v>104</v>
      </c>
      <c r="E225" t="s">
        <v>8</v>
      </c>
      <c r="F225" t="s">
        <v>18</v>
      </c>
      <c r="G225" t="s">
        <v>17</v>
      </c>
      <c r="H225" t="str">
        <f>_xlfn.XLOOKUP(Table6[[#This Row],[SKU]],tblProductMaster[SKU],tblProductMaster[Product])</f>
        <v>Anti-Dandruff Shampoo</v>
      </c>
      <c r="I225">
        <v>563</v>
      </c>
      <c r="J225">
        <f>_xlfn.XLOOKUP(G225,[1]!tblProductMaster[SKU],[1]!tblProductMaster[List Price])</f>
        <v>6.49</v>
      </c>
      <c r="K225" t="s">
        <v>89</v>
      </c>
      <c r="L225" s="3">
        <v>0.2</v>
      </c>
      <c r="M225" s="9">
        <f t="shared" si="15"/>
        <v>5.1920000000000002</v>
      </c>
      <c r="N225" s="8">
        <f t="shared" si="16"/>
        <v>2923.096</v>
      </c>
      <c r="O225" s="9">
        <f>_xlfn.XLOOKUP(G225,[1]!tblProductMaster[SKU],[1]!tblProductMaster[Unit Cost])</f>
        <v>2.8</v>
      </c>
      <c r="P225" s="8">
        <f t="shared" si="17"/>
        <v>1576.3999999999999</v>
      </c>
      <c r="Q225" s="8">
        <f t="shared" si="18"/>
        <v>1346.6960000000001</v>
      </c>
      <c r="R225" s="4">
        <f t="shared" si="19"/>
        <v>0.46070878274268112</v>
      </c>
      <c r="S225" t="s">
        <v>99</v>
      </c>
      <c r="T225">
        <f>Table6[[#This Row],[Discount]]*Table6[[#This Row],[List Price]]*Table6[[#This Row],[Units]]</f>
        <v>730.774</v>
      </c>
    </row>
    <row r="226" spans="1:20" x14ac:dyDescent="0.2">
      <c r="A226" t="s">
        <v>319</v>
      </c>
      <c r="B226" s="2">
        <v>46122.131417376586</v>
      </c>
      <c r="C226" t="s">
        <v>98</v>
      </c>
      <c r="D226" t="s">
        <v>104</v>
      </c>
      <c r="E226" t="s">
        <v>56</v>
      </c>
      <c r="F226" t="s">
        <v>18</v>
      </c>
      <c r="G226" t="s">
        <v>68</v>
      </c>
      <c r="H226" t="str">
        <f>_xlfn.XLOOKUP(Table6[[#This Row],[SKU]],tblProductMaster[SKU],tblProductMaster[Product])</f>
        <v>Kids Toothpaste</v>
      </c>
      <c r="I226">
        <v>325</v>
      </c>
      <c r="J226">
        <f>_xlfn.XLOOKUP(G226,[1]!tblProductMaster[SKU],[1]!tblProductMaster[List Price])</f>
        <v>3.29</v>
      </c>
      <c r="K226" t="s">
        <v>86</v>
      </c>
      <c r="L226" s="3">
        <v>0</v>
      </c>
      <c r="M226" s="9">
        <f t="shared" si="15"/>
        <v>3.29</v>
      </c>
      <c r="N226" s="8">
        <f t="shared" si="16"/>
        <v>1069.25</v>
      </c>
      <c r="O226" s="9">
        <f>_xlfn.XLOOKUP(G226,[1]!tblProductMaster[SKU],[1]!tblProductMaster[Unit Cost])</f>
        <v>1.1000000000000001</v>
      </c>
      <c r="P226" s="8">
        <f t="shared" si="17"/>
        <v>357.50000000000006</v>
      </c>
      <c r="Q226" s="8">
        <f t="shared" si="18"/>
        <v>711.75</v>
      </c>
      <c r="R226" s="4">
        <f t="shared" si="19"/>
        <v>0.66565349544072949</v>
      </c>
      <c r="S226" t="s">
        <v>87</v>
      </c>
      <c r="T226">
        <f>Table6[[#This Row],[Discount]]*Table6[[#This Row],[List Price]]*Table6[[#This Row],[Units]]</f>
        <v>0</v>
      </c>
    </row>
    <row r="227" spans="1:20" x14ac:dyDescent="0.2">
      <c r="A227" t="s">
        <v>320</v>
      </c>
      <c r="B227" s="2">
        <v>46202.508412873198</v>
      </c>
      <c r="C227" t="s">
        <v>93</v>
      </c>
      <c r="D227" t="s">
        <v>96</v>
      </c>
      <c r="E227" t="s">
        <v>8</v>
      </c>
      <c r="F227" t="s">
        <v>15</v>
      </c>
      <c r="G227" t="s">
        <v>14</v>
      </c>
      <c r="H227" t="str">
        <f>_xlfn.XLOOKUP(Table6[[#This Row],[SKU]],tblProductMaster[SKU],tblProductMaster[Product])</f>
        <v>Shampoo 250ml</v>
      </c>
      <c r="I227">
        <v>510</v>
      </c>
      <c r="J227">
        <f>_xlfn.XLOOKUP(G227,[1]!tblProductMaster[SKU],[1]!tblProductMaster[List Price])</f>
        <v>4.99</v>
      </c>
      <c r="K227" t="s">
        <v>86</v>
      </c>
      <c r="L227" s="3">
        <v>0</v>
      </c>
      <c r="M227" s="9">
        <f t="shared" si="15"/>
        <v>4.99</v>
      </c>
      <c r="N227" s="8">
        <f t="shared" si="16"/>
        <v>2544.9</v>
      </c>
      <c r="O227" s="9">
        <f>_xlfn.XLOOKUP(G227,[1]!tblProductMaster[SKU],[1]!tblProductMaster[Unit Cost])</f>
        <v>2.1</v>
      </c>
      <c r="P227" s="8">
        <f t="shared" si="17"/>
        <v>1071</v>
      </c>
      <c r="Q227" s="8">
        <f t="shared" si="18"/>
        <v>1473.9</v>
      </c>
      <c r="R227" s="4">
        <f t="shared" si="19"/>
        <v>0.57915831663326656</v>
      </c>
      <c r="S227" t="s">
        <v>87</v>
      </c>
      <c r="T227">
        <f>Table6[[#This Row],[Discount]]*Table6[[#This Row],[List Price]]*Table6[[#This Row],[Units]]</f>
        <v>0</v>
      </c>
    </row>
    <row r="228" spans="1:20" x14ac:dyDescent="0.2">
      <c r="A228" t="s">
        <v>321</v>
      </c>
      <c r="B228" s="2">
        <v>46078.740011820904</v>
      </c>
      <c r="C228" t="s">
        <v>93</v>
      </c>
      <c r="D228" t="s">
        <v>85</v>
      </c>
      <c r="E228" t="s">
        <v>25</v>
      </c>
      <c r="F228" t="s">
        <v>7</v>
      </c>
      <c r="G228" t="s">
        <v>24</v>
      </c>
      <c r="H228" t="str">
        <f>_xlfn.XLOOKUP(Table6[[#This Row],[SKU]],tblProductMaster[SKU],tblProductMaster[Product])</f>
        <v>Body Lotion 400ml</v>
      </c>
      <c r="I228">
        <v>249</v>
      </c>
      <c r="J228">
        <f>_xlfn.XLOOKUP(G228,[1]!tblProductMaster[SKU],[1]!tblProductMaster[List Price])</f>
        <v>7.99</v>
      </c>
      <c r="K228" t="s">
        <v>86</v>
      </c>
      <c r="L228" s="3">
        <v>0</v>
      </c>
      <c r="M228" s="9">
        <f t="shared" si="15"/>
        <v>7.99</v>
      </c>
      <c r="N228" s="8">
        <f t="shared" si="16"/>
        <v>1989.51</v>
      </c>
      <c r="O228" s="9">
        <f>_xlfn.XLOOKUP(G228,[1]!tblProductMaster[SKU],[1]!tblProductMaster[Unit Cost])</f>
        <v>3.1</v>
      </c>
      <c r="P228" s="8">
        <f t="shared" si="17"/>
        <v>771.9</v>
      </c>
      <c r="Q228" s="8">
        <f t="shared" si="18"/>
        <v>1217.6100000000001</v>
      </c>
      <c r="R228" s="4">
        <f t="shared" si="19"/>
        <v>0.61201501877346687</v>
      </c>
      <c r="S228" t="s">
        <v>87</v>
      </c>
      <c r="T228">
        <f>Table6[[#This Row],[Discount]]*Table6[[#This Row],[List Price]]*Table6[[#This Row],[Units]]</f>
        <v>0</v>
      </c>
    </row>
    <row r="229" spans="1:20" x14ac:dyDescent="0.2">
      <c r="A229" t="s">
        <v>322</v>
      </c>
      <c r="B229" s="2">
        <v>46153.343264717594</v>
      </c>
      <c r="C229" t="s">
        <v>98</v>
      </c>
      <c r="D229" t="s">
        <v>85</v>
      </c>
      <c r="E229" t="s">
        <v>8</v>
      </c>
      <c r="F229" t="s">
        <v>7</v>
      </c>
      <c r="G229" t="s">
        <v>6</v>
      </c>
      <c r="H229" t="str">
        <f>_xlfn.XLOOKUP(Table6[[#This Row],[SKU]],tblProductMaster[SKU],tblProductMaster[Product])</f>
        <v>Shampoo 250ml</v>
      </c>
      <c r="I229">
        <v>1115</v>
      </c>
      <c r="J229">
        <f>_xlfn.XLOOKUP(G229,[1]!tblProductMaster[SKU],[1]!tblProductMaster[List Price])</f>
        <v>5.99</v>
      </c>
      <c r="K229" t="s">
        <v>89</v>
      </c>
      <c r="L229" s="3">
        <v>0.3</v>
      </c>
      <c r="M229" s="9">
        <f t="shared" si="15"/>
        <v>4.1929999999999996</v>
      </c>
      <c r="N229" s="8">
        <f t="shared" si="16"/>
        <v>4675.1949999999997</v>
      </c>
      <c r="O229" s="9">
        <f>_xlfn.XLOOKUP(G229,[1]!tblProductMaster[SKU],[1]!tblProductMaster[Unit Cost])</f>
        <v>2.4</v>
      </c>
      <c r="P229" s="8">
        <f t="shared" si="17"/>
        <v>2676</v>
      </c>
      <c r="Q229" s="8">
        <f t="shared" si="18"/>
        <v>1999.1949999999997</v>
      </c>
      <c r="R229" s="4">
        <f t="shared" si="19"/>
        <v>0.42761745766754111</v>
      </c>
      <c r="S229" t="s">
        <v>90</v>
      </c>
      <c r="T229">
        <f>Table6[[#This Row],[Discount]]*Table6[[#This Row],[List Price]]*Table6[[#This Row],[Units]]</f>
        <v>2003.655</v>
      </c>
    </row>
    <row r="230" spans="1:20" x14ac:dyDescent="0.2">
      <c r="A230" t="s">
        <v>323</v>
      </c>
      <c r="B230" s="2">
        <v>46087.55395555024</v>
      </c>
      <c r="C230" t="s">
        <v>93</v>
      </c>
      <c r="D230" t="s">
        <v>85</v>
      </c>
      <c r="E230" t="s">
        <v>40</v>
      </c>
      <c r="F230" t="s">
        <v>15</v>
      </c>
      <c r="G230" t="s">
        <v>46</v>
      </c>
      <c r="H230" t="str">
        <f>_xlfn.XLOOKUP(Table6[[#This Row],[SKU]],tblProductMaster[SKU],tblProductMaster[Product])</f>
        <v>Stain Remover</v>
      </c>
      <c r="I230">
        <v>341</v>
      </c>
      <c r="J230">
        <f>_xlfn.XLOOKUP(G230,[1]!tblProductMaster[SKU],[1]!tblProductMaster[List Price])</f>
        <v>5.99</v>
      </c>
      <c r="K230" t="s">
        <v>86</v>
      </c>
      <c r="L230" s="3">
        <v>0</v>
      </c>
      <c r="M230" s="9">
        <f t="shared" si="15"/>
        <v>5.99</v>
      </c>
      <c r="N230" s="8">
        <f t="shared" si="16"/>
        <v>2042.5900000000001</v>
      </c>
      <c r="O230" s="9">
        <f>_xlfn.XLOOKUP(G230,[1]!tblProductMaster[SKU],[1]!tblProductMaster[Unit Cost])</f>
        <v>2.5</v>
      </c>
      <c r="P230" s="8">
        <f t="shared" si="17"/>
        <v>852.5</v>
      </c>
      <c r="Q230" s="8">
        <f t="shared" si="18"/>
        <v>1190.0900000000001</v>
      </c>
      <c r="R230" s="4">
        <f t="shared" si="19"/>
        <v>0.58263772954924875</v>
      </c>
      <c r="S230" t="s">
        <v>87</v>
      </c>
      <c r="T230">
        <f>Table6[[#This Row],[Discount]]*Table6[[#This Row],[List Price]]*Table6[[#This Row],[Units]]</f>
        <v>0</v>
      </c>
    </row>
    <row r="231" spans="1:20" x14ac:dyDescent="0.2">
      <c r="A231" t="s">
        <v>324</v>
      </c>
      <c r="B231" s="2">
        <v>46058.05905329292</v>
      </c>
      <c r="C231" t="s">
        <v>98</v>
      </c>
      <c r="D231" t="s">
        <v>85</v>
      </c>
      <c r="E231" t="s">
        <v>40</v>
      </c>
      <c r="F231" t="s">
        <v>18</v>
      </c>
      <c r="G231" t="s">
        <v>50</v>
      </c>
      <c r="H231" t="str">
        <f>_xlfn.XLOOKUP(Table6[[#This Row],[SKU]],tblProductMaster[SKU],tblProductMaster[Product])</f>
        <v>Sensitive Detergent</v>
      </c>
      <c r="I231">
        <v>733</v>
      </c>
      <c r="J231">
        <f>_xlfn.XLOOKUP(G231,[1]!tblProductMaster[SKU],[1]!tblProductMaster[List Price])</f>
        <v>8.99</v>
      </c>
      <c r="K231" t="s">
        <v>86</v>
      </c>
      <c r="L231" s="3">
        <v>0</v>
      </c>
      <c r="M231" s="9">
        <f t="shared" si="15"/>
        <v>8.99</v>
      </c>
      <c r="N231" s="8">
        <f t="shared" si="16"/>
        <v>6589.67</v>
      </c>
      <c r="O231" s="9">
        <f>_xlfn.XLOOKUP(G231,[1]!tblProductMaster[SKU],[1]!tblProductMaster[Unit Cost])</f>
        <v>4</v>
      </c>
      <c r="P231" s="8">
        <f t="shared" si="17"/>
        <v>2932</v>
      </c>
      <c r="Q231" s="8">
        <f t="shared" si="18"/>
        <v>3657.67</v>
      </c>
      <c r="R231" s="4">
        <f t="shared" si="19"/>
        <v>0.55506117908787544</v>
      </c>
      <c r="S231" t="s">
        <v>87</v>
      </c>
      <c r="T231">
        <f>Table6[[#This Row],[Discount]]*Table6[[#This Row],[List Price]]*Table6[[#This Row],[Units]]</f>
        <v>0</v>
      </c>
    </row>
    <row r="232" spans="1:20" x14ac:dyDescent="0.2">
      <c r="A232" t="s">
        <v>325</v>
      </c>
      <c r="B232" s="2">
        <v>46215.45600574118</v>
      </c>
      <c r="C232" t="s">
        <v>98</v>
      </c>
      <c r="D232" t="s">
        <v>85</v>
      </c>
      <c r="E232" t="s">
        <v>8</v>
      </c>
      <c r="F232" t="s">
        <v>18</v>
      </c>
      <c r="G232" t="s">
        <v>20</v>
      </c>
      <c r="H232" t="str">
        <f>_xlfn.XLOOKUP(Table6[[#This Row],[SKU]],tblProductMaster[SKU],tblProductMaster[Product])</f>
        <v>Hair Oil</v>
      </c>
      <c r="I232">
        <v>592</v>
      </c>
      <c r="J232">
        <f>_xlfn.XLOOKUP(G232,[1]!tblProductMaster[SKU],[1]!tblProductMaster[List Price])</f>
        <v>7.49</v>
      </c>
      <c r="K232" t="s">
        <v>86</v>
      </c>
      <c r="L232" s="3">
        <v>0</v>
      </c>
      <c r="M232" s="9">
        <f t="shared" si="15"/>
        <v>7.49</v>
      </c>
      <c r="N232" s="8">
        <f t="shared" si="16"/>
        <v>4434.08</v>
      </c>
      <c r="O232" s="9">
        <f>_xlfn.XLOOKUP(G232,[1]!tblProductMaster[SKU],[1]!tblProductMaster[Unit Cost])</f>
        <v>3.1</v>
      </c>
      <c r="P232" s="8">
        <f t="shared" si="17"/>
        <v>1835.2</v>
      </c>
      <c r="Q232" s="8">
        <f t="shared" si="18"/>
        <v>2598.88</v>
      </c>
      <c r="R232" s="4">
        <f t="shared" si="19"/>
        <v>0.58611481975967961</v>
      </c>
      <c r="S232" t="s">
        <v>87</v>
      </c>
      <c r="T232">
        <f>Table6[[#This Row],[Discount]]*Table6[[#This Row],[List Price]]*Table6[[#This Row],[Units]]</f>
        <v>0</v>
      </c>
    </row>
    <row r="233" spans="1:20" x14ac:dyDescent="0.2">
      <c r="A233" t="s">
        <v>326</v>
      </c>
      <c r="B233" s="2">
        <v>46168.33510894241</v>
      </c>
      <c r="C233" t="s">
        <v>84</v>
      </c>
      <c r="D233" t="s">
        <v>85</v>
      </c>
      <c r="E233" t="s">
        <v>56</v>
      </c>
      <c r="F233" t="s">
        <v>7</v>
      </c>
      <c r="G233" t="s">
        <v>58</v>
      </c>
      <c r="H233" t="str">
        <f>_xlfn.XLOOKUP(Table6[[#This Row],[SKU]],tblProductMaster[SKU],tblProductMaster[Product])</f>
        <v>Whitening Toothpaste</v>
      </c>
      <c r="I233">
        <v>224</v>
      </c>
      <c r="J233">
        <f>_xlfn.XLOOKUP(G233,[1]!tblProductMaster[SKU],[1]!tblProductMaster[List Price])</f>
        <v>4.99</v>
      </c>
      <c r="K233" t="s">
        <v>86</v>
      </c>
      <c r="L233" s="3">
        <v>0</v>
      </c>
      <c r="M233" s="9">
        <f t="shared" si="15"/>
        <v>4.99</v>
      </c>
      <c r="N233" s="8">
        <f t="shared" si="16"/>
        <v>1117.76</v>
      </c>
      <c r="O233" s="9">
        <f>_xlfn.XLOOKUP(G233,[1]!tblProductMaster[SKU],[1]!tblProductMaster[Unit Cost])</f>
        <v>1.8</v>
      </c>
      <c r="P233" s="8">
        <f t="shared" si="17"/>
        <v>403.2</v>
      </c>
      <c r="Q233" s="8">
        <f t="shared" si="18"/>
        <v>714.56</v>
      </c>
      <c r="R233" s="4">
        <f t="shared" si="19"/>
        <v>0.63927855711422843</v>
      </c>
      <c r="S233" t="s">
        <v>87</v>
      </c>
      <c r="T233">
        <f>Table6[[#This Row],[Discount]]*Table6[[#This Row],[List Price]]*Table6[[#This Row],[Units]]</f>
        <v>0</v>
      </c>
    </row>
    <row r="234" spans="1:20" x14ac:dyDescent="0.2">
      <c r="A234" t="s">
        <v>327</v>
      </c>
      <c r="B234" s="2">
        <v>46049.151316670679</v>
      </c>
      <c r="C234" t="s">
        <v>93</v>
      </c>
      <c r="D234" t="s">
        <v>104</v>
      </c>
      <c r="E234" t="s">
        <v>8</v>
      </c>
      <c r="F234" t="s">
        <v>15</v>
      </c>
      <c r="G234" t="s">
        <v>22</v>
      </c>
      <c r="H234" t="str">
        <f>_xlfn.XLOOKUP(Table6[[#This Row],[SKU]],tblProductMaster[SKU],tblProductMaster[Product])</f>
        <v>Styling Gel</v>
      </c>
      <c r="I234">
        <v>571</v>
      </c>
      <c r="J234">
        <f>_xlfn.XLOOKUP(G234,[1]!tblProductMaster[SKU],[1]!tblProductMaster[List Price])</f>
        <v>4.49</v>
      </c>
      <c r="K234" t="s">
        <v>89</v>
      </c>
      <c r="L234" s="3">
        <v>0.1</v>
      </c>
      <c r="M234" s="9">
        <f t="shared" si="15"/>
        <v>4.0410000000000004</v>
      </c>
      <c r="N234" s="8">
        <f t="shared" si="16"/>
        <v>2307.4110000000001</v>
      </c>
      <c r="O234" s="9">
        <f>_xlfn.XLOOKUP(G234,[1]!tblProductMaster[SKU],[1]!tblProductMaster[Unit Cost])</f>
        <v>1.9</v>
      </c>
      <c r="P234" s="8">
        <f t="shared" si="17"/>
        <v>1084.8999999999999</v>
      </c>
      <c r="Q234" s="8">
        <f t="shared" si="18"/>
        <v>1222.5110000000002</v>
      </c>
      <c r="R234" s="4">
        <f t="shared" si="19"/>
        <v>0.52981935164563232</v>
      </c>
      <c r="S234" t="s">
        <v>90</v>
      </c>
      <c r="T234">
        <f>Table6[[#This Row],[Discount]]*Table6[[#This Row],[List Price]]*Table6[[#This Row],[Units]]</f>
        <v>256.37900000000002</v>
      </c>
    </row>
    <row r="235" spans="1:20" x14ac:dyDescent="0.2">
      <c r="A235" t="s">
        <v>328</v>
      </c>
      <c r="B235" s="2">
        <v>46171.917874078274</v>
      </c>
      <c r="C235" t="s">
        <v>84</v>
      </c>
      <c r="D235" t="s">
        <v>96</v>
      </c>
      <c r="E235" t="s">
        <v>8</v>
      </c>
      <c r="F235" t="s">
        <v>18</v>
      </c>
      <c r="G235" t="s">
        <v>20</v>
      </c>
      <c r="H235" t="str">
        <f>_xlfn.XLOOKUP(Table6[[#This Row],[SKU]],tblProductMaster[SKU],tblProductMaster[Product])</f>
        <v>Hair Oil</v>
      </c>
      <c r="I235">
        <v>546</v>
      </c>
      <c r="J235">
        <f>_xlfn.XLOOKUP(G235,[1]!tblProductMaster[SKU],[1]!tblProductMaster[List Price])</f>
        <v>7.49</v>
      </c>
      <c r="K235" t="s">
        <v>86</v>
      </c>
      <c r="L235" s="3">
        <v>0</v>
      </c>
      <c r="M235" s="9">
        <f t="shared" si="15"/>
        <v>7.49</v>
      </c>
      <c r="N235" s="8">
        <f t="shared" si="16"/>
        <v>4089.54</v>
      </c>
      <c r="O235" s="9">
        <f>_xlfn.XLOOKUP(G235,[1]!tblProductMaster[SKU],[1]!tblProductMaster[Unit Cost])</f>
        <v>3.1</v>
      </c>
      <c r="P235" s="8">
        <f t="shared" si="17"/>
        <v>1692.6000000000001</v>
      </c>
      <c r="Q235" s="8">
        <f t="shared" si="18"/>
        <v>2396.9399999999996</v>
      </c>
      <c r="R235" s="4">
        <f t="shared" si="19"/>
        <v>0.5861148197596795</v>
      </c>
      <c r="S235" t="s">
        <v>87</v>
      </c>
      <c r="T235">
        <f>Table6[[#This Row],[Discount]]*Table6[[#This Row],[List Price]]*Table6[[#This Row],[Units]]</f>
        <v>0</v>
      </c>
    </row>
    <row r="236" spans="1:20" x14ac:dyDescent="0.2">
      <c r="A236" t="s">
        <v>329</v>
      </c>
      <c r="B236" s="2">
        <v>46221.952091054394</v>
      </c>
      <c r="C236" t="s">
        <v>93</v>
      </c>
      <c r="D236" t="s">
        <v>96</v>
      </c>
      <c r="E236" t="s">
        <v>40</v>
      </c>
      <c r="F236" t="s">
        <v>7</v>
      </c>
      <c r="G236" t="s">
        <v>44</v>
      </c>
      <c r="H236" t="str">
        <f>_xlfn.XLOOKUP(Table6[[#This Row],[SKU]],tblProductMaster[SKU],tblProductMaster[Product])</f>
        <v>Fabric Softener</v>
      </c>
      <c r="I236">
        <v>1149</v>
      </c>
      <c r="J236">
        <f>_xlfn.XLOOKUP(G236,[1]!tblProductMaster[SKU],[1]!tblProductMaster[List Price])</f>
        <v>6.99</v>
      </c>
      <c r="K236" t="s">
        <v>89</v>
      </c>
      <c r="L236" s="3">
        <v>0.2</v>
      </c>
      <c r="M236" s="9">
        <f t="shared" si="15"/>
        <v>5.5920000000000005</v>
      </c>
      <c r="N236" s="8">
        <f t="shared" si="16"/>
        <v>6425.2080000000005</v>
      </c>
      <c r="O236" s="9">
        <f>_xlfn.XLOOKUP(G236,[1]!tblProductMaster[SKU],[1]!tblProductMaster[Unit Cost])</f>
        <v>2.9</v>
      </c>
      <c r="P236" s="8">
        <f t="shared" si="17"/>
        <v>3332.1</v>
      </c>
      <c r="Q236" s="8">
        <f t="shared" si="18"/>
        <v>3093.1080000000006</v>
      </c>
      <c r="R236" s="4">
        <f t="shared" si="19"/>
        <v>0.48140200286123036</v>
      </c>
      <c r="S236" t="s">
        <v>94</v>
      </c>
      <c r="T236">
        <f>Table6[[#This Row],[Discount]]*Table6[[#This Row],[List Price]]*Table6[[#This Row],[Units]]</f>
        <v>1606.3020000000001</v>
      </c>
    </row>
    <row r="237" spans="1:20" x14ac:dyDescent="0.2">
      <c r="A237" t="s">
        <v>330</v>
      </c>
      <c r="B237" s="2">
        <v>46368.579473820813</v>
      </c>
      <c r="C237" t="s">
        <v>84</v>
      </c>
      <c r="D237" t="s">
        <v>85</v>
      </c>
      <c r="E237" t="s">
        <v>40</v>
      </c>
      <c r="F237" t="s">
        <v>15</v>
      </c>
      <c r="G237" t="s">
        <v>39</v>
      </c>
      <c r="H237" t="str">
        <f>_xlfn.XLOOKUP(Table6[[#This Row],[SKU]],tblProductMaster[SKU],tblProductMaster[Product])</f>
        <v>Detergent 1L</v>
      </c>
      <c r="I237">
        <v>730</v>
      </c>
      <c r="J237">
        <f>_xlfn.XLOOKUP(G237,[1]!tblProductMaster[SKU],[1]!tblProductMaster[List Price])</f>
        <v>8.49</v>
      </c>
      <c r="K237" t="s">
        <v>86</v>
      </c>
      <c r="L237" s="3">
        <v>0</v>
      </c>
      <c r="M237" s="9">
        <f t="shared" si="15"/>
        <v>8.49</v>
      </c>
      <c r="N237" s="8">
        <f t="shared" si="16"/>
        <v>6197.7</v>
      </c>
      <c r="O237" s="9">
        <f>_xlfn.XLOOKUP(G237,[1]!tblProductMaster[SKU],[1]!tblProductMaster[Unit Cost])</f>
        <v>3.8</v>
      </c>
      <c r="P237" s="8">
        <f t="shared" si="17"/>
        <v>2774</v>
      </c>
      <c r="Q237" s="8">
        <f t="shared" si="18"/>
        <v>3423.7</v>
      </c>
      <c r="R237" s="4">
        <f t="shared" si="19"/>
        <v>0.55241460541813903</v>
      </c>
      <c r="S237" t="s">
        <v>87</v>
      </c>
      <c r="T237">
        <f>Table6[[#This Row],[Discount]]*Table6[[#This Row],[List Price]]*Table6[[#This Row],[Units]]</f>
        <v>0</v>
      </c>
    </row>
    <row r="238" spans="1:20" x14ac:dyDescent="0.2">
      <c r="A238" t="s">
        <v>331</v>
      </c>
      <c r="B238" s="2">
        <v>46289.224266338679</v>
      </c>
      <c r="C238" t="s">
        <v>98</v>
      </c>
      <c r="D238" t="s">
        <v>96</v>
      </c>
      <c r="E238" t="s">
        <v>56</v>
      </c>
      <c r="F238" t="s">
        <v>15</v>
      </c>
      <c r="G238" t="s">
        <v>55</v>
      </c>
      <c r="H238" t="str">
        <f>_xlfn.XLOOKUP(Table6[[#This Row],[SKU]],tblProductMaster[SKU],tblProductMaster[Product])</f>
        <v>Toothpaste 75ml</v>
      </c>
      <c r="I238">
        <v>522</v>
      </c>
      <c r="J238">
        <f>_xlfn.XLOOKUP(G238,[1]!tblProductMaster[SKU],[1]!tblProductMaster[List Price])</f>
        <v>3.49</v>
      </c>
      <c r="K238" t="s">
        <v>86</v>
      </c>
      <c r="L238" s="3">
        <v>0</v>
      </c>
      <c r="M238" s="9">
        <f t="shared" si="15"/>
        <v>3.49</v>
      </c>
      <c r="N238" s="8">
        <f t="shared" si="16"/>
        <v>1821.7800000000002</v>
      </c>
      <c r="O238" s="9">
        <f>_xlfn.XLOOKUP(G238,[1]!tblProductMaster[SKU],[1]!tblProductMaster[Unit Cost])</f>
        <v>1.2</v>
      </c>
      <c r="P238" s="8">
        <f t="shared" si="17"/>
        <v>626.4</v>
      </c>
      <c r="Q238" s="8">
        <f t="shared" si="18"/>
        <v>1195.3800000000001</v>
      </c>
      <c r="R238" s="4">
        <f t="shared" si="19"/>
        <v>0.65616045845272208</v>
      </c>
      <c r="S238" t="s">
        <v>87</v>
      </c>
      <c r="T238">
        <f>Table6[[#This Row],[Discount]]*Table6[[#This Row],[List Price]]*Table6[[#This Row],[Units]]</f>
        <v>0</v>
      </c>
    </row>
    <row r="239" spans="1:20" x14ac:dyDescent="0.2">
      <c r="A239" t="s">
        <v>332</v>
      </c>
      <c r="B239" s="2">
        <v>46376.212395488488</v>
      </c>
      <c r="C239" t="s">
        <v>98</v>
      </c>
      <c r="D239" t="s">
        <v>104</v>
      </c>
      <c r="E239" t="s">
        <v>8</v>
      </c>
      <c r="F239" t="s">
        <v>15</v>
      </c>
      <c r="G239" t="s">
        <v>22</v>
      </c>
      <c r="H239" t="str">
        <f>_xlfn.XLOOKUP(Table6[[#This Row],[SKU]],tblProductMaster[SKU],tblProductMaster[Product])</f>
        <v>Styling Gel</v>
      </c>
      <c r="I239">
        <v>261</v>
      </c>
      <c r="J239">
        <f>_xlfn.XLOOKUP(G239,[1]!tblProductMaster[SKU],[1]!tblProductMaster[List Price])</f>
        <v>4.49</v>
      </c>
      <c r="K239" t="s">
        <v>86</v>
      </c>
      <c r="L239" s="3">
        <v>0</v>
      </c>
      <c r="M239" s="9">
        <f t="shared" si="15"/>
        <v>4.49</v>
      </c>
      <c r="N239" s="8">
        <f t="shared" si="16"/>
        <v>1171.8900000000001</v>
      </c>
      <c r="O239" s="9">
        <f>_xlfn.XLOOKUP(G239,[1]!tblProductMaster[SKU],[1]!tblProductMaster[Unit Cost])</f>
        <v>1.9</v>
      </c>
      <c r="P239" s="8">
        <f t="shared" si="17"/>
        <v>495.9</v>
      </c>
      <c r="Q239" s="8">
        <f t="shared" si="18"/>
        <v>675.99000000000012</v>
      </c>
      <c r="R239" s="4">
        <f t="shared" si="19"/>
        <v>0.57683741648106912</v>
      </c>
      <c r="S239" t="s">
        <v>87</v>
      </c>
      <c r="T239">
        <f>Table6[[#This Row],[Discount]]*Table6[[#This Row],[List Price]]*Table6[[#This Row],[Units]]</f>
        <v>0</v>
      </c>
    </row>
    <row r="240" spans="1:20" x14ac:dyDescent="0.2">
      <c r="A240" t="s">
        <v>333</v>
      </c>
      <c r="B240" s="2">
        <v>46071.554375761196</v>
      </c>
      <c r="C240" t="s">
        <v>84</v>
      </c>
      <c r="D240" t="s">
        <v>85</v>
      </c>
      <c r="E240" t="s">
        <v>8</v>
      </c>
      <c r="F240" t="s">
        <v>7</v>
      </c>
      <c r="G240" t="s">
        <v>12</v>
      </c>
      <c r="H240" t="str">
        <f>_xlfn.XLOOKUP(Table6[[#This Row],[SKU]],tblProductMaster[SKU],tblProductMaster[Product])</f>
        <v>Conditioner 250ml</v>
      </c>
      <c r="I240">
        <v>904</v>
      </c>
      <c r="J240">
        <f>_xlfn.XLOOKUP(G240,[1]!tblProductMaster[SKU],[1]!tblProductMaster[List Price])</f>
        <v>5.49</v>
      </c>
      <c r="K240" t="s">
        <v>89</v>
      </c>
      <c r="L240" s="3">
        <v>0.1</v>
      </c>
      <c r="M240" s="9">
        <f t="shared" si="15"/>
        <v>4.9410000000000007</v>
      </c>
      <c r="N240" s="8">
        <f t="shared" si="16"/>
        <v>4466.6640000000007</v>
      </c>
      <c r="O240" s="9">
        <f>_xlfn.XLOOKUP(G240,[1]!tblProductMaster[SKU],[1]!tblProductMaster[Unit Cost])</f>
        <v>2.2000000000000002</v>
      </c>
      <c r="P240" s="8">
        <f t="shared" si="17"/>
        <v>1988.8000000000002</v>
      </c>
      <c r="Q240" s="8">
        <f t="shared" si="18"/>
        <v>2477.8640000000005</v>
      </c>
      <c r="R240" s="4">
        <f t="shared" si="19"/>
        <v>0.55474600283343456</v>
      </c>
      <c r="S240" t="s">
        <v>99</v>
      </c>
      <c r="T240">
        <f>Table6[[#This Row],[Discount]]*Table6[[#This Row],[List Price]]*Table6[[#This Row],[Units]]</f>
        <v>496.29600000000005</v>
      </c>
    </row>
    <row r="241" spans="1:20" x14ac:dyDescent="0.2">
      <c r="A241" t="s">
        <v>334</v>
      </c>
      <c r="B241" s="2">
        <v>46360.370311958177</v>
      </c>
      <c r="C241" t="s">
        <v>93</v>
      </c>
      <c r="D241" t="s">
        <v>85</v>
      </c>
      <c r="E241" t="s">
        <v>40</v>
      </c>
      <c r="F241" t="s">
        <v>18</v>
      </c>
      <c r="G241" t="s">
        <v>42</v>
      </c>
      <c r="H241" t="str">
        <f>_xlfn.XLOOKUP(Table6[[#This Row],[SKU]],tblProductMaster[SKU],tblProductMaster[Product])</f>
        <v>Detergent Capsules</v>
      </c>
      <c r="I241">
        <v>323</v>
      </c>
      <c r="J241">
        <f>_xlfn.XLOOKUP(G241,[1]!tblProductMaster[SKU],[1]!tblProductMaster[List Price])</f>
        <v>11.99</v>
      </c>
      <c r="K241" t="s">
        <v>86</v>
      </c>
      <c r="L241" s="3">
        <v>0</v>
      </c>
      <c r="M241" s="9">
        <f t="shared" si="15"/>
        <v>11.99</v>
      </c>
      <c r="N241" s="8">
        <f t="shared" si="16"/>
        <v>3872.77</v>
      </c>
      <c r="O241" s="9">
        <f>_xlfn.XLOOKUP(G241,[1]!tblProductMaster[SKU],[1]!tblProductMaster[Unit Cost])</f>
        <v>5.2</v>
      </c>
      <c r="P241" s="8">
        <f t="shared" si="17"/>
        <v>1679.6000000000001</v>
      </c>
      <c r="Q241" s="8">
        <f t="shared" si="18"/>
        <v>2193.17</v>
      </c>
      <c r="R241" s="4">
        <f t="shared" si="19"/>
        <v>0.56630525437864887</v>
      </c>
      <c r="S241" t="s">
        <v>87</v>
      </c>
      <c r="T241">
        <f>Table6[[#This Row],[Discount]]*Table6[[#This Row],[List Price]]*Table6[[#This Row],[Units]]</f>
        <v>0</v>
      </c>
    </row>
    <row r="242" spans="1:20" x14ac:dyDescent="0.2">
      <c r="A242" t="s">
        <v>335</v>
      </c>
      <c r="B242" s="2">
        <v>46234.910501287253</v>
      </c>
      <c r="C242" t="s">
        <v>98</v>
      </c>
      <c r="D242" t="s">
        <v>96</v>
      </c>
      <c r="E242" t="s">
        <v>40</v>
      </c>
      <c r="F242" t="s">
        <v>7</v>
      </c>
      <c r="G242" t="s">
        <v>48</v>
      </c>
      <c r="H242" t="str">
        <f>_xlfn.XLOOKUP(Table6[[#This Row],[SKU]],tblProductMaster[SKU],tblProductMaster[Product])</f>
        <v>Color Detergent</v>
      </c>
      <c r="I242">
        <v>652</v>
      </c>
      <c r="J242">
        <f>_xlfn.XLOOKUP(G242,[1]!tblProductMaster[SKU],[1]!tblProductMaster[List Price])</f>
        <v>9.49</v>
      </c>
      <c r="K242" t="s">
        <v>89</v>
      </c>
      <c r="L242" s="3">
        <v>0.3</v>
      </c>
      <c r="M242" s="9">
        <f t="shared" si="15"/>
        <v>6.6429999999999998</v>
      </c>
      <c r="N242" s="8">
        <f t="shared" si="16"/>
        <v>4331.2359999999999</v>
      </c>
      <c r="O242" s="9">
        <f>_xlfn.XLOOKUP(G242,[1]!tblProductMaster[SKU],[1]!tblProductMaster[Unit Cost])</f>
        <v>4</v>
      </c>
      <c r="P242" s="8">
        <f t="shared" si="17"/>
        <v>2608</v>
      </c>
      <c r="Q242" s="8">
        <f t="shared" si="18"/>
        <v>1723.2359999999999</v>
      </c>
      <c r="R242" s="4">
        <f t="shared" si="19"/>
        <v>0.39786241156104168</v>
      </c>
      <c r="S242" t="s">
        <v>90</v>
      </c>
      <c r="T242">
        <f>Table6[[#This Row],[Discount]]*Table6[[#This Row],[List Price]]*Table6[[#This Row],[Units]]</f>
        <v>1856.2439999999999</v>
      </c>
    </row>
    <row r="243" spans="1:20" x14ac:dyDescent="0.2">
      <c r="A243" t="s">
        <v>336</v>
      </c>
      <c r="B243" s="2">
        <v>46081.651514224563</v>
      </c>
      <c r="C243" t="s">
        <v>84</v>
      </c>
      <c r="D243" t="s">
        <v>96</v>
      </c>
      <c r="E243" t="s">
        <v>25</v>
      </c>
      <c r="F243" t="s">
        <v>7</v>
      </c>
      <c r="G243" t="s">
        <v>31</v>
      </c>
      <c r="H243" t="str">
        <f>_xlfn.XLOOKUP(Table6[[#This Row],[SKU]],tblProductMaster[SKU],tblProductMaster[Product])</f>
        <v>Facial Cleanser</v>
      </c>
      <c r="I243">
        <v>566</v>
      </c>
      <c r="J243">
        <f>_xlfn.XLOOKUP(G243,[1]!tblProductMaster[SKU],[1]!tblProductMaster[List Price])</f>
        <v>8.49</v>
      </c>
      <c r="K243" t="s">
        <v>86</v>
      </c>
      <c r="L243" s="3">
        <v>0</v>
      </c>
      <c r="M243" s="9">
        <f t="shared" si="15"/>
        <v>8.49</v>
      </c>
      <c r="N243" s="8">
        <f t="shared" si="16"/>
        <v>4805.34</v>
      </c>
      <c r="O243" s="9">
        <f>_xlfn.XLOOKUP(G243,[1]!tblProductMaster[SKU],[1]!tblProductMaster[Unit Cost])</f>
        <v>3.5</v>
      </c>
      <c r="P243" s="8">
        <f t="shared" si="17"/>
        <v>1981</v>
      </c>
      <c r="Q243" s="8">
        <f t="shared" si="18"/>
        <v>2824.34</v>
      </c>
      <c r="R243" s="4">
        <f t="shared" si="19"/>
        <v>0.58775029446407534</v>
      </c>
      <c r="S243" t="s">
        <v>87</v>
      </c>
      <c r="T243">
        <f>Table6[[#This Row],[Discount]]*Table6[[#This Row],[List Price]]*Table6[[#This Row],[Units]]</f>
        <v>0</v>
      </c>
    </row>
    <row r="244" spans="1:20" x14ac:dyDescent="0.2">
      <c r="A244" t="s">
        <v>337</v>
      </c>
      <c r="B244" s="2">
        <v>46350.55419530096</v>
      </c>
      <c r="C244" t="s">
        <v>98</v>
      </c>
      <c r="D244" t="s">
        <v>104</v>
      </c>
      <c r="E244" t="s">
        <v>8</v>
      </c>
      <c r="F244" t="s">
        <v>7</v>
      </c>
      <c r="G244" t="s">
        <v>10</v>
      </c>
      <c r="H244" t="str">
        <f>_xlfn.XLOOKUP(Table6[[#This Row],[SKU]],tblProductMaster[SKU],tblProductMaster[Product])</f>
        <v>Shampoo 500ml</v>
      </c>
      <c r="I244">
        <v>740</v>
      </c>
      <c r="J244">
        <f>_xlfn.XLOOKUP(G244,[1]!tblProductMaster[SKU],[1]!tblProductMaster[List Price])</f>
        <v>8.99</v>
      </c>
      <c r="K244" t="s">
        <v>86</v>
      </c>
      <c r="L244" s="3">
        <v>0</v>
      </c>
      <c r="M244" s="9">
        <f t="shared" si="15"/>
        <v>8.99</v>
      </c>
      <c r="N244" s="8">
        <f t="shared" si="16"/>
        <v>6652.6</v>
      </c>
      <c r="O244" s="9">
        <f>_xlfn.XLOOKUP(G244,[1]!tblProductMaster[SKU],[1]!tblProductMaster[Unit Cost])</f>
        <v>3.6</v>
      </c>
      <c r="P244" s="8">
        <f t="shared" si="17"/>
        <v>2664</v>
      </c>
      <c r="Q244" s="8">
        <f t="shared" si="18"/>
        <v>3988.6000000000004</v>
      </c>
      <c r="R244" s="4">
        <f t="shared" si="19"/>
        <v>0.59955506117908786</v>
      </c>
      <c r="S244" t="s">
        <v>87</v>
      </c>
      <c r="T244">
        <f>Table6[[#This Row],[Discount]]*Table6[[#This Row],[List Price]]*Table6[[#This Row],[Units]]</f>
        <v>0</v>
      </c>
    </row>
    <row r="245" spans="1:20" x14ac:dyDescent="0.2">
      <c r="A245" t="s">
        <v>338</v>
      </c>
      <c r="B245" s="2">
        <v>46104.620758496123</v>
      </c>
      <c r="C245" t="s">
        <v>93</v>
      </c>
      <c r="D245" t="s">
        <v>85</v>
      </c>
      <c r="E245" t="s">
        <v>56</v>
      </c>
      <c r="F245" t="s">
        <v>18</v>
      </c>
      <c r="G245" t="s">
        <v>68</v>
      </c>
      <c r="H245" t="str">
        <f>_xlfn.XLOOKUP(Table6[[#This Row],[SKU]],tblProductMaster[SKU],tblProductMaster[Product])</f>
        <v>Kids Toothpaste</v>
      </c>
      <c r="I245">
        <v>755</v>
      </c>
      <c r="J245">
        <f>_xlfn.XLOOKUP(G245,[1]!tblProductMaster[SKU],[1]!tblProductMaster[List Price])</f>
        <v>3.29</v>
      </c>
      <c r="K245" t="s">
        <v>89</v>
      </c>
      <c r="L245" s="3">
        <v>0.3</v>
      </c>
      <c r="M245" s="9">
        <f t="shared" si="15"/>
        <v>2.3029999999999999</v>
      </c>
      <c r="N245" s="8">
        <f t="shared" si="16"/>
        <v>1738.7649999999999</v>
      </c>
      <c r="O245" s="9">
        <f>_xlfn.XLOOKUP(G245,[1]!tblProductMaster[SKU],[1]!tblProductMaster[Unit Cost])</f>
        <v>1.1000000000000001</v>
      </c>
      <c r="P245" s="8">
        <f t="shared" si="17"/>
        <v>830.50000000000011</v>
      </c>
      <c r="Q245" s="8">
        <f t="shared" si="18"/>
        <v>908.26499999999976</v>
      </c>
      <c r="R245" s="4">
        <f t="shared" si="19"/>
        <v>0.52236213634389916</v>
      </c>
      <c r="S245" t="s">
        <v>94</v>
      </c>
      <c r="T245">
        <f>Table6[[#This Row],[Discount]]*Table6[[#This Row],[List Price]]*Table6[[#This Row],[Units]]</f>
        <v>745.18499999999995</v>
      </c>
    </row>
    <row r="246" spans="1:20" x14ac:dyDescent="0.2">
      <c r="A246" t="s">
        <v>339</v>
      </c>
      <c r="B246" s="2">
        <v>46100.180120335965</v>
      </c>
      <c r="C246" t="s">
        <v>84</v>
      </c>
      <c r="D246" t="s">
        <v>96</v>
      </c>
      <c r="E246" t="s">
        <v>56</v>
      </c>
      <c r="F246" t="s">
        <v>7</v>
      </c>
      <c r="G246" t="s">
        <v>66</v>
      </c>
      <c r="H246" t="str">
        <f>_xlfn.XLOOKUP(Table6[[#This Row],[SKU]],tblProductMaster[SKU],tblProductMaster[Product])</f>
        <v>Electric Brush Heads</v>
      </c>
      <c r="I246">
        <v>671</v>
      </c>
      <c r="J246">
        <f>_xlfn.XLOOKUP(G246,[1]!tblProductMaster[SKU],[1]!tblProductMaster[List Price])</f>
        <v>12.99</v>
      </c>
      <c r="K246" t="s">
        <v>86</v>
      </c>
      <c r="L246" s="3">
        <v>0</v>
      </c>
      <c r="M246" s="9">
        <f t="shared" si="15"/>
        <v>12.99</v>
      </c>
      <c r="N246" s="8">
        <f t="shared" si="16"/>
        <v>8716.2900000000009</v>
      </c>
      <c r="O246" s="9">
        <f>_xlfn.XLOOKUP(G246,[1]!tblProductMaster[SKU],[1]!tblProductMaster[Unit Cost])</f>
        <v>5.2</v>
      </c>
      <c r="P246" s="8">
        <f t="shared" si="17"/>
        <v>3489.2000000000003</v>
      </c>
      <c r="Q246" s="8">
        <f t="shared" si="18"/>
        <v>5227.09</v>
      </c>
      <c r="R246" s="4">
        <f t="shared" si="19"/>
        <v>0.59969207082371045</v>
      </c>
      <c r="S246" t="s">
        <v>87</v>
      </c>
      <c r="T246">
        <f>Table6[[#This Row],[Discount]]*Table6[[#This Row],[List Price]]*Table6[[#This Row],[Units]]</f>
        <v>0</v>
      </c>
    </row>
    <row r="247" spans="1:20" x14ac:dyDescent="0.2">
      <c r="A247" t="s">
        <v>340</v>
      </c>
      <c r="B247" s="2">
        <v>46220.11327180513</v>
      </c>
      <c r="C247" t="s">
        <v>93</v>
      </c>
      <c r="D247" t="s">
        <v>85</v>
      </c>
      <c r="E247" t="s">
        <v>40</v>
      </c>
      <c r="F247" t="s">
        <v>18</v>
      </c>
      <c r="G247" t="s">
        <v>42</v>
      </c>
      <c r="H247" t="str">
        <f>_xlfn.XLOOKUP(Table6[[#This Row],[SKU]],tblProductMaster[SKU],tblProductMaster[Product])</f>
        <v>Detergent Capsules</v>
      </c>
      <c r="I247">
        <v>307</v>
      </c>
      <c r="J247">
        <f>_xlfn.XLOOKUP(G247,[1]!tblProductMaster[SKU],[1]!tblProductMaster[List Price])</f>
        <v>11.99</v>
      </c>
      <c r="K247" t="s">
        <v>86</v>
      </c>
      <c r="L247" s="3">
        <v>0</v>
      </c>
      <c r="M247" s="9">
        <f t="shared" si="15"/>
        <v>11.99</v>
      </c>
      <c r="N247" s="8">
        <f t="shared" si="16"/>
        <v>3680.9300000000003</v>
      </c>
      <c r="O247" s="9">
        <f>_xlfn.XLOOKUP(G247,[1]!tblProductMaster[SKU],[1]!tblProductMaster[Unit Cost])</f>
        <v>5.2</v>
      </c>
      <c r="P247" s="8">
        <f t="shared" si="17"/>
        <v>1596.4</v>
      </c>
      <c r="Q247" s="8">
        <f t="shared" si="18"/>
        <v>2084.5300000000002</v>
      </c>
      <c r="R247" s="4">
        <f t="shared" si="19"/>
        <v>0.56630525437864887</v>
      </c>
      <c r="S247" t="s">
        <v>87</v>
      </c>
      <c r="T247">
        <f>Table6[[#This Row],[Discount]]*Table6[[#This Row],[List Price]]*Table6[[#This Row],[Units]]</f>
        <v>0</v>
      </c>
    </row>
    <row r="248" spans="1:20" x14ac:dyDescent="0.2">
      <c r="A248" t="s">
        <v>341</v>
      </c>
      <c r="B248" s="2">
        <v>46209.750245457544</v>
      </c>
      <c r="C248" t="s">
        <v>98</v>
      </c>
      <c r="D248" t="s">
        <v>96</v>
      </c>
      <c r="E248" t="s">
        <v>8</v>
      </c>
      <c r="F248" t="s">
        <v>18</v>
      </c>
      <c r="G248" t="s">
        <v>20</v>
      </c>
      <c r="H248" t="str">
        <f>_xlfn.XLOOKUP(Table6[[#This Row],[SKU]],tblProductMaster[SKU],tblProductMaster[Product])</f>
        <v>Hair Oil</v>
      </c>
      <c r="I248">
        <v>324</v>
      </c>
      <c r="J248">
        <f>_xlfn.XLOOKUP(G248,[1]!tblProductMaster[SKU],[1]!tblProductMaster[List Price])</f>
        <v>7.49</v>
      </c>
      <c r="K248" t="s">
        <v>86</v>
      </c>
      <c r="L248" s="3">
        <v>0</v>
      </c>
      <c r="M248" s="9">
        <f t="shared" si="15"/>
        <v>7.49</v>
      </c>
      <c r="N248" s="8">
        <f t="shared" si="16"/>
        <v>2426.7600000000002</v>
      </c>
      <c r="O248" s="9">
        <f>_xlfn.XLOOKUP(G248,[1]!tblProductMaster[SKU],[1]!tblProductMaster[Unit Cost])</f>
        <v>3.1</v>
      </c>
      <c r="P248" s="8">
        <f t="shared" si="17"/>
        <v>1004.4</v>
      </c>
      <c r="Q248" s="8">
        <f t="shared" si="18"/>
        <v>1422.3600000000001</v>
      </c>
      <c r="R248" s="4">
        <f t="shared" si="19"/>
        <v>0.58611481975967961</v>
      </c>
      <c r="S248" t="s">
        <v>87</v>
      </c>
      <c r="T248">
        <f>Table6[[#This Row],[Discount]]*Table6[[#This Row],[List Price]]*Table6[[#This Row],[Units]]</f>
        <v>0</v>
      </c>
    </row>
    <row r="249" spans="1:20" x14ac:dyDescent="0.2">
      <c r="A249" t="s">
        <v>342</v>
      </c>
      <c r="B249" s="2">
        <v>46290.408257183852</v>
      </c>
      <c r="C249" t="s">
        <v>93</v>
      </c>
      <c r="D249" t="s">
        <v>96</v>
      </c>
      <c r="E249" t="s">
        <v>8</v>
      </c>
      <c r="F249" t="s">
        <v>18</v>
      </c>
      <c r="G249" t="s">
        <v>17</v>
      </c>
      <c r="H249" t="str">
        <f>_xlfn.XLOOKUP(Table6[[#This Row],[SKU]],tblProductMaster[SKU],tblProductMaster[Product])</f>
        <v>Anti-Dandruff Shampoo</v>
      </c>
      <c r="I249">
        <v>393</v>
      </c>
      <c r="J249">
        <f>_xlfn.XLOOKUP(G249,[1]!tblProductMaster[SKU],[1]!tblProductMaster[List Price])</f>
        <v>6.49</v>
      </c>
      <c r="K249" t="s">
        <v>86</v>
      </c>
      <c r="L249" s="3">
        <v>0</v>
      </c>
      <c r="M249" s="9">
        <f t="shared" si="15"/>
        <v>6.49</v>
      </c>
      <c r="N249" s="8">
        <f t="shared" si="16"/>
        <v>2550.5700000000002</v>
      </c>
      <c r="O249" s="9">
        <f>_xlfn.XLOOKUP(G249,[1]!tblProductMaster[SKU],[1]!tblProductMaster[Unit Cost])</f>
        <v>2.8</v>
      </c>
      <c r="P249" s="8">
        <f t="shared" si="17"/>
        <v>1100.3999999999999</v>
      </c>
      <c r="Q249" s="8">
        <f t="shared" si="18"/>
        <v>1450.1700000000003</v>
      </c>
      <c r="R249" s="4">
        <f t="shared" si="19"/>
        <v>0.5685670261941449</v>
      </c>
      <c r="S249" t="s">
        <v>87</v>
      </c>
      <c r="T249">
        <f>Table6[[#This Row],[Discount]]*Table6[[#This Row],[List Price]]*Table6[[#This Row],[Units]]</f>
        <v>0</v>
      </c>
    </row>
    <row r="250" spans="1:20" x14ac:dyDescent="0.2">
      <c r="A250" t="s">
        <v>343</v>
      </c>
      <c r="B250" s="2">
        <v>46294.377207070895</v>
      </c>
      <c r="C250" t="s">
        <v>84</v>
      </c>
      <c r="D250" t="s">
        <v>96</v>
      </c>
      <c r="E250" t="s">
        <v>25</v>
      </c>
      <c r="F250" t="s">
        <v>15</v>
      </c>
      <c r="G250" t="s">
        <v>29</v>
      </c>
      <c r="H250" t="str">
        <f>_xlfn.XLOOKUP(Table6[[#This Row],[SKU]],tblProductMaster[SKU],tblProductMaster[Product])</f>
        <v>Shower Gel 250ml</v>
      </c>
      <c r="I250">
        <v>919</v>
      </c>
      <c r="J250">
        <f>_xlfn.XLOOKUP(G250,[1]!tblProductMaster[SKU],[1]!tblProductMaster[List Price])</f>
        <v>4.49</v>
      </c>
      <c r="K250" t="s">
        <v>89</v>
      </c>
      <c r="L250" s="3">
        <v>0.3</v>
      </c>
      <c r="M250" s="9">
        <f t="shared" si="15"/>
        <v>3.1429999999999998</v>
      </c>
      <c r="N250" s="8">
        <f t="shared" si="16"/>
        <v>2888.4169999999999</v>
      </c>
      <c r="O250" s="9">
        <f>_xlfn.XLOOKUP(G250,[1]!tblProductMaster[SKU],[1]!tblProductMaster[Unit Cost])</f>
        <v>1.9</v>
      </c>
      <c r="P250" s="8">
        <f t="shared" si="17"/>
        <v>1746.1</v>
      </c>
      <c r="Q250" s="8">
        <f t="shared" si="18"/>
        <v>1142.317</v>
      </c>
      <c r="R250" s="4">
        <f t="shared" si="19"/>
        <v>0.39548202354438439</v>
      </c>
      <c r="S250" t="s">
        <v>94</v>
      </c>
      <c r="T250">
        <f>Table6[[#This Row],[Discount]]*Table6[[#This Row],[List Price]]*Table6[[#This Row],[Units]]</f>
        <v>1237.893</v>
      </c>
    </row>
    <row r="251" spans="1:20" x14ac:dyDescent="0.2">
      <c r="A251" t="s">
        <v>344</v>
      </c>
      <c r="B251" s="2">
        <v>46351.544692641306</v>
      </c>
      <c r="C251" t="s">
        <v>84</v>
      </c>
      <c r="D251" t="s">
        <v>104</v>
      </c>
      <c r="E251" t="s">
        <v>25</v>
      </c>
      <c r="F251" t="s">
        <v>7</v>
      </c>
      <c r="G251" t="s">
        <v>24</v>
      </c>
      <c r="H251" t="str">
        <f>_xlfn.XLOOKUP(Table6[[#This Row],[SKU]],tblProductMaster[SKU],tblProductMaster[Product])</f>
        <v>Body Lotion 400ml</v>
      </c>
      <c r="I251">
        <v>403</v>
      </c>
      <c r="J251">
        <f>_xlfn.XLOOKUP(G251,[1]!tblProductMaster[SKU],[1]!tblProductMaster[List Price])</f>
        <v>7.99</v>
      </c>
      <c r="K251" t="s">
        <v>86</v>
      </c>
      <c r="L251" s="3">
        <v>0</v>
      </c>
      <c r="M251" s="9">
        <f t="shared" si="15"/>
        <v>7.99</v>
      </c>
      <c r="N251" s="8">
        <f t="shared" si="16"/>
        <v>3219.9700000000003</v>
      </c>
      <c r="O251" s="9">
        <f>_xlfn.XLOOKUP(G251,[1]!tblProductMaster[SKU],[1]!tblProductMaster[Unit Cost])</f>
        <v>3.1</v>
      </c>
      <c r="P251" s="8">
        <f t="shared" si="17"/>
        <v>1249.3</v>
      </c>
      <c r="Q251" s="8">
        <f t="shared" si="18"/>
        <v>1970.6700000000003</v>
      </c>
      <c r="R251" s="4">
        <f t="shared" si="19"/>
        <v>0.61201501877346687</v>
      </c>
      <c r="S251" t="s">
        <v>87</v>
      </c>
      <c r="T251">
        <f>Table6[[#This Row],[Discount]]*Table6[[#This Row],[List Price]]*Table6[[#This Row],[Units]]</f>
        <v>0</v>
      </c>
    </row>
    <row r="252" spans="1:20" x14ac:dyDescent="0.2">
      <c r="A252" t="s">
        <v>345</v>
      </c>
      <c r="B252" s="2">
        <v>46192.535371430786</v>
      </c>
      <c r="C252" t="s">
        <v>98</v>
      </c>
      <c r="D252" t="s">
        <v>96</v>
      </c>
      <c r="E252" t="s">
        <v>40</v>
      </c>
      <c r="F252" t="s">
        <v>18</v>
      </c>
      <c r="G252" t="s">
        <v>54</v>
      </c>
      <c r="H252" t="str">
        <f>_xlfn.XLOOKUP(Table6[[#This Row],[SKU]],tblProductMaster[SKU],tblProductMaster[Product])</f>
        <v>Fabric Softener</v>
      </c>
      <c r="I252">
        <v>285</v>
      </c>
      <c r="J252">
        <f>_xlfn.XLOOKUP(G252,[1]!tblProductMaster[SKU],[1]!tblProductMaster[List Price])</f>
        <v>5.49</v>
      </c>
      <c r="K252" t="s">
        <v>86</v>
      </c>
      <c r="L252" s="3">
        <v>0</v>
      </c>
      <c r="M252" s="9">
        <f t="shared" si="15"/>
        <v>5.49</v>
      </c>
      <c r="N252" s="8">
        <f t="shared" si="16"/>
        <v>1564.65</v>
      </c>
      <c r="O252" s="9">
        <f>_xlfn.XLOOKUP(G252,[1]!tblProductMaster[SKU],[1]!tblProductMaster[Unit Cost])</f>
        <v>2.4</v>
      </c>
      <c r="P252" s="8">
        <f t="shared" si="17"/>
        <v>684</v>
      </c>
      <c r="Q252" s="8">
        <f t="shared" si="18"/>
        <v>880.65000000000009</v>
      </c>
      <c r="R252" s="4">
        <f t="shared" si="19"/>
        <v>0.56284153005464488</v>
      </c>
      <c r="S252" t="s">
        <v>87</v>
      </c>
      <c r="T252">
        <f>Table6[[#This Row],[Discount]]*Table6[[#This Row],[List Price]]*Table6[[#This Row],[Units]]</f>
        <v>0</v>
      </c>
    </row>
    <row r="253" spans="1:20" x14ac:dyDescent="0.2">
      <c r="A253" t="s">
        <v>346</v>
      </c>
      <c r="B253" s="2">
        <v>46119.612295423787</v>
      </c>
      <c r="C253" t="s">
        <v>93</v>
      </c>
      <c r="D253" t="s">
        <v>96</v>
      </c>
      <c r="E253" t="s">
        <v>25</v>
      </c>
      <c r="F253" t="s">
        <v>18</v>
      </c>
      <c r="G253" t="s">
        <v>37</v>
      </c>
      <c r="H253" t="str">
        <f>_xlfn.XLOOKUP(Table6[[#This Row],[SKU]],tblProductMaster[SKU],tblProductMaster[Product])</f>
        <v>Body Wash</v>
      </c>
      <c r="I253">
        <v>729</v>
      </c>
      <c r="J253">
        <f>_xlfn.XLOOKUP(G253,[1]!tblProductMaster[SKU],[1]!tblProductMaster[List Price])</f>
        <v>5.49</v>
      </c>
      <c r="K253" t="s">
        <v>86</v>
      </c>
      <c r="L253" s="3">
        <v>0</v>
      </c>
      <c r="M253" s="9">
        <f t="shared" si="15"/>
        <v>5.49</v>
      </c>
      <c r="N253" s="8">
        <f t="shared" si="16"/>
        <v>4002.21</v>
      </c>
      <c r="O253" s="9">
        <f>_xlfn.XLOOKUP(G253,[1]!tblProductMaster[SKU],[1]!tblProductMaster[Unit Cost])</f>
        <v>2.2999999999999998</v>
      </c>
      <c r="P253" s="8">
        <f t="shared" si="17"/>
        <v>1676.6999999999998</v>
      </c>
      <c r="Q253" s="8">
        <f t="shared" si="18"/>
        <v>2325.5100000000002</v>
      </c>
      <c r="R253" s="4">
        <f t="shared" si="19"/>
        <v>0.58105646630236796</v>
      </c>
      <c r="S253" t="s">
        <v>87</v>
      </c>
      <c r="T253">
        <f>Table6[[#This Row],[Discount]]*Table6[[#This Row],[List Price]]*Table6[[#This Row],[Units]]</f>
        <v>0</v>
      </c>
    </row>
    <row r="254" spans="1:20" x14ac:dyDescent="0.2">
      <c r="A254" t="s">
        <v>347</v>
      </c>
      <c r="B254" s="2">
        <v>46328.944159264945</v>
      </c>
      <c r="C254" t="s">
        <v>84</v>
      </c>
      <c r="D254" t="s">
        <v>96</v>
      </c>
      <c r="E254" t="s">
        <v>56</v>
      </c>
      <c r="F254" t="s">
        <v>7</v>
      </c>
      <c r="G254" t="s">
        <v>66</v>
      </c>
      <c r="H254" t="str">
        <f>_xlfn.XLOOKUP(Table6[[#This Row],[SKU]],tblProductMaster[SKU],tblProductMaster[Product])</f>
        <v>Electric Brush Heads</v>
      </c>
      <c r="I254">
        <v>440</v>
      </c>
      <c r="J254">
        <f>_xlfn.XLOOKUP(G254,[1]!tblProductMaster[SKU],[1]!tblProductMaster[List Price])</f>
        <v>12.99</v>
      </c>
      <c r="K254" t="s">
        <v>89</v>
      </c>
      <c r="L254" s="3">
        <v>0.2</v>
      </c>
      <c r="M254" s="9">
        <f t="shared" si="15"/>
        <v>10.392000000000001</v>
      </c>
      <c r="N254" s="8">
        <f t="shared" si="16"/>
        <v>4572.4800000000005</v>
      </c>
      <c r="O254" s="9">
        <f>_xlfn.XLOOKUP(G254,[1]!tblProductMaster[SKU],[1]!tblProductMaster[Unit Cost])</f>
        <v>5.2</v>
      </c>
      <c r="P254" s="8">
        <f t="shared" si="17"/>
        <v>2288</v>
      </c>
      <c r="Q254" s="8">
        <f t="shared" si="18"/>
        <v>2284.4800000000005</v>
      </c>
      <c r="R254" s="4">
        <f t="shared" si="19"/>
        <v>0.49961508852963826</v>
      </c>
      <c r="S254" t="s">
        <v>94</v>
      </c>
      <c r="T254">
        <f>Table6[[#This Row],[Discount]]*Table6[[#This Row],[List Price]]*Table6[[#This Row],[Units]]</f>
        <v>1143.1200000000001</v>
      </c>
    </row>
    <row r="255" spans="1:20" x14ac:dyDescent="0.2">
      <c r="A255" t="s">
        <v>348</v>
      </c>
      <c r="B255" s="2">
        <v>46176.375981260142</v>
      </c>
      <c r="C255" t="s">
        <v>84</v>
      </c>
      <c r="D255" t="s">
        <v>85</v>
      </c>
      <c r="E255" t="s">
        <v>8</v>
      </c>
      <c r="F255" t="s">
        <v>15</v>
      </c>
      <c r="G255" t="s">
        <v>14</v>
      </c>
      <c r="H255" t="str">
        <f>_xlfn.XLOOKUP(Table6[[#This Row],[SKU]],tblProductMaster[SKU],tblProductMaster[Product])</f>
        <v>Shampoo 250ml</v>
      </c>
      <c r="I255">
        <v>1068</v>
      </c>
      <c r="J255">
        <f>_xlfn.XLOOKUP(G255,[1]!tblProductMaster[SKU],[1]!tblProductMaster[List Price])</f>
        <v>4.99</v>
      </c>
      <c r="K255" t="s">
        <v>89</v>
      </c>
      <c r="L255" s="3">
        <v>0.2</v>
      </c>
      <c r="M255" s="9">
        <f t="shared" si="15"/>
        <v>3.9920000000000004</v>
      </c>
      <c r="N255" s="8">
        <f t="shared" si="16"/>
        <v>4263.4560000000001</v>
      </c>
      <c r="O255" s="9">
        <f>_xlfn.XLOOKUP(G255,[1]!tblProductMaster[SKU],[1]!tblProductMaster[Unit Cost])</f>
        <v>2.1</v>
      </c>
      <c r="P255" s="8">
        <f t="shared" si="17"/>
        <v>2242.8000000000002</v>
      </c>
      <c r="Q255" s="8">
        <f t="shared" si="18"/>
        <v>2020.6559999999999</v>
      </c>
      <c r="R255" s="4">
        <f t="shared" si="19"/>
        <v>0.47394789579158314</v>
      </c>
      <c r="S255" t="s">
        <v>99</v>
      </c>
      <c r="T255">
        <f>Table6[[#This Row],[Discount]]*Table6[[#This Row],[List Price]]*Table6[[#This Row],[Units]]</f>
        <v>1065.864</v>
      </c>
    </row>
    <row r="256" spans="1:20" x14ac:dyDescent="0.2">
      <c r="A256" t="s">
        <v>349</v>
      </c>
      <c r="B256" s="2">
        <v>46046.225675184352</v>
      </c>
      <c r="C256" t="s">
        <v>84</v>
      </c>
      <c r="D256" t="s">
        <v>104</v>
      </c>
      <c r="E256" t="s">
        <v>40</v>
      </c>
      <c r="F256" t="s">
        <v>18</v>
      </c>
      <c r="G256" t="s">
        <v>42</v>
      </c>
      <c r="H256" t="str">
        <f>_xlfn.XLOOKUP(Table6[[#This Row],[SKU]],tblProductMaster[SKU],tblProductMaster[Product])</f>
        <v>Detergent Capsules</v>
      </c>
      <c r="I256">
        <v>782</v>
      </c>
      <c r="J256">
        <f>_xlfn.XLOOKUP(G256,[1]!tblProductMaster[SKU],[1]!tblProductMaster[List Price])</f>
        <v>11.99</v>
      </c>
      <c r="K256" t="s">
        <v>86</v>
      </c>
      <c r="L256" s="3">
        <v>0</v>
      </c>
      <c r="M256" s="9">
        <f t="shared" si="15"/>
        <v>11.99</v>
      </c>
      <c r="N256" s="8">
        <f t="shared" si="16"/>
        <v>9376.18</v>
      </c>
      <c r="O256" s="9">
        <f>_xlfn.XLOOKUP(G256,[1]!tblProductMaster[SKU],[1]!tblProductMaster[Unit Cost])</f>
        <v>5.2</v>
      </c>
      <c r="P256" s="8">
        <f t="shared" si="17"/>
        <v>4066.4</v>
      </c>
      <c r="Q256" s="8">
        <f t="shared" si="18"/>
        <v>5309.7800000000007</v>
      </c>
      <c r="R256" s="4">
        <f t="shared" si="19"/>
        <v>0.56630525437864898</v>
      </c>
      <c r="S256" t="s">
        <v>87</v>
      </c>
      <c r="T256">
        <f>Table6[[#This Row],[Discount]]*Table6[[#This Row],[List Price]]*Table6[[#This Row],[Units]]</f>
        <v>0</v>
      </c>
    </row>
    <row r="257" spans="1:20" x14ac:dyDescent="0.2">
      <c r="A257" t="s">
        <v>350</v>
      </c>
      <c r="B257" s="2">
        <v>46330.750546563831</v>
      </c>
      <c r="C257" t="s">
        <v>98</v>
      </c>
      <c r="D257" t="s">
        <v>104</v>
      </c>
      <c r="E257" t="s">
        <v>40</v>
      </c>
      <c r="F257" t="s">
        <v>15</v>
      </c>
      <c r="G257" t="s">
        <v>46</v>
      </c>
      <c r="H257" t="str">
        <f>_xlfn.XLOOKUP(Table6[[#This Row],[SKU]],tblProductMaster[SKU],tblProductMaster[Product])</f>
        <v>Stain Remover</v>
      </c>
      <c r="I257">
        <v>329</v>
      </c>
      <c r="J257">
        <f>_xlfn.XLOOKUP(G257,[1]!tblProductMaster[SKU],[1]!tblProductMaster[List Price])</f>
        <v>5.99</v>
      </c>
      <c r="K257" t="s">
        <v>86</v>
      </c>
      <c r="L257" s="3">
        <v>0</v>
      </c>
      <c r="M257" s="9">
        <f t="shared" si="15"/>
        <v>5.99</v>
      </c>
      <c r="N257" s="8">
        <f t="shared" si="16"/>
        <v>1970.71</v>
      </c>
      <c r="O257" s="9">
        <f>_xlfn.XLOOKUP(G257,[1]!tblProductMaster[SKU],[1]!tblProductMaster[Unit Cost])</f>
        <v>2.5</v>
      </c>
      <c r="P257" s="8">
        <f t="shared" si="17"/>
        <v>822.5</v>
      </c>
      <c r="Q257" s="8">
        <f t="shared" si="18"/>
        <v>1148.21</v>
      </c>
      <c r="R257" s="4">
        <f t="shared" si="19"/>
        <v>0.58263772954924875</v>
      </c>
      <c r="S257" t="s">
        <v>87</v>
      </c>
      <c r="T257">
        <f>Table6[[#This Row],[Discount]]*Table6[[#This Row],[List Price]]*Table6[[#This Row],[Units]]</f>
        <v>0</v>
      </c>
    </row>
    <row r="258" spans="1:20" x14ac:dyDescent="0.2">
      <c r="A258" t="s">
        <v>351</v>
      </c>
      <c r="B258" s="2">
        <v>46322.941427825463</v>
      </c>
      <c r="C258" t="s">
        <v>84</v>
      </c>
      <c r="D258" t="s">
        <v>104</v>
      </c>
      <c r="E258" t="s">
        <v>8</v>
      </c>
      <c r="F258" t="s">
        <v>15</v>
      </c>
      <c r="G258" t="s">
        <v>16</v>
      </c>
      <c r="H258" t="str">
        <f>_xlfn.XLOOKUP(Table6[[#This Row],[SKU]],tblProductMaster[SKU],tblProductMaster[Product])</f>
        <v>Conditioner 250ml</v>
      </c>
      <c r="I258">
        <v>598</v>
      </c>
      <c r="J258">
        <f>_xlfn.XLOOKUP(G258,[1]!tblProductMaster[SKU],[1]!tblProductMaster[List Price])</f>
        <v>4.79</v>
      </c>
      <c r="K258" t="s">
        <v>86</v>
      </c>
      <c r="L258" s="3">
        <v>0</v>
      </c>
      <c r="M258" s="9">
        <f t="shared" si="15"/>
        <v>4.79</v>
      </c>
      <c r="N258" s="8">
        <f t="shared" si="16"/>
        <v>2864.42</v>
      </c>
      <c r="O258" s="9">
        <f>_xlfn.XLOOKUP(G258,[1]!tblProductMaster[SKU],[1]!tblProductMaster[Unit Cost])</f>
        <v>2</v>
      </c>
      <c r="P258" s="8">
        <f t="shared" si="17"/>
        <v>1196</v>
      </c>
      <c r="Q258" s="8">
        <f t="shared" si="18"/>
        <v>1668.42</v>
      </c>
      <c r="R258" s="4">
        <f t="shared" si="19"/>
        <v>0.58246346555323592</v>
      </c>
      <c r="S258" t="s">
        <v>87</v>
      </c>
      <c r="T258">
        <f>Table6[[#This Row],[Discount]]*Table6[[#This Row],[List Price]]*Table6[[#This Row],[Units]]</f>
        <v>0</v>
      </c>
    </row>
    <row r="259" spans="1:20" x14ac:dyDescent="0.2">
      <c r="A259" t="s">
        <v>352</v>
      </c>
      <c r="B259" s="2">
        <v>46358.941988792925</v>
      </c>
      <c r="C259" t="s">
        <v>93</v>
      </c>
      <c r="D259" t="s">
        <v>96</v>
      </c>
      <c r="E259" t="s">
        <v>8</v>
      </c>
      <c r="F259" t="s">
        <v>7</v>
      </c>
      <c r="G259" t="s">
        <v>6</v>
      </c>
      <c r="H259" t="str">
        <f>_xlfn.XLOOKUP(Table6[[#This Row],[SKU]],tblProductMaster[SKU],tblProductMaster[Product])</f>
        <v>Shampoo 250ml</v>
      </c>
      <c r="I259">
        <v>755</v>
      </c>
      <c r="J259">
        <f>_xlfn.XLOOKUP(G259,[1]!tblProductMaster[SKU],[1]!tblProductMaster[List Price])</f>
        <v>5.99</v>
      </c>
      <c r="K259" t="s">
        <v>86</v>
      </c>
      <c r="L259" s="3">
        <v>0</v>
      </c>
      <c r="M259" s="9">
        <f t="shared" ref="M259:M322" si="20">J259*(1-L259)</f>
        <v>5.99</v>
      </c>
      <c r="N259" s="8">
        <f t="shared" ref="N259:N322" si="21">M259*I259</f>
        <v>4522.45</v>
      </c>
      <c r="O259" s="9">
        <f>_xlfn.XLOOKUP(G259,[1]!tblProductMaster[SKU],[1]!tblProductMaster[Unit Cost])</f>
        <v>2.4</v>
      </c>
      <c r="P259" s="8">
        <f t="shared" ref="P259:P322" si="22">O259*I259</f>
        <v>1812</v>
      </c>
      <c r="Q259" s="8">
        <f t="shared" ref="Q259:Q322" si="23">N259-P259</f>
        <v>2710.45</v>
      </c>
      <c r="R259" s="4">
        <f t="shared" ref="R259:R322" si="24">Q259/N259</f>
        <v>0.59933222036727873</v>
      </c>
      <c r="S259" t="s">
        <v>87</v>
      </c>
      <c r="T259">
        <f>Table6[[#This Row],[Discount]]*Table6[[#This Row],[List Price]]*Table6[[#This Row],[Units]]</f>
        <v>0</v>
      </c>
    </row>
    <row r="260" spans="1:20" x14ac:dyDescent="0.2">
      <c r="A260" t="s">
        <v>353</v>
      </c>
      <c r="B260" s="2">
        <v>46333.769048621463</v>
      </c>
      <c r="C260" t="s">
        <v>84</v>
      </c>
      <c r="D260" t="s">
        <v>104</v>
      </c>
      <c r="E260" t="s">
        <v>40</v>
      </c>
      <c r="F260" t="s">
        <v>18</v>
      </c>
      <c r="G260" t="s">
        <v>54</v>
      </c>
      <c r="H260" t="str">
        <f>_xlfn.XLOOKUP(Table6[[#This Row],[SKU]],tblProductMaster[SKU],tblProductMaster[Product])</f>
        <v>Fabric Softener</v>
      </c>
      <c r="I260">
        <v>376</v>
      </c>
      <c r="J260">
        <f>_xlfn.XLOOKUP(G260,[1]!tblProductMaster[SKU],[1]!tblProductMaster[List Price])</f>
        <v>5.49</v>
      </c>
      <c r="K260" t="s">
        <v>86</v>
      </c>
      <c r="L260" s="3">
        <v>0</v>
      </c>
      <c r="M260" s="9">
        <f t="shared" si="20"/>
        <v>5.49</v>
      </c>
      <c r="N260" s="8">
        <f t="shared" si="21"/>
        <v>2064.2400000000002</v>
      </c>
      <c r="O260" s="9">
        <f>_xlfn.XLOOKUP(G260,[1]!tblProductMaster[SKU],[1]!tblProductMaster[Unit Cost])</f>
        <v>2.4</v>
      </c>
      <c r="P260" s="8">
        <f t="shared" si="22"/>
        <v>902.4</v>
      </c>
      <c r="Q260" s="8">
        <f t="shared" si="23"/>
        <v>1161.8400000000001</v>
      </c>
      <c r="R260" s="4">
        <f t="shared" si="24"/>
        <v>0.56284153005464477</v>
      </c>
      <c r="S260" t="s">
        <v>87</v>
      </c>
      <c r="T260">
        <f>Table6[[#This Row],[Discount]]*Table6[[#This Row],[List Price]]*Table6[[#This Row],[Units]]</f>
        <v>0</v>
      </c>
    </row>
    <row r="261" spans="1:20" x14ac:dyDescent="0.2">
      <c r="A261" t="s">
        <v>354</v>
      </c>
      <c r="B261" s="2">
        <v>46208.943155268113</v>
      </c>
      <c r="C261" t="s">
        <v>93</v>
      </c>
      <c r="D261" t="s">
        <v>104</v>
      </c>
      <c r="E261" t="s">
        <v>56</v>
      </c>
      <c r="F261" t="s">
        <v>7</v>
      </c>
      <c r="G261" t="s">
        <v>64</v>
      </c>
      <c r="H261" t="str">
        <f>_xlfn.XLOOKUP(Table6[[#This Row],[SKU]],tblProductMaster[SKU],tblProductMaster[Product])</f>
        <v>Toothbrush</v>
      </c>
      <c r="I261">
        <v>249</v>
      </c>
      <c r="J261">
        <f>_xlfn.XLOOKUP(G261,[1]!tblProductMaster[SKU],[1]!tblProductMaster[List Price])</f>
        <v>3.99</v>
      </c>
      <c r="K261" t="s">
        <v>86</v>
      </c>
      <c r="L261" s="3">
        <v>0</v>
      </c>
      <c r="M261" s="9">
        <f t="shared" si="20"/>
        <v>3.99</v>
      </c>
      <c r="N261" s="8">
        <f t="shared" si="21"/>
        <v>993.5100000000001</v>
      </c>
      <c r="O261" s="9">
        <f>_xlfn.XLOOKUP(G261,[1]!tblProductMaster[SKU],[1]!tblProductMaster[Unit Cost])</f>
        <v>1.5</v>
      </c>
      <c r="P261" s="8">
        <f t="shared" si="22"/>
        <v>373.5</v>
      </c>
      <c r="Q261" s="8">
        <f t="shared" si="23"/>
        <v>620.0100000000001</v>
      </c>
      <c r="R261" s="4">
        <f t="shared" si="24"/>
        <v>0.62406015037593987</v>
      </c>
      <c r="S261" t="s">
        <v>87</v>
      </c>
      <c r="T261">
        <f>Table6[[#This Row],[Discount]]*Table6[[#This Row],[List Price]]*Table6[[#This Row],[Units]]</f>
        <v>0</v>
      </c>
    </row>
    <row r="262" spans="1:20" x14ac:dyDescent="0.2">
      <c r="A262" t="s">
        <v>355</v>
      </c>
      <c r="B262" s="2">
        <v>46243.879342474538</v>
      </c>
      <c r="C262" t="s">
        <v>98</v>
      </c>
      <c r="D262" t="s">
        <v>96</v>
      </c>
      <c r="E262" t="s">
        <v>56</v>
      </c>
      <c r="F262" t="s">
        <v>18</v>
      </c>
      <c r="G262" t="s">
        <v>60</v>
      </c>
      <c r="H262" t="str">
        <f>_xlfn.XLOOKUP(Table6[[#This Row],[SKU]],tblProductMaster[SKU],tblProductMaster[Product])</f>
        <v>Sensitive Toothpaste</v>
      </c>
      <c r="I262">
        <v>598</v>
      </c>
      <c r="J262">
        <f>_xlfn.XLOOKUP(G262,[1]!tblProductMaster[SKU],[1]!tblProductMaster[List Price])</f>
        <v>4.49</v>
      </c>
      <c r="K262" t="s">
        <v>89</v>
      </c>
      <c r="L262" s="3">
        <v>0.3</v>
      </c>
      <c r="M262" s="9">
        <f t="shared" si="20"/>
        <v>3.1429999999999998</v>
      </c>
      <c r="N262" s="8">
        <f t="shared" si="21"/>
        <v>1879.5139999999999</v>
      </c>
      <c r="O262" s="9">
        <f>_xlfn.XLOOKUP(G262,[1]!tblProductMaster[SKU],[1]!tblProductMaster[Unit Cost])</f>
        <v>1.7</v>
      </c>
      <c r="P262" s="8">
        <f t="shared" si="22"/>
        <v>1016.6</v>
      </c>
      <c r="Q262" s="8">
        <f t="shared" si="23"/>
        <v>862.91399999999987</v>
      </c>
      <c r="R262" s="4">
        <f t="shared" si="24"/>
        <v>0.45911549475023861</v>
      </c>
      <c r="S262" t="s">
        <v>99</v>
      </c>
      <c r="T262">
        <f>Table6[[#This Row],[Discount]]*Table6[[#This Row],[List Price]]*Table6[[#This Row],[Units]]</f>
        <v>805.50599999999997</v>
      </c>
    </row>
    <row r="263" spans="1:20" x14ac:dyDescent="0.2">
      <c r="A263" t="s">
        <v>356</v>
      </c>
      <c r="B263" s="2">
        <v>46023.02920114241</v>
      </c>
      <c r="C263" t="s">
        <v>98</v>
      </c>
      <c r="D263" t="s">
        <v>85</v>
      </c>
      <c r="E263" t="s">
        <v>40</v>
      </c>
      <c r="F263" t="s">
        <v>15</v>
      </c>
      <c r="G263" t="s">
        <v>46</v>
      </c>
      <c r="H263" t="str">
        <f>_xlfn.XLOOKUP(Table6[[#This Row],[SKU]],tblProductMaster[SKU],tblProductMaster[Product])</f>
        <v>Stain Remover</v>
      </c>
      <c r="I263">
        <v>559</v>
      </c>
      <c r="J263">
        <f>_xlfn.XLOOKUP(G263,[1]!tblProductMaster[SKU],[1]!tblProductMaster[List Price])</f>
        <v>5.99</v>
      </c>
      <c r="K263" t="s">
        <v>86</v>
      </c>
      <c r="L263" s="3">
        <v>0</v>
      </c>
      <c r="M263" s="9">
        <f t="shared" si="20"/>
        <v>5.99</v>
      </c>
      <c r="N263" s="8">
        <f t="shared" si="21"/>
        <v>3348.4100000000003</v>
      </c>
      <c r="O263" s="9">
        <f>_xlfn.XLOOKUP(G263,[1]!tblProductMaster[SKU],[1]!tblProductMaster[Unit Cost])</f>
        <v>2.5</v>
      </c>
      <c r="P263" s="8">
        <f t="shared" si="22"/>
        <v>1397.5</v>
      </c>
      <c r="Q263" s="8">
        <f t="shared" si="23"/>
        <v>1950.9100000000003</v>
      </c>
      <c r="R263" s="4">
        <f t="shared" si="24"/>
        <v>0.58263772954924875</v>
      </c>
      <c r="S263" t="s">
        <v>87</v>
      </c>
      <c r="T263">
        <f>Table6[[#This Row],[Discount]]*Table6[[#This Row],[List Price]]*Table6[[#This Row],[Units]]</f>
        <v>0</v>
      </c>
    </row>
    <row r="264" spans="1:20" x14ac:dyDescent="0.2">
      <c r="A264" t="s">
        <v>357</v>
      </c>
      <c r="B264" s="2">
        <v>46288.705994989359</v>
      </c>
      <c r="C264" t="s">
        <v>98</v>
      </c>
      <c r="D264" t="s">
        <v>96</v>
      </c>
      <c r="E264" t="s">
        <v>56</v>
      </c>
      <c r="F264" t="s">
        <v>15</v>
      </c>
      <c r="G264" t="s">
        <v>62</v>
      </c>
      <c r="H264" t="str">
        <f>_xlfn.XLOOKUP(Table6[[#This Row],[SKU]],tblProductMaster[SKU],tblProductMaster[Product])</f>
        <v>Mouthwash 500ml</v>
      </c>
      <c r="I264">
        <v>1173</v>
      </c>
      <c r="J264">
        <f>_xlfn.XLOOKUP(G264,[1]!tblProductMaster[SKU],[1]!tblProductMaster[List Price])</f>
        <v>5.99</v>
      </c>
      <c r="K264" t="s">
        <v>89</v>
      </c>
      <c r="L264" s="3">
        <v>0.3</v>
      </c>
      <c r="M264" s="9">
        <f t="shared" si="20"/>
        <v>4.1929999999999996</v>
      </c>
      <c r="N264" s="8">
        <f t="shared" si="21"/>
        <v>4918.3889999999992</v>
      </c>
      <c r="O264" s="9">
        <f>_xlfn.XLOOKUP(G264,[1]!tblProductMaster[SKU],[1]!tblProductMaster[Unit Cost])</f>
        <v>2.4</v>
      </c>
      <c r="P264" s="8">
        <f t="shared" si="22"/>
        <v>2815.2</v>
      </c>
      <c r="Q264" s="8">
        <f t="shared" si="23"/>
        <v>2103.1889999999994</v>
      </c>
      <c r="R264" s="4">
        <f t="shared" si="24"/>
        <v>0.42761745766754111</v>
      </c>
      <c r="S264" t="s">
        <v>90</v>
      </c>
      <c r="T264">
        <f>Table6[[#This Row],[Discount]]*Table6[[#This Row],[List Price]]*Table6[[#This Row],[Units]]</f>
        <v>2107.8809999999999</v>
      </c>
    </row>
    <row r="265" spans="1:20" x14ac:dyDescent="0.2">
      <c r="A265" t="s">
        <v>358</v>
      </c>
      <c r="B265" s="2">
        <v>46028.984891446329</v>
      </c>
      <c r="C265" t="s">
        <v>98</v>
      </c>
      <c r="D265" t="s">
        <v>85</v>
      </c>
      <c r="E265" t="s">
        <v>25</v>
      </c>
      <c r="F265" t="s">
        <v>15</v>
      </c>
      <c r="G265" t="s">
        <v>35</v>
      </c>
      <c r="H265" t="str">
        <f>_xlfn.XLOOKUP(Table6[[#This Row],[SKU]],tblProductMaster[SKU],tblProductMaster[Product])</f>
        <v>Hand Cream</v>
      </c>
      <c r="I265">
        <v>714</v>
      </c>
      <c r="J265">
        <f>_xlfn.XLOOKUP(G265,[1]!tblProductMaster[SKU],[1]!tblProductMaster[List Price])</f>
        <v>4.99</v>
      </c>
      <c r="K265" t="s">
        <v>86</v>
      </c>
      <c r="L265" s="3">
        <v>0</v>
      </c>
      <c r="M265" s="9">
        <f t="shared" si="20"/>
        <v>4.99</v>
      </c>
      <c r="N265" s="8">
        <f t="shared" si="21"/>
        <v>3562.86</v>
      </c>
      <c r="O265" s="9">
        <f>_xlfn.XLOOKUP(G265,[1]!tblProductMaster[SKU],[1]!tblProductMaster[Unit Cost])</f>
        <v>2.1</v>
      </c>
      <c r="P265" s="8">
        <f t="shared" si="22"/>
        <v>1499.4</v>
      </c>
      <c r="Q265" s="8">
        <f t="shared" si="23"/>
        <v>2063.46</v>
      </c>
      <c r="R265" s="4">
        <f t="shared" si="24"/>
        <v>0.57915831663326656</v>
      </c>
      <c r="S265" t="s">
        <v>87</v>
      </c>
      <c r="T265">
        <f>Table6[[#This Row],[Discount]]*Table6[[#This Row],[List Price]]*Table6[[#This Row],[Units]]</f>
        <v>0</v>
      </c>
    </row>
    <row r="266" spans="1:20" x14ac:dyDescent="0.2">
      <c r="A266" t="s">
        <v>359</v>
      </c>
      <c r="B266" s="2">
        <v>46222.161055582481</v>
      </c>
      <c r="C266" t="s">
        <v>98</v>
      </c>
      <c r="D266" t="s">
        <v>104</v>
      </c>
      <c r="E266" t="s">
        <v>25</v>
      </c>
      <c r="F266" t="s">
        <v>15</v>
      </c>
      <c r="G266" t="s">
        <v>35</v>
      </c>
      <c r="H266" t="str">
        <f>_xlfn.XLOOKUP(Table6[[#This Row],[SKU]],tblProductMaster[SKU],tblProductMaster[Product])</f>
        <v>Hand Cream</v>
      </c>
      <c r="I266">
        <v>594</v>
      </c>
      <c r="J266">
        <f>_xlfn.XLOOKUP(G266,[1]!tblProductMaster[SKU],[1]!tblProductMaster[List Price])</f>
        <v>4.99</v>
      </c>
      <c r="K266" t="s">
        <v>86</v>
      </c>
      <c r="L266" s="3">
        <v>0</v>
      </c>
      <c r="M266" s="9">
        <f t="shared" si="20"/>
        <v>4.99</v>
      </c>
      <c r="N266" s="8">
        <f t="shared" si="21"/>
        <v>2964.06</v>
      </c>
      <c r="O266" s="9">
        <f>_xlfn.XLOOKUP(G266,[1]!tblProductMaster[SKU],[1]!tblProductMaster[Unit Cost])</f>
        <v>2.1</v>
      </c>
      <c r="P266" s="8">
        <f t="shared" si="22"/>
        <v>1247.4000000000001</v>
      </c>
      <c r="Q266" s="8">
        <f t="shared" si="23"/>
        <v>1716.6599999999999</v>
      </c>
      <c r="R266" s="4">
        <f t="shared" si="24"/>
        <v>0.57915831663326645</v>
      </c>
      <c r="S266" t="s">
        <v>87</v>
      </c>
      <c r="T266">
        <f>Table6[[#This Row],[Discount]]*Table6[[#This Row],[List Price]]*Table6[[#This Row],[Units]]</f>
        <v>0</v>
      </c>
    </row>
    <row r="267" spans="1:20" x14ac:dyDescent="0.2">
      <c r="A267" t="s">
        <v>360</v>
      </c>
      <c r="B267" s="2">
        <v>46191.808485377056</v>
      </c>
      <c r="C267" t="s">
        <v>98</v>
      </c>
      <c r="D267" t="s">
        <v>85</v>
      </c>
      <c r="E267" t="s">
        <v>8</v>
      </c>
      <c r="F267" t="s">
        <v>7</v>
      </c>
      <c r="G267" t="s">
        <v>6</v>
      </c>
      <c r="H267" t="str">
        <f>_xlfn.XLOOKUP(Table6[[#This Row],[SKU]],tblProductMaster[SKU],tblProductMaster[Product])</f>
        <v>Shampoo 250ml</v>
      </c>
      <c r="I267">
        <v>533</v>
      </c>
      <c r="J267">
        <f>_xlfn.XLOOKUP(G267,[1]!tblProductMaster[SKU],[1]!tblProductMaster[List Price])</f>
        <v>5.99</v>
      </c>
      <c r="K267" t="s">
        <v>86</v>
      </c>
      <c r="L267" s="3">
        <v>0</v>
      </c>
      <c r="M267" s="9">
        <f t="shared" si="20"/>
        <v>5.99</v>
      </c>
      <c r="N267" s="8">
        <f t="shared" si="21"/>
        <v>3192.67</v>
      </c>
      <c r="O267" s="9">
        <f>_xlfn.XLOOKUP(G267,[1]!tblProductMaster[SKU],[1]!tblProductMaster[Unit Cost])</f>
        <v>2.4</v>
      </c>
      <c r="P267" s="8">
        <f t="shared" si="22"/>
        <v>1279.2</v>
      </c>
      <c r="Q267" s="8">
        <f t="shared" si="23"/>
        <v>1913.47</v>
      </c>
      <c r="R267" s="4">
        <f t="shared" si="24"/>
        <v>0.59933222036727885</v>
      </c>
      <c r="S267" t="s">
        <v>87</v>
      </c>
      <c r="T267">
        <f>Table6[[#This Row],[Discount]]*Table6[[#This Row],[List Price]]*Table6[[#This Row],[Units]]</f>
        <v>0</v>
      </c>
    </row>
    <row r="268" spans="1:20" x14ac:dyDescent="0.2">
      <c r="A268" t="s">
        <v>361</v>
      </c>
      <c r="B268" s="2">
        <v>46244.242434823565</v>
      </c>
      <c r="C268" t="s">
        <v>98</v>
      </c>
      <c r="D268" t="s">
        <v>85</v>
      </c>
      <c r="E268" t="s">
        <v>40</v>
      </c>
      <c r="F268" t="s">
        <v>7</v>
      </c>
      <c r="G268" t="s">
        <v>44</v>
      </c>
      <c r="H268" t="str">
        <f>_xlfn.XLOOKUP(Table6[[#This Row],[SKU]],tblProductMaster[SKU],tblProductMaster[Product])</f>
        <v>Fabric Softener</v>
      </c>
      <c r="I268">
        <v>580</v>
      </c>
      <c r="J268">
        <f>_xlfn.XLOOKUP(G268,[1]!tblProductMaster[SKU],[1]!tblProductMaster[List Price])</f>
        <v>6.99</v>
      </c>
      <c r="K268" t="s">
        <v>89</v>
      </c>
      <c r="L268" s="3">
        <v>0.1</v>
      </c>
      <c r="M268" s="9">
        <f t="shared" si="20"/>
        <v>6.2910000000000004</v>
      </c>
      <c r="N268" s="8">
        <f t="shared" si="21"/>
        <v>3648.78</v>
      </c>
      <c r="O268" s="9">
        <f>_xlfn.XLOOKUP(G268,[1]!tblProductMaster[SKU],[1]!tblProductMaster[Unit Cost])</f>
        <v>2.9</v>
      </c>
      <c r="P268" s="8">
        <f t="shared" si="22"/>
        <v>1682</v>
      </c>
      <c r="Q268" s="8">
        <f t="shared" si="23"/>
        <v>1966.7800000000002</v>
      </c>
      <c r="R268" s="4">
        <f t="shared" si="24"/>
        <v>0.53902400254331584</v>
      </c>
      <c r="S268" t="s">
        <v>99</v>
      </c>
      <c r="T268">
        <f>Table6[[#This Row],[Discount]]*Table6[[#This Row],[List Price]]*Table6[[#This Row],[Units]]</f>
        <v>405.42</v>
      </c>
    </row>
    <row r="269" spans="1:20" x14ac:dyDescent="0.2">
      <c r="A269" t="s">
        <v>362</v>
      </c>
      <c r="B269" s="2">
        <v>46171.549275060424</v>
      </c>
      <c r="C269" t="s">
        <v>84</v>
      </c>
      <c r="D269" t="s">
        <v>104</v>
      </c>
      <c r="E269" t="s">
        <v>8</v>
      </c>
      <c r="F269" t="s">
        <v>15</v>
      </c>
      <c r="G269" t="s">
        <v>14</v>
      </c>
      <c r="H269" t="str">
        <f>_xlfn.XLOOKUP(Table6[[#This Row],[SKU]],tblProductMaster[SKU],tblProductMaster[Product])</f>
        <v>Shampoo 250ml</v>
      </c>
      <c r="I269">
        <v>231</v>
      </c>
      <c r="J269">
        <f>_xlfn.XLOOKUP(G269,[1]!tblProductMaster[SKU],[1]!tblProductMaster[List Price])</f>
        <v>4.99</v>
      </c>
      <c r="K269" t="s">
        <v>86</v>
      </c>
      <c r="L269" s="3">
        <v>0</v>
      </c>
      <c r="M269" s="9">
        <f t="shared" si="20"/>
        <v>4.99</v>
      </c>
      <c r="N269" s="8">
        <f t="shared" si="21"/>
        <v>1152.69</v>
      </c>
      <c r="O269" s="9">
        <f>_xlfn.XLOOKUP(G269,[1]!tblProductMaster[SKU],[1]!tblProductMaster[Unit Cost])</f>
        <v>2.1</v>
      </c>
      <c r="P269" s="8">
        <f t="shared" si="22"/>
        <v>485.1</v>
      </c>
      <c r="Q269" s="8">
        <f t="shared" si="23"/>
        <v>667.59</v>
      </c>
      <c r="R269" s="4">
        <f t="shared" si="24"/>
        <v>0.57915831663326656</v>
      </c>
      <c r="S269" t="s">
        <v>87</v>
      </c>
      <c r="T269">
        <f>Table6[[#This Row],[Discount]]*Table6[[#This Row],[List Price]]*Table6[[#This Row],[Units]]</f>
        <v>0</v>
      </c>
    </row>
    <row r="270" spans="1:20" x14ac:dyDescent="0.2">
      <c r="A270" t="s">
        <v>363</v>
      </c>
      <c r="B270" s="2">
        <v>46365.546669118608</v>
      </c>
      <c r="C270" t="s">
        <v>93</v>
      </c>
      <c r="D270" t="s">
        <v>104</v>
      </c>
      <c r="E270" t="s">
        <v>40</v>
      </c>
      <c r="F270" t="s">
        <v>7</v>
      </c>
      <c r="G270" t="s">
        <v>48</v>
      </c>
      <c r="H270" t="str">
        <f>_xlfn.XLOOKUP(Table6[[#This Row],[SKU]],tblProductMaster[SKU],tblProductMaster[Product])</f>
        <v>Color Detergent</v>
      </c>
      <c r="I270">
        <v>569</v>
      </c>
      <c r="J270">
        <f>_xlfn.XLOOKUP(G270,[1]!tblProductMaster[SKU],[1]!tblProductMaster[List Price])</f>
        <v>9.49</v>
      </c>
      <c r="K270" t="s">
        <v>86</v>
      </c>
      <c r="L270" s="3">
        <v>0</v>
      </c>
      <c r="M270" s="9">
        <f t="shared" si="20"/>
        <v>9.49</v>
      </c>
      <c r="N270" s="8">
        <f t="shared" si="21"/>
        <v>5399.81</v>
      </c>
      <c r="O270" s="9">
        <f>_xlfn.XLOOKUP(G270,[1]!tblProductMaster[SKU],[1]!tblProductMaster[Unit Cost])</f>
        <v>4</v>
      </c>
      <c r="P270" s="8">
        <f t="shared" si="22"/>
        <v>2276</v>
      </c>
      <c r="Q270" s="8">
        <f t="shared" si="23"/>
        <v>3123.8100000000004</v>
      </c>
      <c r="R270" s="4">
        <f t="shared" si="24"/>
        <v>0.57850368809272923</v>
      </c>
      <c r="S270" t="s">
        <v>87</v>
      </c>
      <c r="T270">
        <f>Table6[[#This Row],[Discount]]*Table6[[#This Row],[List Price]]*Table6[[#This Row],[Units]]</f>
        <v>0</v>
      </c>
    </row>
    <row r="271" spans="1:20" x14ac:dyDescent="0.2">
      <c r="A271" t="s">
        <v>364</v>
      </c>
      <c r="B271" s="2">
        <v>46384.872158293721</v>
      </c>
      <c r="C271" t="s">
        <v>93</v>
      </c>
      <c r="D271" t="s">
        <v>96</v>
      </c>
      <c r="E271" t="s">
        <v>8</v>
      </c>
      <c r="F271" t="s">
        <v>18</v>
      </c>
      <c r="G271" t="s">
        <v>17</v>
      </c>
      <c r="H271" t="str">
        <f>_xlfn.XLOOKUP(Table6[[#This Row],[SKU]],tblProductMaster[SKU],tblProductMaster[Product])</f>
        <v>Anti-Dandruff Shampoo</v>
      </c>
      <c r="I271">
        <v>443</v>
      </c>
      <c r="J271">
        <f>_xlfn.XLOOKUP(G271,[1]!tblProductMaster[SKU],[1]!tblProductMaster[List Price])</f>
        <v>6.49</v>
      </c>
      <c r="K271" t="s">
        <v>86</v>
      </c>
      <c r="L271" s="3">
        <v>0</v>
      </c>
      <c r="M271" s="9">
        <f t="shared" si="20"/>
        <v>6.49</v>
      </c>
      <c r="N271" s="8">
        <f t="shared" si="21"/>
        <v>2875.07</v>
      </c>
      <c r="O271" s="9">
        <f>_xlfn.XLOOKUP(G271,[1]!tblProductMaster[SKU],[1]!tblProductMaster[Unit Cost])</f>
        <v>2.8</v>
      </c>
      <c r="P271" s="8">
        <f t="shared" si="22"/>
        <v>1240.3999999999999</v>
      </c>
      <c r="Q271" s="8">
        <f t="shared" si="23"/>
        <v>1634.6700000000003</v>
      </c>
      <c r="R271" s="4">
        <f t="shared" si="24"/>
        <v>0.5685670261941449</v>
      </c>
      <c r="S271" t="s">
        <v>87</v>
      </c>
      <c r="T271">
        <f>Table6[[#This Row],[Discount]]*Table6[[#This Row],[List Price]]*Table6[[#This Row],[Units]]</f>
        <v>0</v>
      </c>
    </row>
    <row r="272" spans="1:20" x14ac:dyDescent="0.2">
      <c r="A272" t="s">
        <v>365</v>
      </c>
      <c r="B272" s="2">
        <v>46122.806011998116</v>
      </c>
      <c r="C272" t="s">
        <v>93</v>
      </c>
      <c r="D272" t="s">
        <v>96</v>
      </c>
      <c r="E272" t="s">
        <v>56</v>
      </c>
      <c r="F272" t="s">
        <v>18</v>
      </c>
      <c r="G272" t="s">
        <v>60</v>
      </c>
      <c r="H272" t="str">
        <f>_xlfn.XLOOKUP(Table6[[#This Row],[SKU]],tblProductMaster[SKU],tblProductMaster[Product])</f>
        <v>Sensitive Toothpaste</v>
      </c>
      <c r="I272">
        <v>1040</v>
      </c>
      <c r="J272">
        <f>_xlfn.XLOOKUP(G272,[1]!tblProductMaster[SKU],[1]!tblProductMaster[List Price])</f>
        <v>4.49</v>
      </c>
      <c r="K272" t="s">
        <v>89</v>
      </c>
      <c r="L272" s="3">
        <v>0.1</v>
      </c>
      <c r="M272" s="9">
        <f t="shared" si="20"/>
        <v>4.0410000000000004</v>
      </c>
      <c r="N272" s="8">
        <f t="shared" si="21"/>
        <v>4202.6400000000003</v>
      </c>
      <c r="O272" s="9">
        <f>_xlfn.XLOOKUP(G272,[1]!tblProductMaster[SKU],[1]!tblProductMaster[Unit Cost])</f>
        <v>1.7</v>
      </c>
      <c r="P272" s="8">
        <f t="shared" si="22"/>
        <v>1768</v>
      </c>
      <c r="Q272" s="8">
        <f t="shared" si="23"/>
        <v>2434.6400000000003</v>
      </c>
      <c r="R272" s="4">
        <f t="shared" si="24"/>
        <v>0.57931205147240783</v>
      </c>
      <c r="S272" t="s">
        <v>94</v>
      </c>
      <c r="T272">
        <f>Table6[[#This Row],[Discount]]*Table6[[#This Row],[List Price]]*Table6[[#This Row],[Units]]</f>
        <v>466.96000000000009</v>
      </c>
    </row>
    <row r="273" spans="1:20" x14ac:dyDescent="0.2">
      <c r="A273" t="s">
        <v>366</v>
      </c>
      <c r="B273" s="2">
        <v>46270.202851453534</v>
      </c>
      <c r="C273" t="s">
        <v>84</v>
      </c>
      <c r="D273" t="s">
        <v>104</v>
      </c>
      <c r="E273" t="s">
        <v>40</v>
      </c>
      <c r="F273" t="s">
        <v>15</v>
      </c>
      <c r="G273" t="s">
        <v>46</v>
      </c>
      <c r="H273" t="str">
        <f>_xlfn.XLOOKUP(Table6[[#This Row],[SKU]],tblProductMaster[SKU],tblProductMaster[Product])</f>
        <v>Stain Remover</v>
      </c>
      <c r="I273">
        <v>331</v>
      </c>
      <c r="J273">
        <f>_xlfn.XLOOKUP(G273,[1]!tblProductMaster[SKU],[1]!tblProductMaster[List Price])</f>
        <v>5.99</v>
      </c>
      <c r="K273" t="s">
        <v>86</v>
      </c>
      <c r="L273" s="3">
        <v>0</v>
      </c>
      <c r="M273" s="9">
        <f t="shared" si="20"/>
        <v>5.99</v>
      </c>
      <c r="N273" s="8">
        <f t="shared" si="21"/>
        <v>1982.69</v>
      </c>
      <c r="O273" s="9">
        <f>_xlfn.XLOOKUP(G273,[1]!tblProductMaster[SKU],[1]!tblProductMaster[Unit Cost])</f>
        <v>2.5</v>
      </c>
      <c r="P273" s="8">
        <f t="shared" si="22"/>
        <v>827.5</v>
      </c>
      <c r="Q273" s="8">
        <f t="shared" si="23"/>
        <v>1155.19</v>
      </c>
      <c r="R273" s="4">
        <f t="shared" si="24"/>
        <v>0.58263772954924875</v>
      </c>
      <c r="S273" t="s">
        <v>87</v>
      </c>
      <c r="T273">
        <f>Table6[[#This Row],[Discount]]*Table6[[#This Row],[List Price]]*Table6[[#This Row],[Units]]</f>
        <v>0</v>
      </c>
    </row>
    <row r="274" spans="1:20" x14ac:dyDescent="0.2">
      <c r="A274" t="s">
        <v>367</v>
      </c>
      <c r="B274" s="2">
        <v>46341.285004351506</v>
      </c>
      <c r="C274" t="s">
        <v>93</v>
      </c>
      <c r="D274" t="s">
        <v>96</v>
      </c>
      <c r="E274" t="s">
        <v>8</v>
      </c>
      <c r="F274" t="s">
        <v>18</v>
      </c>
      <c r="G274" t="s">
        <v>17</v>
      </c>
      <c r="H274" t="str">
        <f>_xlfn.XLOOKUP(Table6[[#This Row],[SKU]],tblProductMaster[SKU],tblProductMaster[Product])</f>
        <v>Anti-Dandruff Shampoo</v>
      </c>
      <c r="I274">
        <v>293</v>
      </c>
      <c r="J274">
        <f>_xlfn.XLOOKUP(G274,[1]!tblProductMaster[SKU],[1]!tblProductMaster[List Price])</f>
        <v>6.49</v>
      </c>
      <c r="K274" t="s">
        <v>86</v>
      </c>
      <c r="L274" s="3">
        <v>0</v>
      </c>
      <c r="M274" s="9">
        <f t="shared" si="20"/>
        <v>6.49</v>
      </c>
      <c r="N274" s="8">
        <f t="shared" si="21"/>
        <v>1901.5700000000002</v>
      </c>
      <c r="O274" s="9">
        <f>_xlfn.XLOOKUP(G274,[1]!tblProductMaster[SKU],[1]!tblProductMaster[Unit Cost])</f>
        <v>2.8</v>
      </c>
      <c r="P274" s="8">
        <f t="shared" si="22"/>
        <v>820.4</v>
      </c>
      <c r="Q274" s="8">
        <f t="shared" si="23"/>
        <v>1081.17</v>
      </c>
      <c r="R274" s="4">
        <f t="shared" si="24"/>
        <v>0.56856702619414479</v>
      </c>
      <c r="S274" t="s">
        <v>87</v>
      </c>
      <c r="T274">
        <f>Table6[[#This Row],[Discount]]*Table6[[#This Row],[List Price]]*Table6[[#This Row],[Units]]</f>
        <v>0</v>
      </c>
    </row>
    <row r="275" spans="1:20" x14ac:dyDescent="0.2">
      <c r="A275" t="s">
        <v>368</v>
      </c>
      <c r="B275" s="2">
        <v>46276.048085300179</v>
      </c>
      <c r="C275" t="s">
        <v>93</v>
      </c>
      <c r="D275" t="s">
        <v>85</v>
      </c>
      <c r="E275" t="s">
        <v>56</v>
      </c>
      <c r="F275" t="s">
        <v>7</v>
      </c>
      <c r="G275" t="s">
        <v>58</v>
      </c>
      <c r="H275" t="str">
        <f>_xlfn.XLOOKUP(Table6[[#This Row],[SKU]],tblProductMaster[SKU],tblProductMaster[Product])</f>
        <v>Whitening Toothpaste</v>
      </c>
      <c r="I275">
        <v>890</v>
      </c>
      <c r="J275">
        <f>_xlfn.XLOOKUP(G275,[1]!tblProductMaster[SKU],[1]!tblProductMaster[List Price])</f>
        <v>4.99</v>
      </c>
      <c r="K275" t="s">
        <v>89</v>
      </c>
      <c r="L275" s="3">
        <v>0.1</v>
      </c>
      <c r="M275" s="9">
        <f t="shared" si="20"/>
        <v>4.4910000000000005</v>
      </c>
      <c r="N275" s="8">
        <f t="shared" si="21"/>
        <v>3996.9900000000007</v>
      </c>
      <c r="O275" s="9">
        <f>_xlfn.XLOOKUP(G275,[1]!tblProductMaster[SKU],[1]!tblProductMaster[Unit Cost])</f>
        <v>1.8</v>
      </c>
      <c r="P275" s="8">
        <f t="shared" si="22"/>
        <v>1602</v>
      </c>
      <c r="Q275" s="8">
        <f t="shared" si="23"/>
        <v>2394.9900000000007</v>
      </c>
      <c r="R275" s="4">
        <f t="shared" si="24"/>
        <v>0.59919839679358722</v>
      </c>
      <c r="S275" t="s">
        <v>90</v>
      </c>
      <c r="T275">
        <f>Table6[[#This Row],[Discount]]*Table6[[#This Row],[List Price]]*Table6[[#This Row],[Units]]</f>
        <v>444.11000000000007</v>
      </c>
    </row>
    <row r="276" spans="1:20" x14ac:dyDescent="0.2">
      <c r="A276" t="s">
        <v>369</v>
      </c>
      <c r="B276" s="2">
        <v>46305.128799438258</v>
      </c>
      <c r="C276" t="s">
        <v>93</v>
      </c>
      <c r="D276" t="s">
        <v>96</v>
      </c>
      <c r="E276" t="s">
        <v>40</v>
      </c>
      <c r="F276" t="s">
        <v>18</v>
      </c>
      <c r="G276" t="s">
        <v>50</v>
      </c>
      <c r="H276" t="str">
        <f>_xlfn.XLOOKUP(Table6[[#This Row],[SKU]],tblProductMaster[SKU],tblProductMaster[Product])</f>
        <v>Sensitive Detergent</v>
      </c>
      <c r="I276">
        <v>362</v>
      </c>
      <c r="J276">
        <f>_xlfn.XLOOKUP(G276,[1]!tblProductMaster[SKU],[1]!tblProductMaster[List Price])</f>
        <v>8.99</v>
      </c>
      <c r="K276" t="s">
        <v>86</v>
      </c>
      <c r="L276" s="3">
        <v>0</v>
      </c>
      <c r="M276" s="9">
        <f t="shared" si="20"/>
        <v>8.99</v>
      </c>
      <c r="N276" s="8">
        <f t="shared" si="21"/>
        <v>3254.38</v>
      </c>
      <c r="O276" s="9">
        <f>_xlfn.XLOOKUP(G276,[1]!tblProductMaster[SKU],[1]!tblProductMaster[Unit Cost])</f>
        <v>4</v>
      </c>
      <c r="P276" s="8">
        <f t="shared" si="22"/>
        <v>1448</v>
      </c>
      <c r="Q276" s="8">
        <f t="shared" si="23"/>
        <v>1806.38</v>
      </c>
      <c r="R276" s="4">
        <f t="shared" si="24"/>
        <v>0.55506117908787544</v>
      </c>
      <c r="S276" t="s">
        <v>87</v>
      </c>
      <c r="T276">
        <f>Table6[[#This Row],[Discount]]*Table6[[#This Row],[List Price]]*Table6[[#This Row],[Units]]</f>
        <v>0</v>
      </c>
    </row>
    <row r="277" spans="1:20" x14ac:dyDescent="0.2">
      <c r="A277" t="s">
        <v>370</v>
      </c>
      <c r="B277" s="2">
        <v>46326.885534373185</v>
      </c>
      <c r="C277" t="s">
        <v>84</v>
      </c>
      <c r="D277" t="s">
        <v>85</v>
      </c>
      <c r="E277" t="s">
        <v>56</v>
      </c>
      <c r="F277" t="s">
        <v>7</v>
      </c>
      <c r="G277" t="s">
        <v>64</v>
      </c>
      <c r="H277" t="str">
        <f>_xlfn.XLOOKUP(Table6[[#This Row],[SKU]],tblProductMaster[SKU],tblProductMaster[Product])</f>
        <v>Toothbrush</v>
      </c>
      <c r="I277">
        <v>503</v>
      </c>
      <c r="J277">
        <f>_xlfn.XLOOKUP(G277,[1]!tblProductMaster[SKU],[1]!tblProductMaster[List Price])</f>
        <v>3.99</v>
      </c>
      <c r="K277" t="s">
        <v>86</v>
      </c>
      <c r="L277" s="3">
        <v>0</v>
      </c>
      <c r="M277" s="9">
        <f t="shared" si="20"/>
        <v>3.99</v>
      </c>
      <c r="N277" s="8">
        <f t="shared" si="21"/>
        <v>2006.97</v>
      </c>
      <c r="O277" s="9">
        <f>_xlfn.XLOOKUP(G277,[1]!tblProductMaster[SKU],[1]!tblProductMaster[Unit Cost])</f>
        <v>1.5</v>
      </c>
      <c r="P277" s="8">
        <f t="shared" si="22"/>
        <v>754.5</v>
      </c>
      <c r="Q277" s="8">
        <f t="shared" si="23"/>
        <v>1252.47</v>
      </c>
      <c r="R277" s="4">
        <f t="shared" si="24"/>
        <v>0.62406015037593987</v>
      </c>
      <c r="S277" t="s">
        <v>87</v>
      </c>
      <c r="T277">
        <f>Table6[[#This Row],[Discount]]*Table6[[#This Row],[List Price]]*Table6[[#This Row],[Units]]</f>
        <v>0</v>
      </c>
    </row>
    <row r="278" spans="1:20" x14ac:dyDescent="0.2">
      <c r="A278" t="s">
        <v>371</v>
      </c>
      <c r="B278" s="2">
        <v>46114.554787929148</v>
      </c>
      <c r="C278" t="s">
        <v>84</v>
      </c>
      <c r="D278" t="s">
        <v>96</v>
      </c>
      <c r="E278" t="s">
        <v>8</v>
      </c>
      <c r="F278" t="s">
        <v>18</v>
      </c>
      <c r="G278" t="s">
        <v>20</v>
      </c>
      <c r="H278" t="str">
        <f>_xlfn.XLOOKUP(Table6[[#This Row],[SKU]],tblProductMaster[SKU],tblProductMaster[Product])</f>
        <v>Hair Oil</v>
      </c>
      <c r="I278">
        <v>464</v>
      </c>
      <c r="J278">
        <f>_xlfn.XLOOKUP(G278,[1]!tblProductMaster[SKU],[1]!tblProductMaster[List Price])</f>
        <v>7.49</v>
      </c>
      <c r="K278" t="s">
        <v>86</v>
      </c>
      <c r="L278" s="3">
        <v>0</v>
      </c>
      <c r="M278" s="9">
        <f t="shared" si="20"/>
        <v>7.49</v>
      </c>
      <c r="N278" s="8">
        <f t="shared" si="21"/>
        <v>3475.36</v>
      </c>
      <c r="O278" s="9">
        <f>_xlfn.XLOOKUP(G278,[1]!tblProductMaster[SKU],[1]!tblProductMaster[Unit Cost])</f>
        <v>3.1</v>
      </c>
      <c r="P278" s="8">
        <f t="shared" si="22"/>
        <v>1438.4</v>
      </c>
      <c r="Q278" s="8">
        <f t="shared" si="23"/>
        <v>2036.96</v>
      </c>
      <c r="R278" s="4">
        <f t="shared" si="24"/>
        <v>0.58611481975967961</v>
      </c>
      <c r="S278" t="s">
        <v>87</v>
      </c>
      <c r="T278">
        <f>Table6[[#This Row],[Discount]]*Table6[[#This Row],[List Price]]*Table6[[#This Row],[Units]]</f>
        <v>0</v>
      </c>
    </row>
    <row r="279" spans="1:20" x14ac:dyDescent="0.2">
      <c r="A279" t="s">
        <v>372</v>
      </c>
      <c r="B279" s="2">
        <v>46207.792005679898</v>
      </c>
      <c r="C279" t="s">
        <v>93</v>
      </c>
      <c r="D279" t="s">
        <v>85</v>
      </c>
      <c r="E279" t="s">
        <v>40</v>
      </c>
      <c r="F279" t="s">
        <v>18</v>
      </c>
      <c r="G279" t="s">
        <v>54</v>
      </c>
      <c r="H279" t="str">
        <f>_xlfn.XLOOKUP(Table6[[#This Row],[SKU]],tblProductMaster[SKU],tblProductMaster[Product])</f>
        <v>Fabric Softener</v>
      </c>
      <c r="I279">
        <v>785</v>
      </c>
      <c r="J279">
        <f>_xlfn.XLOOKUP(G279,[1]!tblProductMaster[SKU],[1]!tblProductMaster[List Price])</f>
        <v>5.49</v>
      </c>
      <c r="K279" t="s">
        <v>86</v>
      </c>
      <c r="L279" s="3">
        <v>0</v>
      </c>
      <c r="M279" s="9">
        <f t="shared" si="20"/>
        <v>5.49</v>
      </c>
      <c r="N279" s="8">
        <f t="shared" si="21"/>
        <v>4309.6500000000005</v>
      </c>
      <c r="O279" s="9">
        <f>_xlfn.XLOOKUP(G279,[1]!tblProductMaster[SKU],[1]!tblProductMaster[Unit Cost])</f>
        <v>2.4</v>
      </c>
      <c r="P279" s="8">
        <f t="shared" si="22"/>
        <v>1884</v>
      </c>
      <c r="Q279" s="8">
        <f t="shared" si="23"/>
        <v>2425.6500000000005</v>
      </c>
      <c r="R279" s="4">
        <f t="shared" si="24"/>
        <v>0.56284153005464488</v>
      </c>
      <c r="S279" t="s">
        <v>87</v>
      </c>
      <c r="T279">
        <f>Table6[[#This Row],[Discount]]*Table6[[#This Row],[List Price]]*Table6[[#This Row],[Units]]</f>
        <v>0</v>
      </c>
    </row>
    <row r="280" spans="1:20" x14ac:dyDescent="0.2">
      <c r="A280" t="s">
        <v>373</v>
      </c>
      <c r="B280" s="2">
        <v>46356.307644331064</v>
      </c>
      <c r="C280" t="s">
        <v>84</v>
      </c>
      <c r="D280" t="s">
        <v>96</v>
      </c>
      <c r="E280" t="s">
        <v>40</v>
      </c>
      <c r="F280" t="s">
        <v>18</v>
      </c>
      <c r="G280" t="s">
        <v>50</v>
      </c>
      <c r="H280" t="str">
        <f>_xlfn.XLOOKUP(Table6[[#This Row],[SKU]],tblProductMaster[SKU],tblProductMaster[Product])</f>
        <v>Sensitive Detergent</v>
      </c>
      <c r="I280">
        <v>773</v>
      </c>
      <c r="J280">
        <f>_xlfn.XLOOKUP(G280,[1]!tblProductMaster[SKU],[1]!tblProductMaster[List Price])</f>
        <v>8.99</v>
      </c>
      <c r="K280" t="s">
        <v>86</v>
      </c>
      <c r="L280" s="3">
        <v>0</v>
      </c>
      <c r="M280" s="9">
        <f t="shared" si="20"/>
        <v>8.99</v>
      </c>
      <c r="N280" s="8">
        <f t="shared" si="21"/>
        <v>6949.27</v>
      </c>
      <c r="O280" s="9">
        <f>_xlfn.XLOOKUP(G280,[1]!tblProductMaster[SKU],[1]!tblProductMaster[Unit Cost])</f>
        <v>4</v>
      </c>
      <c r="P280" s="8">
        <f t="shared" si="22"/>
        <v>3092</v>
      </c>
      <c r="Q280" s="8">
        <f t="shared" si="23"/>
        <v>3857.2700000000004</v>
      </c>
      <c r="R280" s="4">
        <f t="shared" si="24"/>
        <v>0.55506117908787544</v>
      </c>
      <c r="S280" t="s">
        <v>87</v>
      </c>
      <c r="T280">
        <f>Table6[[#This Row],[Discount]]*Table6[[#This Row],[List Price]]*Table6[[#This Row],[Units]]</f>
        <v>0</v>
      </c>
    </row>
    <row r="281" spans="1:20" x14ac:dyDescent="0.2">
      <c r="A281" t="s">
        <v>374</v>
      </c>
      <c r="B281" s="2">
        <v>46110.047662924248</v>
      </c>
      <c r="C281" t="s">
        <v>98</v>
      </c>
      <c r="D281" t="s">
        <v>104</v>
      </c>
      <c r="E281" t="s">
        <v>8</v>
      </c>
      <c r="F281" t="s">
        <v>18</v>
      </c>
      <c r="G281" t="s">
        <v>17</v>
      </c>
      <c r="H281" t="str">
        <f>_xlfn.XLOOKUP(Table6[[#This Row],[SKU]],tblProductMaster[SKU],tblProductMaster[Product])</f>
        <v>Anti-Dandruff Shampoo</v>
      </c>
      <c r="I281">
        <v>747</v>
      </c>
      <c r="J281">
        <f>_xlfn.XLOOKUP(G281,[1]!tblProductMaster[SKU],[1]!tblProductMaster[List Price])</f>
        <v>6.49</v>
      </c>
      <c r="K281" t="s">
        <v>89</v>
      </c>
      <c r="L281" s="3">
        <v>0.1</v>
      </c>
      <c r="M281" s="9">
        <f t="shared" si="20"/>
        <v>5.8410000000000002</v>
      </c>
      <c r="N281" s="8">
        <f t="shared" si="21"/>
        <v>4363.2269999999999</v>
      </c>
      <c r="O281" s="9">
        <f>_xlfn.XLOOKUP(G281,[1]!tblProductMaster[SKU],[1]!tblProductMaster[Unit Cost])</f>
        <v>2.8</v>
      </c>
      <c r="P281" s="8">
        <f t="shared" si="22"/>
        <v>2091.6</v>
      </c>
      <c r="Q281" s="8">
        <f t="shared" si="23"/>
        <v>2271.627</v>
      </c>
      <c r="R281" s="4">
        <f t="shared" si="24"/>
        <v>0.52063002910460543</v>
      </c>
      <c r="S281" t="s">
        <v>99</v>
      </c>
      <c r="T281">
        <f>Table6[[#This Row],[Discount]]*Table6[[#This Row],[List Price]]*Table6[[#This Row],[Units]]</f>
        <v>484.803</v>
      </c>
    </row>
    <row r="282" spans="1:20" x14ac:dyDescent="0.2">
      <c r="A282" t="s">
        <v>375</v>
      </c>
      <c r="B282" s="2">
        <v>46276.432699262259</v>
      </c>
      <c r="C282" t="s">
        <v>98</v>
      </c>
      <c r="D282" t="s">
        <v>85</v>
      </c>
      <c r="E282" t="s">
        <v>25</v>
      </c>
      <c r="F282" t="s">
        <v>18</v>
      </c>
      <c r="G282" t="s">
        <v>37</v>
      </c>
      <c r="H282" t="str">
        <f>_xlfn.XLOOKUP(Table6[[#This Row],[SKU]],tblProductMaster[SKU],tblProductMaster[Product])</f>
        <v>Body Wash</v>
      </c>
      <c r="I282">
        <v>207</v>
      </c>
      <c r="J282">
        <f>_xlfn.XLOOKUP(G282,[1]!tblProductMaster[SKU],[1]!tblProductMaster[List Price])</f>
        <v>5.49</v>
      </c>
      <c r="K282" t="s">
        <v>86</v>
      </c>
      <c r="L282" s="3">
        <v>0</v>
      </c>
      <c r="M282" s="9">
        <f t="shared" si="20"/>
        <v>5.49</v>
      </c>
      <c r="N282" s="8">
        <f t="shared" si="21"/>
        <v>1136.43</v>
      </c>
      <c r="O282" s="9">
        <f>_xlfn.XLOOKUP(G282,[1]!tblProductMaster[SKU],[1]!tblProductMaster[Unit Cost])</f>
        <v>2.2999999999999998</v>
      </c>
      <c r="P282" s="8">
        <f t="shared" si="22"/>
        <v>476.09999999999997</v>
      </c>
      <c r="Q282" s="8">
        <f t="shared" si="23"/>
        <v>660.33000000000015</v>
      </c>
      <c r="R282" s="4">
        <f t="shared" si="24"/>
        <v>0.58105646630236807</v>
      </c>
      <c r="S282" t="s">
        <v>87</v>
      </c>
      <c r="T282">
        <f>Table6[[#This Row],[Discount]]*Table6[[#This Row],[List Price]]*Table6[[#This Row],[Units]]</f>
        <v>0</v>
      </c>
    </row>
    <row r="283" spans="1:20" x14ac:dyDescent="0.2">
      <c r="A283" t="s">
        <v>376</v>
      </c>
      <c r="B283" s="2">
        <v>46334.09415279614</v>
      </c>
      <c r="C283" t="s">
        <v>93</v>
      </c>
      <c r="D283" t="s">
        <v>96</v>
      </c>
      <c r="E283" t="s">
        <v>56</v>
      </c>
      <c r="F283" t="s">
        <v>15</v>
      </c>
      <c r="G283" t="s">
        <v>62</v>
      </c>
      <c r="H283" t="str">
        <f>_xlfn.XLOOKUP(Table6[[#This Row],[SKU]],tblProductMaster[SKU],tblProductMaster[Product])</f>
        <v>Mouthwash 500ml</v>
      </c>
      <c r="I283">
        <v>446</v>
      </c>
      <c r="J283">
        <f>_xlfn.XLOOKUP(G283,[1]!tblProductMaster[SKU],[1]!tblProductMaster[List Price])</f>
        <v>5.99</v>
      </c>
      <c r="K283" t="s">
        <v>89</v>
      </c>
      <c r="L283" s="3">
        <v>0.1</v>
      </c>
      <c r="M283" s="9">
        <f t="shared" si="20"/>
        <v>5.391</v>
      </c>
      <c r="N283" s="8">
        <f t="shared" si="21"/>
        <v>2404.386</v>
      </c>
      <c r="O283" s="9">
        <f>_xlfn.XLOOKUP(G283,[1]!tblProductMaster[SKU],[1]!tblProductMaster[Unit Cost])</f>
        <v>2.4</v>
      </c>
      <c r="P283" s="8">
        <f t="shared" si="22"/>
        <v>1070.3999999999999</v>
      </c>
      <c r="Q283" s="8">
        <f t="shared" si="23"/>
        <v>1333.9860000000001</v>
      </c>
      <c r="R283" s="4">
        <f t="shared" si="24"/>
        <v>0.55481357818586541</v>
      </c>
      <c r="S283" t="s">
        <v>99</v>
      </c>
      <c r="T283">
        <f>Table6[[#This Row],[Discount]]*Table6[[#This Row],[List Price]]*Table6[[#This Row],[Units]]</f>
        <v>267.15400000000005</v>
      </c>
    </row>
    <row r="284" spans="1:20" x14ac:dyDescent="0.2">
      <c r="A284" t="s">
        <v>377</v>
      </c>
      <c r="B284" s="2">
        <v>46138.881013502483</v>
      </c>
      <c r="C284" t="s">
        <v>93</v>
      </c>
      <c r="D284" t="s">
        <v>104</v>
      </c>
      <c r="E284" t="s">
        <v>56</v>
      </c>
      <c r="F284" t="s">
        <v>7</v>
      </c>
      <c r="G284" t="s">
        <v>64</v>
      </c>
      <c r="H284" t="str">
        <f>_xlfn.XLOOKUP(Table6[[#This Row],[SKU]],tblProductMaster[SKU],tblProductMaster[Product])</f>
        <v>Toothbrush</v>
      </c>
      <c r="I284">
        <v>217</v>
      </c>
      <c r="J284">
        <f>_xlfn.XLOOKUP(G284,[1]!tblProductMaster[SKU],[1]!tblProductMaster[List Price])</f>
        <v>3.99</v>
      </c>
      <c r="K284" t="s">
        <v>86</v>
      </c>
      <c r="L284" s="3">
        <v>0</v>
      </c>
      <c r="M284" s="9">
        <f t="shared" si="20"/>
        <v>3.99</v>
      </c>
      <c r="N284" s="8">
        <f t="shared" si="21"/>
        <v>865.83</v>
      </c>
      <c r="O284" s="9">
        <f>_xlfn.XLOOKUP(G284,[1]!tblProductMaster[SKU],[1]!tblProductMaster[Unit Cost])</f>
        <v>1.5</v>
      </c>
      <c r="P284" s="8">
        <f t="shared" si="22"/>
        <v>325.5</v>
      </c>
      <c r="Q284" s="8">
        <f t="shared" si="23"/>
        <v>540.33000000000004</v>
      </c>
      <c r="R284" s="4">
        <f t="shared" si="24"/>
        <v>0.62406015037593987</v>
      </c>
      <c r="S284" t="s">
        <v>87</v>
      </c>
      <c r="T284">
        <f>Table6[[#This Row],[Discount]]*Table6[[#This Row],[List Price]]*Table6[[#This Row],[Units]]</f>
        <v>0</v>
      </c>
    </row>
    <row r="285" spans="1:20" x14ac:dyDescent="0.2">
      <c r="A285" t="s">
        <v>378</v>
      </c>
      <c r="B285" s="2">
        <v>46330.476671810728</v>
      </c>
      <c r="C285" t="s">
        <v>98</v>
      </c>
      <c r="D285" t="s">
        <v>104</v>
      </c>
      <c r="E285" t="s">
        <v>8</v>
      </c>
      <c r="F285" t="s">
        <v>15</v>
      </c>
      <c r="G285" t="s">
        <v>14</v>
      </c>
      <c r="H285" t="str">
        <f>_xlfn.XLOOKUP(Table6[[#This Row],[SKU]],tblProductMaster[SKU],tblProductMaster[Product])</f>
        <v>Shampoo 250ml</v>
      </c>
      <c r="I285">
        <v>690</v>
      </c>
      <c r="J285">
        <f>_xlfn.XLOOKUP(G285,[1]!tblProductMaster[SKU],[1]!tblProductMaster[List Price])</f>
        <v>4.99</v>
      </c>
      <c r="K285" t="s">
        <v>86</v>
      </c>
      <c r="L285" s="3">
        <v>0</v>
      </c>
      <c r="M285" s="9">
        <f t="shared" si="20"/>
        <v>4.99</v>
      </c>
      <c r="N285" s="8">
        <f t="shared" si="21"/>
        <v>3443.1000000000004</v>
      </c>
      <c r="O285" s="9">
        <f>_xlfn.XLOOKUP(G285,[1]!tblProductMaster[SKU],[1]!tblProductMaster[Unit Cost])</f>
        <v>2.1</v>
      </c>
      <c r="P285" s="8">
        <f t="shared" si="22"/>
        <v>1449</v>
      </c>
      <c r="Q285" s="8">
        <f t="shared" si="23"/>
        <v>1994.1000000000004</v>
      </c>
      <c r="R285" s="4">
        <f t="shared" si="24"/>
        <v>0.57915831663326656</v>
      </c>
      <c r="S285" t="s">
        <v>87</v>
      </c>
      <c r="T285">
        <f>Table6[[#This Row],[Discount]]*Table6[[#This Row],[List Price]]*Table6[[#This Row],[Units]]</f>
        <v>0</v>
      </c>
    </row>
    <row r="286" spans="1:20" x14ac:dyDescent="0.2">
      <c r="A286" t="s">
        <v>379</v>
      </c>
      <c r="B286" s="2">
        <v>46281.762194676674</v>
      </c>
      <c r="C286" t="s">
        <v>93</v>
      </c>
      <c r="D286" t="s">
        <v>96</v>
      </c>
      <c r="E286" t="s">
        <v>8</v>
      </c>
      <c r="F286" t="s">
        <v>18</v>
      </c>
      <c r="G286" t="s">
        <v>20</v>
      </c>
      <c r="H286" t="str">
        <f>_xlfn.XLOOKUP(Table6[[#This Row],[SKU]],tblProductMaster[SKU],tblProductMaster[Product])</f>
        <v>Hair Oil</v>
      </c>
      <c r="I286">
        <v>480</v>
      </c>
      <c r="J286">
        <f>_xlfn.XLOOKUP(G286,[1]!tblProductMaster[SKU],[1]!tblProductMaster[List Price])</f>
        <v>7.49</v>
      </c>
      <c r="K286" t="s">
        <v>89</v>
      </c>
      <c r="L286" s="3">
        <v>0.1</v>
      </c>
      <c r="M286" s="9">
        <f t="shared" si="20"/>
        <v>6.7410000000000005</v>
      </c>
      <c r="N286" s="8">
        <f t="shared" si="21"/>
        <v>3235.6800000000003</v>
      </c>
      <c r="O286" s="9">
        <f>_xlfn.XLOOKUP(G286,[1]!tblProductMaster[SKU],[1]!tblProductMaster[Unit Cost])</f>
        <v>3.1</v>
      </c>
      <c r="P286" s="8">
        <f t="shared" si="22"/>
        <v>1488</v>
      </c>
      <c r="Q286" s="8">
        <f t="shared" si="23"/>
        <v>1747.6800000000003</v>
      </c>
      <c r="R286" s="4">
        <f t="shared" si="24"/>
        <v>0.54012757751075513</v>
      </c>
      <c r="S286" t="s">
        <v>99</v>
      </c>
      <c r="T286">
        <f>Table6[[#This Row],[Discount]]*Table6[[#This Row],[List Price]]*Table6[[#This Row],[Units]]</f>
        <v>359.52000000000004</v>
      </c>
    </row>
    <row r="287" spans="1:20" x14ac:dyDescent="0.2">
      <c r="A287" t="s">
        <v>380</v>
      </c>
      <c r="B287" s="2">
        <v>46238.880138491018</v>
      </c>
      <c r="C287" t="s">
        <v>84</v>
      </c>
      <c r="D287" t="s">
        <v>96</v>
      </c>
      <c r="E287" t="s">
        <v>8</v>
      </c>
      <c r="F287" t="s">
        <v>18</v>
      </c>
      <c r="G287" t="s">
        <v>20</v>
      </c>
      <c r="H287" t="str">
        <f>_xlfn.XLOOKUP(Table6[[#This Row],[SKU]],tblProductMaster[SKU],tblProductMaster[Product])</f>
        <v>Hair Oil</v>
      </c>
      <c r="I287">
        <v>637</v>
      </c>
      <c r="J287">
        <f>_xlfn.XLOOKUP(G287,[1]!tblProductMaster[SKU],[1]!tblProductMaster[List Price])</f>
        <v>7.49</v>
      </c>
      <c r="K287" t="s">
        <v>86</v>
      </c>
      <c r="L287" s="3">
        <v>0</v>
      </c>
      <c r="M287" s="9">
        <f t="shared" si="20"/>
        <v>7.49</v>
      </c>
      <c r="N287" s="8">
        <f t="shared" si="21"/>
        <v>4771.13</v>
      </c>
      <c r="O287" s="9">
        <f>_xlfn.XLOOKUP(G287,[1]!tblProductMaster[SKU],[1]!tblProductMaster[Unit Cost])</f>
        <v>3.1</v>
      </c>
      <c r="P287" s="8">
        <f t="shared" si="22"/>
        <v>1974.7</v>
      </c>
      <c r="Q287" s="8">
        <f t="shared" si="23"/>
        <v>2796.4300000000003</v>
      </c>
      <c r="R287" s="4">
        <f t="shared" si="24"/>
        <v>0.58611481975967961</v>
      </c>
      <c r="S287" t="s">
        <v>87</v>
      </c>
      <c r="T287">
        <f>Table6[[#This Row],[Discount]]*Table6[[#This Row],[List Price]]*Table6[[#This Row],[Units]]</f>
        <v>0</v>
      </c>
    </row>
    <row r="288" spans="1:20" x14ac:dyDescent="0.2">
      <c r="A288" t="s">
        <v>381</v>
      </c>
      <c r="B288" s="2">
        <v>46372.954830756957</v>
      </c>
      <c r="C288" t="s">
        <v>84</v>
      </c>
      <c r="D288" t="s">
        <v>85</v>
      </c>
      <c r="E288" t="s">
        <v>25</v>
      </c>
      <c r="F288" t="s">
        <v>7</v>
      </c>
      <c r="G288" t="s">
        <v>33</v>
      </c>
      <c r="H288" t="str">
        <f>_xlfn.XLOOKUP(Table6[[#This Row],[SKU]],tblProductMaster[SKU],tblProductMaster[Product])</f>
        <v>Sunscreen 200ml</v>
      </c>
      <c r="I288">
        <v>404</v>
      </c>
      <c r="J288">
        <f>_xlfn.XLOOKUP(G288,[1]!tblProductMaster[SKU],[1]!tblProductMaster[List Price])</f>
        <v>10.99</v>
      </c>
      <c r="K288" t="s">
        <v>86</v>
      </c>
      <c r="L288" s="3">
        <v>0</v>
      </c>
      <c r="M288" s="9">
        <f t="shared" si="20"/>
        <v>10.99</v>
      </c>
      <c r="N288" s="8">
        <f t="shared" si="21"/>
        <v>4439.96</v>
      </c>
      <c r="O288" s="9">
        <f>_xlfn.XLOOKUP(G288,[1]!tblProductMaster[SKU],[1]!tblProductMaster[Unit Cost])</f>
        <v>4.5999999999999996</v>
      </c>
      <c r="P288" s="8">
        <f t="shared" si="22"/>
        <v>1858.3999999999999</v>
      </c>
      <c r="Q288" s="8">
        <f t="shared" si="23"/>
        <v>2581.5600000000004</v>
      </c>
      <c r="R288" s="4">
        <f t="shared" si="24"/>
        <v>0.58143767060964524</v>
      </c>
      <c r="S288" t="s">
        <v>87</v>
      </c>
      <c r="T288">
        <f>Table6[[#This Row],[Discount]]*Table6[[#This Row],[List Price]]*Table6[[#This Row],[Units]]</f>
        <v>0</v>
      </c>
    </row>
    <row r="289" spans="1:20" x14ac:dyDescent="0.2">
      <c r="A289" t="s">
        <v>382</v>
      </c>
      <c r="B289" s="2">
        <v>46380.195178352755</v>
      </c>
      <c r="C289" t="s">
        <v>98</v>
      </c>
      <c r="D289" t="s">
        <v>104</v>
      </c>
      <c r="E289" t="s">
        <v>40</v>
      </c>
      <c r="F289" t="s">
        <v>7</v>
      </c>
      <c r="G289" t="s">
        <v>48</v>
      </c>
      <c r="H289" t="str">
        <f>_xlfn.XLOOKUP(Table6[[#This Row],[SKU]],tblProductMaster[SKU],tblProductMaster[Product])</f>
        <v>Color Detergent</v>
      </c>
      <c r="I289">
        <v>284</v>
      </c>
      <c r="J289">
        <f>_xlfn.XLOOKUP(G289,[1]!tblProductMaster[SKU],[1]!tblProductMaster[List Price])</f>
        <v>9.49</v>
      </c>
      <c r="K289" t="s">
        <v>86</v>
      </c>
      <c r="L289" s="3">
        <v>0</v>
      </c>
      <c r="M289" s="9">
        <f t="shared" si="20"/>
        <v>9.49</v>
      </c>
      <c r="N289" s="8">
        <f t="shared" si="21"/>
        <v>2695.16</v>
      </c>
      <c r="O289" s="9">
        <f>_xlfn.XLOOKUP(G289,[1]!tblProductMaster[SKU],[1]!tblProductMaster[Unit Cost])</f>
        <v>4</v>
      </c>
      <c r="P289" s="8">
        <f t="shared" si="22"/>
        <v>1136</v>
      </c>
      <c r="Q289" s="8">
        <f t="shared" si="23"/>
        <v>1559.1599999999999</v>
      </c>
      <c r="R289" s="4">
        <f t="shared" si="24"/>
        <v>0.57850368809272912</v>
      </c>
      <c r="S289" t="s">
        <v>87</v>
      </c>
      <c r="T289">
        <f>Table6[[#This Row],[Discount]]*Table6[[#This Row],[List Price]]*Table6[[#This Row],[Units]]</f>
        <v>0</v>
      </c>
    </row>
    <row r="290" spans="1:20" x14ac:dyDescent="0.2">
      <c r="A290" t="s">
        <v>383</v>
      </c>
      <c r="B290" s="2">
        <v>46085.549332331924</v>
      </c>
      <c r="C290" t="s">
        <v>98</v>
      </c>
      <c r="D290" t="s">
        <v>96</v>
      </c>
      <c r="E290" t="s">
        <v>40</v>
      </c>
      <c r="F290" t="s">
        <v>18</v>
      </c>
      <c r="G290" t="s">
        <v>50</v>
      </c>
      <c r="H290" t="str">
        <f>_xlfn.XLOOKUP(Table6[[#This Row],[SKU]],tblProductMaster[SKU],tblProductMaster[Product])</f>
        <v>Sensitive Detergent</v>
      </c>
      <c r="I290">
        <v>708</v>
      </c>
      <c r="J290">
        <f>_xlfn.XLOOKUP(G290,[1]!tblProductMaster[SKU],[1]!tblProductMaster[List Price])</f>
        <v>8.99</v>
      </c>
      <c r="K290" t="s">
        <v>86</v>
      </c>
      <c r="L290" s="3">
        <v>0</v>
      </c>
      <c r="M290" s="9">
        <f t="shared" si="20"/>
        <v>8.99</v>
      </c>
      <c r="N290" s="8">
        <f t="shared" si="21"/>
        <v>6364.92</v>
      </c>
      <c r="O290" s="9">
        <f>_xlfn.XLOOKUP(G290,[1]!tblProductMaster[SKU],[1]!tblProductMaster[Unit Cost])</f>
        <v>4</v>
      </c>
      <c r="P290" s="8">
        <f t="shared" si="22"/>
        <v>2832</v>
      </c>
      <c r="Q290" s="8">
        <f t="shared" si="23"/>
        <v>3532.92</v>
      </c>
      <c r="R290" s="4">
        <f t="shared" si="24"/>
        <v>0.55506117908787544</v>
      </c>
      <c r="S290" t="s">
        <v>87</v>
      </c>
      <c r="T290">
        <f>Table6[[#This Row],[Discount]]*Table6[[#This Row],[List Price]]*Table6[[#This Row],[Units]]</f>
        <v>0</v>
      </c>
    </row>
    <row r="291" spans="1:20" x14ac:dyDescent="0.2">
      <c r="A291" t="s">
        <v>384</v>
      </c>
      <c r="B291" s="2">
        <v>46357.075070864281</v>
      </c>
      <c r="C291" t="s">
        <v>84</v>
      </c>
      <c r="D291" t="s">
        <v>96</v>
      </c>
      <c r="E291" t="s">
        <v>40</v>
      </c>
      <c r="F291" t="s">
        <v>15</v>
      </c>
      <c r="G291" t="s">
        <v>46</v>
      </c>
      <c r="H291" t="str">
        <f>_xlfn.XLOOKUP(Table6[[#This Row],[SKU]],tblProductMaster[SKU],tblProductMaster[Product])</f>
        <v>Stain Remover</v>
      </c>
      <c r="I291">
        <v>421</v>
      </c>
      <c r="J291">
        <f>_xlfn.XLOOKUP(G291,[1]!tblProductMaster[SKU],[1]!tblProductMaster[List Price])</f>
        <v>5.99</v>
      </c>
      <c r="K291" t="s">
        <v>89</v>
      </c>
      <c r="L291" s="3">
        <v>0.3</v>
      </c>
      <c r="M291" s="9">
        <f t="shared" si="20"/>
        <v>4.1929999999999996</v>
      </c>
      <c r="N291" s="8">
        <f t="shared" si="21"/>
        <v>1765.2529999999999</v>
      </c>
      <c r="O291" s="9">
        <f>_xlfn.XLOOKUP(G291,[1]!tblProductMaster[SKU],[1]!tblProductMaster[Unit Cost])</f>
        <v>2.5</v>
      </c>
      <c r="P291" s="8">
        <f t="shared" si="22"/>
        <v>1052.5</v>
      </c>
      <c r="Q291" s="8">
        <f t="shared" si="23"/>
        <v>712.75299999999993</v>
      </c>
      <c r="R291" s="4">
        <f t="shared" si="24"/>
        <v>0.40376818507035533</v>
      </c>
      <c r="S291" t="s">
        <v>94</v>
      </c>
      <c r="T291">
        <f>Table6[[#This Row],[Discount]]*Table6[[#This Row],[List Price]]*Table6[[#This Row],[Units]]</f>
        <v>756.53699999999992</v>
      </c>
    </row>
    <row r="292" spans="1:20" x14ac:dyDescent="0.2">
      <c r="A292" t="s">
        <v>385</v>
      </c>
      <c r="B292" s="2">
        <v>46075.739569260208</v>
      </c>
      <c r="C292" t="s">
        <v>84</v>
      </c>
      <c r="D292" t="s">
        <v>96</v>
      </c>
      <c r="E292" t="s">
        <v>56</v>
      </c>
      <c r="F292" t="s">
        <v>18</v>
      </c>
      <c r="G292" t="s">
        <v>60</v>
      </c>
      <c r="H292" t="str">
        <f>_xlfn.XLOOKUP(Table6[[#This Row],[SKU]],tblProductMaster[SKU],tblProductMaster[Product])</f>
        <v>Sensitive Toothpaste</v>
      </c>
      <c r="I292">
        <v>547</v>
      </c>
      <c r="J292">
        <f>_xlfn.XLOOKUP(G292,[1]!tblProductMaster[SKU],[1]!tblProductMaster[List Price])</f>
        <v>4.49</v>
      </c>
      <c r="K292" t="s">
        <v>86</v>
      </c>
      <c r="L292" s="3">
        <v>0</v>
      </c>
      <c r="M292" s="9">
        <f t="shared" si="20"/>
        <v>4.49</v>
      </c>
      <c r="N292" s="8">
        <f t="shared" si="21"/>
        <v>2456.0300000000002</v>
      </c>
      <c r="O292" s="9">
        <f>_xlfn.XLOOKUP(G292,[1]!tblProductMaster[SKU],[1]!tblProductMaster[Unit Cost])</f>
        <v>1.7</v>
      </c>
      <c r="P292" s="8">
        <f t="shared" si="22"/>
        <v>929.9</v>
      </c>
      <c r="Q292" s="8">
        <f t="shared" si="23"/>
        <v>1526.13</v>
      </c>
      <c r="R292" s="4">
        <f t="shared" si="24"/>
        <v>0.62138084632516699</v>
      </c>
      <c r="S292" t="s">
        <v>87</v>
      </c>
      <c r="T292">
        <f>Table6[[#This Row],[Discount]]*Table6[[#This Row],[List Price]]*Table6[[#This Row],[Units]]</f>
        <v>0</v>
      </c>
    </row>
    <row r="293" spans="1:20" x14ac:dyDescent="0.2">
      <c r="A293" t="s">
        <v>386</v>
      </c>
      <c r="B293" s="2">
        <v>46091.678719590927</v>
      </c>
      <c r="C293" t="s">
        <v>98</v>
      </c>
      <c r="D293" t="s">
        <v>104</v>
      </c>
      <c r="E293" t="s">
        <v>8</v>
      </c>
      <c r="F293" t="s">
        <v>18</v>
      </c>
      <c r="G293" t="s">
        <v>17</v>
      </c>
      <c r="H293" t="str">
        <f>_xlfn.XLOOKUP(Table6[[#This Row],[SKU]],tblProductMaster[SKU],tblProductMaster[Product])</f>
        <v>Anti-Dandruff Shampoo</v>
      </c>
      <c r="I293">
        <v>380</v>
      </c>
      <c r="J293">
        <f>_xlfn.XLOOKUP(G293,[1]!tblProductMaster[SKU],[1]!tblProductMaster[List Price])</f>
        <v>6.49</v>
      </c>
      <c r="K293" t="s">
        <v>86</v>
      </c>
      <c r="L293" s="3">
        <v>0</v>
      </c>
      <c r="M293" s="9">
        <f t="shared" si="20"/>
        <v>6.49</v>
      </c>
      <c r="N293" s="8">
        <f t="shared" si="21"/>
        <v>2466.2000000000003</v>
      </c>
      <c r="O293" s="9">
        <f>_xlfn.XLOOKUP(G293,[1]!tblProductMaster[SKU],[1]!tblProductMaster[Unit Cost])</f>
        <v>2.8</v>
      </c>
      <c r="P293" s="8">
        <f t="shared" si="22"/>
        <v>1064</v>
      </c>
      <c r="Q293" s="8">
        <f t="shared" si="23"/>
        <v>1402.2000000000003</v>
      </c>
      <c r="R293" s="4">
        <f t="shared" si="24"/>
        <v>0.5685670261941449</v>
      </c>
      <c r="S293" t="s">
        <v>87</v>
      </c>
      <c r="T293">
        <f>Table6[[#This Row],[Discount]]*Table6[[#This Row],[List Price]]*Table6[[#This Row],[Units]]</f>
        <v>0</v>
      </c>
    </row>
    <row r="294" spans="1:20" x14ac:dyDescent="0.2">
      <c r="A294" t="s">
        <v>387</v>
      </c>
      <c r="B294" s="2">
        <v>46234.887337716704</v>
      </c>
      <c r="C294" t="s">
        <v>84</v>
      </c>
      <c r="D294" t="s">
        <v>104</v>
      </c>
      <c r="E294" t="s">
        <v>56</v>
      </c>
      <c r="F294" t="s">
        <v>7</v>
      </c>
      <c r="G294" t="s">
        <v>66</v>
      </c>
      <c r="H294" t="str">
        <f>_xlfn.XLOOKUP(Table6[[#This Row],[SKU]],tblProductMaster[SKU],tblProductMaster[Product])</f>
        <v>Electric Brush Heads</v>
      </c>
      <c r="I294">
        <v>697</v>
      </c>
      <c r="J294">
        <f>_xlfn.XLOOKUP(G294,[1]!tblProductMaster[SKU],[1]!tblProductMaster[List Price])</f>
        <v>12.99</v>
      </c>
      <c r="K294" t="s">
        <v>89</v>
      </c>
      <c r="L294" s="3">
        <v>0.1</v>
      </c>
      <c r="M294" s="9">
        <f t="shared" si="20"/>
        <v>11.691000000000001</v>
      </c>
      <c r="N294" s="8">
        <f t="shared" si="21"/>
        <v>8148.6270000000004</v>
      </c>
      <c r="O294" s="9">
        <f>_xlfn.XLOOKUP(G294,[1]!tblProductMaster[SKU],[1]!tblProductMaster[Unit Cost])</f>
        <v>5.2</v>
      </c>
      <c r="P294" s="8">
        <f t="shared" si="22"/>
        <v>3624.4</v>
      </c>
      <c r="Q294" s="8">
        <f t="shared" si="23"/>
        <v>4524.2270000000008</v>
      </c>
      <c r="R294" s="4">
        <f t="shared" si="24"/>
        <v>0.55521341202634511</v>
      </c>
      <c r="S294" t="s">
        <v>90</v>
      </c>
      <c r="T294">
        <f>Table6[[#This Row],[Discount]]*Table6[[#This Row],[List Price]]*Table6[[#This Row],[Units]]</f>
        <v>905.40300000000013</v>
      </c>
    </row>
    <row r="295" spans="1:20" x14ac:dyDescent="0.2">
      <c r="A295" t="s">
        <v>388</v>
      </c>
      <c r="B295" s="2">
        <v>46169.430116288233</v>
      </c>
      <c r="C295" t="s">
        <v>84</v>
      </c>
      <c r="D295" t="s">
        <v>104</v>
      </c>
      <c r="E295" t="s">
        <v>56</v>
      </c>
      <c r="F295" t="s">
        <v>18</v>
      </c>
      <c r="G295" t="s">
        <v>60</v>
      </c>
      <c r="H295" t="str">
        <f>_xlfn.XLOOKUP(Table6[[#This Row],[SKU]],tblProductMaster[SKU],tblProductMaster[Product])</f>
        <v>Sensitive Toothpaste</v>
      </c>
      <c r="I295">
        <v>822</v>
      </c>
      <c r="J295">
        <f>_xlfn.XLOOKUP(G295,[1]!tblProductMaster[SKU],[1]!tblProductMaster[List Price])</f>
        <v>4.49</v>
      </c>
      <c r="K295" t="s">
        <v>89</v>
      </c>
      <c r="L295" s="3">
        <v>0.1</v>
      </c>
      <c r="M295" s="9">
        <f t="shared" si="20"/>
        <v>4.0410000000000004</v>
      </c>
      <c r="N295" s="8">
        <f t="shared" si="21"/>
        <v>3321.7020000000002</v>
      </c>
      <c r="O295" s="9">
        <f>_xlfn.XLOOKUP(G295,[1]!tblProductMaster[SKU],[1]!tblProductMaster[Unit Cost])</f>
        <v>1.7</v>
      </c>
      <c r="P295" s="8">
        <f t="shared" si="22"/>
        <v>1397.3999999999999</v>
      </c>
      <c r="Q295" s="8">
        <f t="shared" si="23"/>
        <v>1924.3020000000004</v>
      </c>
      <c r="R295" s="4">
        <f t="shared" si="24"/>
        <v>0.57931205147240794</v>
      </c>
      <c r="S295" t="s">
        <v>99</v>
      </c>
      <c r="T295">
        <f>Table6[[#This Row],[Discount]]*Table6[[#This Row],[List Price]]*Table6[[#This Row],[Units]]</f>
        <v>369.07800000000003</v>
      </c>
    </row>
    <row r="296" spans="1:20" x14ac:dyDescent="0.2">
      <c r="A296" t="s">
        <v>389</v>
      </c>
      <c r="B296" s="2">
        <v>46230.43585940139</v>
      </c>
      <c r="C296" t="s">
        <v>93</v>
      </c>
      <c r="D296" t="s">
        <v>96</v>
      </c>
      <c r="E296" t="s">
        <v>40</v>
      </c>
      <c r="F296" t="s">
        <v>15</v>
      </c>
      <c r="G296" t="s">
        <v>46</v>
      </c>
      <c r="H296" t="str">
        <f>_xlfn.XLOOKUP(Table6[[#This Row],[SKU]],tblProductMaster[SKU],tblProductMaster[Product])</f>
        <v>Stain Remover</v>
      </c>
      <c r="I296">
        <v>688</v>
      </c>
      <c r="J296">
        <f>_xlfn.XLOOKUP(G296,[1]!tblProductMaster[SKU],[1]!tblProductMaster[List Price])</f>
        <v>5.99</v>
      </c>
      <c r="K296" t="s">
        <v>86</v>
      </c>
      <c r="L296" s="3">
        <v>0</v>
      </c>
      <c r="M296" s="9">
        <f t="shared" si="20"/>
        <v>5.99</v>
      </c>
      <c r="N296" s="8">
        <f t="shared" si="21"/>
        <v>4121.12</v>
      </c>
      <c r="O296" s="9">
        <f>_xlfn.XLOOKUP(G296,[1]!tblProductMaster[SKU],[1]!tblProductMaster[Unit Cost])</f>
        <v>2.5</v>
      </c>
      <c r="P296" s="8">
        <f t="shared" si="22"/>
        <v>1720</v>
      </c>
      <c r="Q296" s="8">
        <f t="shared" si="23"/>
        <v>2401.12</v>
      </c>
      <c r="R296" s="4">
        <f t="shared" si="24"/>
        <v>0.58263772954924875</v>
      </c>
      <c r="S296" t="s">
        <v>87</v>
      </c>
      <c r="T296">
        <f>Table6[[#This Row],[Discount]]*Table6[[#This Row],[List Price]]*Table6[[#This Row],[Units]]</f>
        <v>0</v>
      </c>
    </row>
    <row r="297" spans="1:20" x14ac:dyDescent="0.2">
      <c r="A297" t="s">
        <v>390</v>
      </c>
      <c r="B297" s="2">
        <v>46118.904251149906</v>
      </c>
      <c r="C297" t="s">
        <v>98</v>
      </c>
      <c r="D297" t="s">
        <v>96</v>
      </c>
      <c r="E297" t="s">
        <v>40</v>
      </c>
      <c r="F297" t="s">
        <v>15</v>
      </c>
      <c r="G297" t="s">
        <v>39</v>
      </c>
      <c r="H297" t="str">
        <f>_xlfn.XLOOKUP(Table6[[#This Row],[SKU]],tblProductMaster[SKU],tblProductMaster[Product])</f>
        <v>Detergent 1L</v>
      </c>
      <c r="I297">
        <v>796</v>
      </c>
      <c r="J297">
        <f>_xlfn.XLOOKUP(G297,[1]!tblProductMaster[SKU],[1]!tblProductMaster[List Price])</f>
        <v>8.49</v>
      </c>
      <c r="K297" t="s">
        <v>86</v>
      </c>
      <c r="L297" s="3">
        <v>0</v>
      </c>
      <c r="M297" s="9">
        <f t="shared" si="20"/>
        <v>8.49</v>
      </c>
      <c r="N297" s="8">
        <f t="shared" si="21"/>
        <v>6758.04</v>
      </c>
      <c r="O297" s="9">
        <f>_xlfn.XLOOKUP(G297,[1]!tblProductMaster[SKU],[1]!tblProductMaster[Unit Cost])</f>
        <v>3.8</v>
      </c>
      <c r="P297" s="8">
        <f t="shared" si="22"/>
        <v>3024.7999999999997</v>
      </c>
      <c r="Q297" s="8">
        <f t="shared" si="23"/>
        <v>3733.2400000000002</v>
      </c>
      <c r="R297" s="4">
        <f t="shared" si="24"/>
        <v>0.55241460541813903</v>
      </c>
      <c r="S297" t="s">
        <v>87</v>
      </c>
      <c r="T297">
        <f>Table6[[#This Row],[Discount]]*Table6[[#This Row],[List Price]]*Table6[[#This Row],[Units]]</f>
        <v>0</v>
      </c>
    </row>
    <row r="298" spans="1:20" x14ac:dyDescent="0.2">
      <c r="A298" t="s">
        <v>391</v>
      </c>
      <c r="B298" s="2">
        <v>46320.31619537501</v>
      </c>
      <c r="C298" t="s">
        <v>84</v>
      </c>
      <c r="D298" t="s">
        <v>104</v>
      </c>
      <c r="E298" t="s">
        <v>56</v>
      </c>
      <c r="F298" t="s">
        <v>7</v>
      </c>
      <c r="G298" t="s">
        <v>58</v>
      </c>
      <c r="H298" t="str">
        <f>_xlfn.XLOOKUP(Table6[[#This Row],[SKU]],tblProductMaster[SKU],tblProductMaster[Product])</f>
        <v>Whitening Toothpaste</v>
      </c>
      <c r="I298">
        <v>793</v>
      </c>
      <c r="J298">
        <f>_xlfn.XLOOKUP(G298,[1]!tblProductMaster[SKU],[1]!tblProductMaster[List Price])</f>
        <v>4.99</v>
      </c>
      <c r="K298" t="s">
        <v>86</v>
      </c>
      <c r="L298" s="3">
        <v>0</v>
      </c>
      <c r="M298" s="9">
        <f t="shared" si="20"/>
        <v>4.99</v>
      </c>
      <c r="N298" s="8">
        <f t="shared" si="21"/>
        <v>3957.07</v>
      </c>
      <c r="O298" s="9">
        <f>_xlfn.XLOOKUP(G298,[1]!tblProductMaster[SKU],[1]!tblProductMaster[Unit Cost])</f>
        <v>1.8</v>
      </c>
      <c r="P298" s="8">
        <f t="shared" si="22"/>
        <v>1427.4</v>
      </c>
      <c r="Q298" s="8">
        <f t="shared" si="23"/>
        <v>2529.67</v>
      </c>
      <c r="R298" s="4">
        <f t="shared" si="24"/>
        <v>0.63927855711422843</v>
      </c>
      <c r="S298" t="s">
        <v>87</v>
      </c>
      <c r="T298">
        <f>Table6[[#This Row],[Discount]]*Table6[[#This Row],[List Price]]*Table6[[#This Row],[Units]]</f>
        <v>0</v>
      </c>
    </row>
    <row r="299" spans="1:20" x14ac:dyDescent="0.2">
      <c r="A299" t="s">
        <v>392</v>
      </c>
      <c r="B299" s="2">
        <v>46216.154360823333</v>
      </c>
      <c r="C299" t="s">
        <v>98</v>
      </c>
      <c r="D299" t="s">
        <v>96</v>
      </c>
      <c r="E299" t="s">
        <v>56</v>
      </c>
      <c r="F299" t="s">
        <v>18</v>
      </c>
      <c r="G299" t="s">
        <v>68</v>
      </c>
      <c r="H299" t="str">
        <f>_xlfn.XLOOKUP(Table6[[#This Row],[SKU]],tblProductMaster[SKU],tblProductMaster[Product])</f>
        <v>Kids Toothpaste</v>
      </c>
      <c r="I299">
        <v>542</v>
      </c>
      <c r="J299">
        <f>_xlfn.XLOOKUP(G299,[1]!tblProductMaster[SKU],[1]!tblProductMaster[List Price])</f>
        <v>3.29</v>
      </c>
      <c r="K299" t="s">
        <v>86</v>
      </c>
      <c r="L299" s="3">
        <v>0</v>
      </c>
      <c r="M299" s="9">
        <f t="shared" si="20"/>
        <v>3.29</v>
      </c>
      <c r="N299" s="8">
        <f t="shared" si="21"/>
        <v>1783.18</v>
      </c>
      <c r="O299" s="9">
        <f>_xlfn.XLOOKUP(G299,[1]!tblProductMaster[SKU],[1]!tblProductMaster[Unit Cost])</f>
        <v>1.1000000000000001</v>
      </c>
      <c r="P299" s="8">
        <f t="shared" si="22"/>
        <v>596.20000000000005</v>
      </c>
      <c r="Q299" s="8">
        <f t="shared" si="23"/>
        <v>1186.98</v>
      </c>
      <c r="R299" s="4">
        <f t="shared" si="24"/>
        <v>0.66565349544072949</v>
      </c>
      <c r="S299" t="s">
        <v>87</v>
      </c>
      <c r="T299">
        <f>Table6[[#This Row],[Discount]]*Table6[[#This Row],[List Price]]*Table6[[#This Row],[Units]]</f>
        <v>0</v>
      </c>
    </row>
    <row r="300" spans="1:20" x14ac:dyDescent="0.2">
      <c r="A300" t="s">
        <v>393</v>
      </c>
      <c r="B300" s="2">
        <v>46094.396314893005</v>
      </c>
      <c r="C300" t="s">
        <v>84</v>
      </c>
      <c r="D300" t="s">
        <v>85</v>
      </c>
      <c r="E300" t="s">
        <v>8</v>
      </c>
      <c r="F300" t="s">
        <v>7</v>
      </c>
      <c r="G300" t="s">
        <v>6</v>
      </c>
      <c r="H300" t="str">
        <f>_xlfn.XLOOKUP(Table6[[#This Row],[SKU]],tblProductMaster[SKU],tblProductMaster[Product])</f>
        <v>Shampoo 250ml</v>
      </c>
      <c r="I300">
        <v>528</v>
      </c>
      <c r="J300">
        <f>_xlfn.XLOOKUP(G300,[1]!tblProductMaster[SKU],[1]!tblProductMaster[List Price])</f>
        <v>5.99</v>
      </c>
      <c r="K300" t="s">
        <v>89</v>
      </c>
      <c r="L300" s="3">
        <v>0.3</v>
      </c>
      <c r="M300" s="9">
        <f t="shared" si="20"/>
        <v>4.1929999999999996</v>
      </c>
      <c r="N300" s="8">
        <f t="shared" si="21"/>
        <v>2213.904</v>
      </c>
      <c r="O300" s="9">
        <f>_xlfn.XLOOKUP(G300,[1]!tblProductMaster[SKU],[1]!tblProductMaster[Unit Cost])</f>
        <v>2.4</v>
      </c>
      <c r="P300" s="8">
        <f t="shared" si="22"/>
        <v>1267.2</v>
      </c>
      <c r="Q300" s="8">
        <f t="shared" si="23"/>
        <v>946.70399999999995</v>
      </c>
      <c r="R300" s="4">
        <f t="shared" si="24"/>
        <v>0.42761745766754111</v>
      </c>
      <c r="S300" t="s">
        <v>99</v>
      </c>
      <c r="T300">
        <f>Table6[[#This Row],[Discount]]*Table6[[#This Row],[List Price]]*Table6[[#This Row],[Units]]</f>
        <v>948.81599999999992</v>
      </c>
    </row>
    <row r="301" spans="1:20" x14ac:dyDescent="0.2">
      <c r="A301" t="s">
        <v>394</v>
      </c>
      <c r="B301" s="2">
        <v>46095.209312844163</v>
      </c>
      <c r="C301" t="s">
        <v>93</v>
      </c>
      <c r="D301" t="s">
        <v>96</v>
      </c>
      <c r="E301" t="s">
        <v>25</v>
      </c>
      <c r="F301" t="s">
        <v>18</v>
      </c>
      <c r="G301" t="s">
        <v>27</v>
      </c>
      <c r="H301" t="str">
        <f>_xlfn.XLOOKUP(Table6[[#This Row],[SKU]],tblProductMaster[SKU],tblProductMaster[Product])</f>
        <v>Face Cream 50ml</v>
      </c>
      <c r="I301">
        <v>663</v>
      </c>
      <c r="J301">
        <f>_xlfn.XLOOKUP(G301,[1]!tblProductMaster[SKU],[1]!tblProductMaster[List Price])</f>
        <v>9.99</v>
      </c>
      <c r="K301" t="s">
        <v>86</v>
      </c>
      <c r="L301" s="3">
        <v>0</v>
      </c>
      <c r="M301" s="9">
        <f t="shared" si="20"/>
        <v>9.99</v>
      </c>
      <c r="N301" s="8">
        <f t="shared" si="21"/>
        <v>6623.37</v>
      </c>
      <c r="O301" s="9">
        <f>_xlfn.XLOOKUP(G301,[1]!tblProductMaster[SKU],[1]!tblProductMaster[Unit Cost])</f>
        <v>4.2</v>
      </c>
      <c r="P301" s="8">
        <f t="shared" si="22"/>
        <v>2784.6</v>
      </c>
      <c r="Q301" s="8">
        <f t="shared" si="23"/>
        <v>3838.77</v>
      </c>
      <c r="R301" s="4">
        <f t="shared" si="24"/>
        <v>0.57957957957957962</v>
      </c>
      <c r="S301" t="s">
        <v>87</v>
      </c>
      <c r="T301">
        <f>Table6[[#This Row],[Discount]]*Table6[[#This Row],[List Price]]*Table6[[#This Row],[Units]]</f>
        <v>0</v>
      </c>
    </row>
    <row r="302" spans="1:20" x14ac:dyDescent="0.2">
      <c r="A302" t="s">
        <v>395</v>
      </c>
      <c r="B302" s="2">
        <v>46048.025544542281</v>
      </c>
      <c r="C302" t="s">
        <v>98</v>
      </c>
      <c r="D302" t="s">
        <v>96</v>
      </c>
      <c r="E302" t="s">
        <v>25</v>
      </c>
      <c r="F302" t="s">
        <v>18</v>
      </c>
      <c r="G302" t="s">
        <v>37</v>
      </c>
      <c r="H302" t="str">
        <f>_xlfn.XLOOKUP(Table6[[#This Row],[SKU]],tblProductMaster[SKU],tblProductMaster[Product])</f>
        <v>Body Wash</v>
      </c>
      <c r="I302">
        <v>257</v>
      </c>
      <c r="J302">
        <f>_xlfn.XLOOKUP(G302,[1]!tblProductMaster[SKU],[1]!tblProductMaster[List Price])</f>
        <v>5.49</v>
      </c>
      <c r="K302" t="s">
        <v>86</v>
      </c>
      <c r="L302" s="3">
        <v>0</v>
      </c>
      <c r="M302" s="9">
        <f t="shared" si="20"/>
        <v>5.49</v>
      </c>
      <c r="N302" s="8">
        <f t="shared" si="21"/>
        <v>1410.93</v>
      </c>
      <c r="O302" s="9">
        <f>_xlfn.XLOOKUP(G302,[1]!tblProductMaster[SKU],[1]!tblProductMaster[Unit Cost])</f>
        <v>2.2999999999999998</v>
      </c>
      <c r="P302" s="8">
        <f t="shared" si="22"/>
        <v>591.09999999999991</v>
      </c>
      <c r="Q302" s="8">
        <f t="shared" si="23"/>
        <v>819.83000000000015</v>
      </c>
      <c r="R302" s="4">
        <f t="shared" si="24"/>
        <v>0.58105646630236807</v>
      </c>
      <c r="S302" t="s">
        <v>87</v>
      </c>
      <c r="T302">
        <f>Table6[[#This Row],[Discount]]*Table6[[#This Row],[List Price]]*Table6[[#This Row],[Units]]</f>
        <v>0</v>
      </c>
    </row>
    <row r="303" spans="1:20" x14ac:dyDescent="0.2">
      <c r="A303" t="s">
        <v>396</v>
      </c>
      <c r="B303" s="2">
        <v>46152.383282386429</v>
      </c>
      <c r="C303" t="s">
        <v>93</v>
      </c>
      <c r="D303" t="s">
        <v>96</v>
      </c>
      <c r="E303" t="s">
        <v>40</v>
      </c>
      <c r="F303" t="s">
        <v>15</v>
      </c>
      <c r="G303" t="s">
        <v>39</v>
      </c>
      <c r="H303" t="str">
        <f>_xlfn.XLOOKUP(Table6[[#This Row],[SKU]],tblProductMaster[SKU],tblProductMaster[Product])</f>
        <v>Detergent 1L</v>
      </c>
      <c r="I303">
        <v>350</v>
      </c>
      <c r="J303">
        <f>_xlfn.XLOOKUP(G303,[1]!tblProductMaster[SKU],[1]!tblProductMaster[List Price])</f>
        <v>8.49</v>
      </c>
      <c r="K303" t="s">
        <v>86</v>
      </c>
      <c r="L303" s="3">
        <v>0</v>
      </c>
      <c r="M303" s="9">
        <f t="shared" si="20"/>
        <v>8.49</v>
      </c>
      <c r="N303" s="8">
        <f t="shared" si="21"/>
        <v>2971.5</v>
      </c>
      <c r="O303" s="9">
        <f>_xlfn.XLOOKUP(G303,[1]!tblProductMaster[SKU],[1]!tblProductMaster[Unit Cost])</f>
        <v>3.8</v>
      </c>
      <c r="P303" s="8">
        <f t="shared" si="22"/>
        <v>1330</v>
      </c>
      <c r="Q303" s="8">
        <f t="shared" si="23"/>
        <v>1641.5</v>
      </c>
      <c r="R303" s="4">
        <f t="shared" si="24"/>
        <v>0.55241460541813903</v>
      </c>
      <c r="S303" t="s">
        <v>87</v>
      </c>
      <c r="T303">
        <f>Table6[[#This Row],[Discount]]*Table6[[#This Row],[List Price]]*Table6[[#This Row],[Units]]</f>
        <v>0</v>
      </c>
    </row>
    <row r="304" spans="1:20" x14ac:dyDescent="0.2">
      <c r="A304" t="s">
        <v>397</v>
      </c>
      <c r="B304" s="2">
        <v>46247.727012275493</v>
      </c>
      <c r="C304" t="s">
        <v>98</v>
      </c>
      <c r="D304" t="s">
        <v>85</v>
      </c>
      <c r="E304" t="s">
        <v>40</v>
      </c>
      <c r="F304" t="s">
        <v>7</v>
      </c>
      <c r="G304" t="s">
        <v>44</v>
      </c>
      <c r="H304" t="str">
        <f>_xlfn.XLOOKUP(Table6[[#This Row],[SKU]],tblProductMaster[SKU],tblProductMaster[Product])</f>
        <v>Fabric Softener</v>
      </c>
      <c r="I304">
        <v>516</v>
      </c>
      <c r="J304">
        <f>_xlfn.XLOOKUP(G304,[1]!tblProductMaster[SKU],[1]!tblProductMaster[List Price])</f>
        <v>6.99</v>
      </c>
      <c r="K304" t="s">
        <v>86</v>
      </c>
      <c r="L304" s="3">
        <v>0</v>
      </c>
      <c r="M304" s="9">
        <f t="shared" si="20"/>
        <v>6.99</v>
      </c>
      <c r="N304" s="8">
        <f t="shared" si="21"/>
        <v>3606.84</v>
      </c>
      <c r="O304" s="9">
        <f>_xlfn.XLOOKUP(G304,[1]!tblProductMaster[SKU],[1]!tblProductMaster[Unit Cost])</f>
        <v>2.9</v>
      </c>
      <c r="P304" s="8">
        <f t="shared" si="22"/>
        <v>1496.3999999999999</v>
      </c>
      <c r="Q304" s="8">
        <f t="shared" si="23"/>
        <v>2110.4400000000005</v>
      </c>
      <c r="R304" s="4">
        <f t="shared" si="24"/>
        <v>0.58512160228898435</v>
      </c>
      <c r="S304" t="s">
        <v>87</v>
      </c>
      <c r="T304">
        <f>Table6[[#This Row],[Discount]]*Table6[[#This Row],[List Price]]*Table6[[#This Row],[Units]]</f>
        <v>0</v>
      </c>
    </row>
    <row r="305" spans="1:20" x14ac:dyDescent="0.2">
      <c r="A305" t="s">
        <v>398</v>
      </c>
      <c r="B305" s="2">
        <v>46139.731614464785</v>
      </c>
      <c r="C305" t="s">
        <v>84</v>
      </c>
      <c r="D305" t="s">
        <v>96</v>
      </c>
      <c r="E305" t="s">
        <v>56</v>
      </c>
      <c r="F305" t="s">
        <v>15</v>
      </c>
      <c r="G305" t="s">
        <v>62</v>
      </c>
      <c r="H305" t="str">
        <f>_xlfn.XLOOKUP(Table6[[#This Row],[SKU]],tblProductMaster[SKU],tblProductMaster[Product])</f>
        <v>Mouthwash 500ml</v>
      </c>
      <c r="I305">
        <v>717</v>
      </c>
      <c r="J305">
        <f>_xlfn.XLOOKUP(G305,[1]!tblProductMaster[SKU],[1]!tblProductMaster[List Price])</f>
        <v>5.99</v>
      </c>
      <c r="K305" t="s">
        <v>86</v>
      </c>
      <c r="L305" s="3">
        <v>0</v>
      </c>
      <c r="M305" s="9">
        <f t="shared" si="20"/>
        <v>5.99</v>
      </c>
      <c r="N305" s="8">
        <f t="shared" si="21"/>
        <v>4294.83</v>
      </c>
      <c r="O305" s="9">
        <f>_xlfn.XLOOKUP(G305,[1]!tblProductMaster[SKU],[1]!tblProductMaster[Unit Cost])</f>
        <v>2.4</v>
      </c>
      <c r="P305" s="8">
        <f t="shared" si="22"/>
        <v>1720.8</v>
      </c>
      <c r="Q305" s="8">
        <f t="shared" si="23"/>
        <v>2574.0299999999997</v>
      </c>
      <c r="R305" s="4">
        <f t="shared" si="24"/>
        <v>0.59933222036727873</v>
      </c>
      <c r="S305" t="s">
        <v>87</v>
      </c>
      <c r="T305">
        <f>Table6[[#This Row],[Discount]]*Table6[[#This Row],[List Price]]*Table6[[#This Row],[Units]]</f>
        <v>0</v>
      </c>
    </row>
    <row r="306" spans="1:20" x14ac:dyDescent="0.2">
      <c r="A306" t="s">
        <v>399</v>
      </c>
      <c r="B306" s="2">
        <v>46250.096528638722</v>
      </c>
      <c r="C306" t="s">
        <v>84</v>
      </c>
      <c r="D306" t="s">
        <v>104</v>
      </c>
      <c r="E306" t="s">
        <v>40</v>
      </c>
      <c r="F306" t="s">
        <v>18</v>
      </c>
      <c r="G306" t="s">
        <v>50</v>
      </c>
      <c r="H306" t="str">
        <f>_xlfn.XLOOKUP(Table6[[#This Row],[SKU]],tblProductMaster[SKU],tblProductMaster[Product])</f>
        <v>Sensitive Detergent</v>
      </c>
      <c r="I306">
        <v>680</v>
      </c>
      <c r="J306">
        <f>_xlfn.XLOOKUP(G306,[1]!tblProductMaster[SKU],[1]!tblProductMaster[List Price])</f>
        <v>8.99</v>
      </c>
      <c r="K306" t="s">
        <v>89</v>
      </c>
      <c r="L306" s="3">
        <v>0.1</v>
      </c>
      <c r="M306" s="9">
        <f t="shared" si="20"/>
        <v>8.0910000000000011</v>
      </c>
      <c r="N306" s="8">
        <f t="shared" si="21"/>
        <v>5501.880000000001</v>
      </c>
      <c r="O306" s="9">
        <f>_xlfn.XLOOKUP(G306,[1]!tblProductMaster[SKU],[1]!tblProductMaster[Unit Cost])</f>
        <v>4</v>
      </c>
      <c r="P306" s="8">
        <f t="shared" si="22"/>
        <v>2720</v>
      </c>
      <c r="Q306" s="8">
        <f t="shared" si="23"/>
        <v>2781.880000000001</v>
      </c>
      <c r="R306" s="4">
        <f t="shared" si="24"/>
        <v>0.50562353231986168</v>
      </c>
      <c r="S306" t="s">
        <v>99</v>
      </c>
      <c r="T306">
        <f>Table6[[#This Row],[Discount]]*Table6[[#This Row],[List Price]]*Table6[[#This Row],[Units]]</f>
        <v>611.32000000000005</v>
      </c>
    </row>
    <row r="307" spans="1:20" x14ac:dyDescent="0.2">
      <c r="A307" t="s">
        <v>400</v>
      </c>
      <c r="B307" s="2">
        <v>46104.09466415584</v>
      </c>
      <c r="C307" t="s">
        <v>84</v>
      </c>
      <c r="D307" t="s">
        <v>85</v>
      </c>
      <c r="E307" t="s">
        <v>8</v>
      </c>
      <c r="F307" t="s">
        <v>7</v>
      </c>
      <c r="G307" t="s">
        <v>12</v>
      </c>
      <c r="H307" t="str">
        <f>_xlfn.XLOOKUP(Table6[[#This Row],[SKU]],tblProductMaster[SKU],tblProductMaster[Product])</f>
        <v>Conditioner 250ml</v>
      </c>
      <c r="I307">
        <v>606</v>
      </c>
      <c r="J307">
        <f>_xlfn.XLOOKUP(G307,[1]!tblProductMaster[SKU],[1]!tblProductMaster[List Price])</f>
        <v>5.49</v>
      </c>
      <c r="K307" t="s">
        <v>86</v>
      </c>
      <c r="L307" s="3">
        <v>0</v>
      </c>
      <c r="M307" s="9">
        <f t="shared" si="20"/>
        <v>5.49</v>
      </c>
      <c r="N307" s="8">
        <f t="shared" si="21"/>
        <v>3326.94</v>
      </c>
      <c r="O307" s="9">
        <f>_xlfn.XLOOKUP(G307,[1]!tblProductMaster[SKU],[1]!tblProductMaster[Unit Cost])</f>
        <v>2.2000000000000002</v>
      </c>
      <c r="P307" s="8">
        <f t="shared" si="22"/>
        <v>1333.2</v>
      </c>
      <c r="Q307" s="8">
        <f t="shared" si="23"/>
        <v>1993.74</v>
      </c>
      <c r="R307" s="4">
        <f t="shared" si="24"/>
        <v>0.59927140255009104</v>
      </c>
      <c r="S307" t="s">
        <v>87</v>
      </c>
      <c r="T307">
        <f>Table6[[#This Row],[Discount]]*Table6[[#This Row],[List Price]]*Table6[[#This Row],[Units]]</f>
        <v>0</v>
      </c>
    </row>
    <row r="308" spans="1:20" x14ac:dyDescent="0.2">
      <c r="A308" t="s">
        <v>401</v>
      </c>
      <c r="B308" s="2">
        <v>46026.148660118153</v>
      </c>
      <c r="C308" t="s">
        <v>84</v>
      </c>
      <c r="D308" t="s">
        <v>104</v>
      </c>
      <c r="E308" t="s">
        <v>25</v>
      </c>
      <c r="F308" t="s">
        <v>18</v>
      </c>
      <c r="G308" t="s">
        <v>27</v>
      </c>
      <c r="H308" t="str">
        <f>_xlfn.XLOOKUP(Table6[[#This Row],[SKU]],tblProductMaster[SKU],tblProductMaster[Product])</f>
        <v>Face Cream 50ml</v>
      </c>
      <c r="I308">
        <v>678</v>
      </c>
      <c r="J308">
        <f>_xlfn.XLOOKUP(G308,[1]!tblProductMaster[SKU],[1]!tblProductMaster[List Price])</f>
        <v>9.99</v>
      </c>
      <c r="K308" t="s">
        <v>86</v>
      </c>
      <c r="L308" s="3">
        <v>0</v>
      </c>
      <c r="M308" s="9">
        <f t="shared" si="20"/>
        <v>9.99</v>
      </c>
      <c r="N308" s="8">
        <f t="shared" si="21"/>
        <v>6773.22</v>
      </c>
      <c r="O308" s="9">
        <f>_xlfn.XLOOKUP(G308,[1]!tblProductMaster[SKU],[1]!tblProductMaster[Unit Cost])</f>
        <v>4.2</v>
      </c>
      <c r="P308" s="8">
        <f t="shared" si="22"/>
        <v>2847.6</v>
      </c>
      <c r="Q308" s="8">
        <f t="shared" si="23"/>
        <v>3925.6200000000003</v>
      </c>
      <c r="R308" s="4">
        <f t="shared" si="24"/>
        <v>0.57957957957957962</v>
      </c>
      <c r="S308" t="s">
        <v>87</v>
      </c>
      <c r="T308">
        <f>Table6[[#This Row],[Discount]]*Table6[[#This Row],[List Price]]*Table6[[#This Row],[Units]]</f>
        <v>0</v>
      </c>
    </row>
    <row r="309" spans="1:20" x14ac:dyDescent="0.2">
      <c r="A309" t="s">
        <v>402</v>
      </c>
      <c r="B309" s="2">
        <v>46072.162970481339</v>
      </c>
      <c r="C309" t="s">
        <v>93</v>
      </c>
      <c r="D309" t="s">
        <v>104</v>
      </c>
      <c r="E309" t="s">
        <v>25</v>
      </c>
      <c r="F309" t="s">
        <v>7</v>
      </c>
      <c r="G309" t="s">
        <v>31</v>
      </c>
      <c r="H309" t="str">
        <f>_xlfn.XLOOKUP(Table6[[#This Row],[SKU]],tblProductMaster[SKU],tblProductMaster[Product])</f>
        <v>Facial Cleanser</v>
      </c>
      <c r="I309">
        <v>761</v>
      </c>
      <c r="J309">
        <f>_xlfn.XLOOKUP(G309,[1]!tblProductMaster[SKU],[1]!tblProductMaster[List Price])</f>
        <v>8.49</v>
      </c>
      <c r="K309" t="s">
        <v>86</v>
      </c>
      <c r="L309" s="3">
        <v>0</v>
      </c>
      <c r="M309" s="9">
        <f t="shared" si="20"/>
        <v>8.49</v>
      </c>
      <c r="N309" s="8">
        <f t="shared" si="21"/>
        <v>6460.89</v>
      </c>
      <c r="O309" s="9">
        <f>_xlfn.XLOOKUP(G309,[1]!tblProductMaster[SKU],[1]!tblProductMaster[Unit Cost])</f>
        <v>3.5</v>
      </c>
      <c r="P309" s="8">
        <f t="shared" si="22"/>
        <v>2663.5</v>
      </c>
      <c r="Q309" s="8">
        <f t="shared" si="23"/>
        <v>3797.3900000000003</v>
      </c>
      <c r="R309" s="4">
        <f t="shared" si="24"/>
        <v>0.58775029446407545</v>
      </c>
      <c r="S309" t="s">
        <v>87</v>
      </c>
      <c r="T309">
        <f>Table6[[#This Row],[Discount]]*Table6[[#This Row],[List Price]]*Table6[[#This Row],[Units]]</f>
        <v>0</v>
      </c>
    </row>
    <row r="310" spans="1:20" x14ac:dyDescent="0.2">
      <c r="A310" t="s">
        <v>403</v>
      </c>
      <c r="B310" s="2">
        <v>46189.314888765715</v>
      </c>
      <c r="C310" t="s">
        <v>98</v>
      </c>
      <c r="D310" t="s">
        <v>85</v>
      </c>
      <c r="E310" t="s">
        <v>8</v>
      </c>
      <c r="F310" t="s">
        <v>15</v>
      </c>
      <c r="G310" t="s">
        <v>16</v>
      </c>
      <c r="H310" t="str">
        <f>_xlfn.XLOOKUP(Table6[[#This Row],[SKU]],tblProductMaster[SKU],tblProductMaster[Product])</f>
        <v>Conditioner 250ml</v>
      </c>
      <c r="I310">
        <v>690</v>
      </c>
      <c r="J310">
        <f>_xlfn.XLOOKUP(G310,[1]!tblProductMaster[SKU],[1]!tblProductMaster[List Price])</f>
        <v>4.79</v>
      </c>
      <c r="K310" t="s">
        <v>86</v>
      </c>
      <c r="L310" s="3">
        <v>0</v>
      </c>
      <c r="M310" s="9">
        <f t="shared" si="20"/>
        <v>4.79</v>
      </c>
      <c r="N310" s="8">
        <f t="shared" si="21"/>
        <v>3305.1</v>
      </c>
      <c r="O310" s="9">
        <f>_xlfn.XLOOKUP(G310,[1]!tblProductMaster[SKU],[1]!tblProductMaster[Unit Cost])</f>
        <v>2</v>
      </c>
      <c r="P310" s="8">
        <f t="shared" si="22"/>
        <v>1380</v>
      </c>
      <c r="Q310" s="8">
        <f t="shared" si="23"/>
        <v>1925.1</v>
      </c>
      <c r="R310" s="4">
        <f t="shared" si="24"/>
        <v>0.58246346555323592</v>
      </c>
      <c r="S310" t="s">
        <v>87</v>
      </c>
      <c r="T310">
        <f>Table6[[#This Row],[Discount]]*Table6[[#This Row],[List Price]]*Table6[[#This Row],[Units]]</f>
        <v>0</v>
      </c>
    </row>
    <row r="311" spans="1:20" x14ac:dyDescent="0.2">
      <c r="A311" t="s">
        <v>404</v>
      </c>
      <c r="B311" s="2">
        <v>46347.594080754905</v>
      </c>
      <c r="C311" t="s">
        <v>98</v>
      </c>
      <c r="D311" t="s">
        <v>85</v>
      </c>
      <c r="E311" t="s">
        <v>25</v>
      </c>
      <c r="F311" t="s">
        <v>7</v>
      </c>
      <c r="G311" t="s">
        <v>24</v>
      </c>
      <c r="H311" t="str">
        <f>_xlfn.XLOOKUP(Table6[[#This Row],[SKU]],tblProductMaster[SKU],tblProductMaster[Product])</f>
        <v>Body Lotion 400ml</v>
      </c>
      <c r="I311">
        <v>451</v>
      </c>
      <c r="J311">
        <f>_xlfn.XLOOKUP(G311,[1]!tblProductMaster[SKU],[1]!tblProductMaster[List Price])</f>
        <v>7.99</v>
      </c>
      <c r="K311" t="s">
        <v>86</v>
      </c>
      <c r="L311" s="3">
        <v>0</v>
      </c>
      <c r="M311" s="9">
        <f t="shared" si="20"/>
        <v>7.99</v>
      </c>
      <c r="N311" s="8">
        <f t="shared" si="21"/>
        <v>3603.4900000000002</v>
      </c>
      <c r="O311" s="9">
        <f>_xlfn.XLOOKUP(G311,[1]!tblProductMaster[SKU],[1]!tblProductMaster[Unit Cost])</f>
        <v>3.1</v>
      </c>
      <c r="P311" s="8">
        <f t="shared" si="22"/>
        <v>1398.1000000000001</v>
      </c>
      <c r="Q311" s="8">
        <f t="shared" si="23"/>
        <v>2205.3900000000003</v>
      </c>
      <c r="R311" s="4">
        <f t="shared" si="24"/>
        <v>0.61201501877346687</v>
      </c>
      <c r="S311" t="s">
        <v>87</v>
      </c>
      <c r="T311">
        <f>Table6[[#This Row],[Discount]]*Table6[[#This Row],[List Price]]*Table6[[#This Row],[Units]]</f>
        <v>0</v>
      </c>
    </row>
    <row r="312" spans="1:20" x14ac:dyDescent="0.2">
      <c r="A312" t="s">
        <v>405</v>
      </c>
      <c r="B312" s="2">
        <v>46090.275933198769</v>
      </c>
      <c r="C312" t="s">
        <v>84</v>
      </c>
      <c r="D312" t="s">
        <v>85</v>
      </c>
      <c r="E312" t="s">
        <v>25</v>
      </c>
      <c r="F312" t="s">
        <v>7</v>
      </c>
      <c r="G312" t="s">
        <v>31</v>
      </c>
      <c r="H312" t="str">
        <f>_xlfn.XLOOKUP(Table6[[#This Row],[SKU]],tblProductMaster[SKU],tblProductMaster[Product])</f>
        <v>Facial Cleanser</v>
      </c>
      <c r="I312">
        <v>202</v>
      </c>
      <c r="J312">
        <f>_xlfn.XLOOKUP(G312,[1]!tblProductMaster[SKU],[1]!tblProductMaster[List Price])</f>
        <v>8.49</v>
      </c>
      <c r="K312" t="s">
        <v>86</v>
      </c>
      <c r="L312" s="3">
        <v>0</v>
      </c>
      <c r="M312" s="9">
        <f t="shared" si="20"/>
        <v>8.49</v>
      </c>
      <c r="N312" s="8">
        <f t="shared" si="21"/>
        <v>1714.98</v>
      </c>
      <c r="O312" s="9">
        <f>_xlfn.XLOOKUP(G312,[1]!tblProductMaster[SKU],[1]!tblProductMaster[Unit Cost])</f>
        <v>3.5</v>
      </c>
      <c r="P312" s="8">
        <f t="shared" si="22"/>
        <v>707</v>
      </c>
      <c r="Q312" s="8">
        <f t="shared" si="23"/>
        <v>1007.98</v>
      </c>
      <c r="R312" s="4">
        <f t="shared" si="24"/>
        <v>0.58775029446407534</v>
      </c>
      <c r="S312" t="s">
        <v>87</v>
      </c>
      <c r="T312">
        <f>Table6[[#This Row],[Discount]]*Table6[[#This Row],[List Price]]*Table6[[#This Row],[Units]]</f>
        <v>0</v>
      </c>
    </row>
    <row r="313" spans="1:20" x14ac:dyDescent="0.2">
      <c r="A313" t="s">
        <v>406</v>
      </c>
      <c r="B313" s="2">
        <v>46081.709092943398</v>
      </c>
      <c r="C313" t="s">
        <v>93</v>
      </c>
      <c r="D313" t="s">
        <v>104</v>
      </c>
      <c r="E313" t="s">
        <v>25</v>
      </c>
      <c r="F313" t="s">
        <v>18</v>
      </c>
      <c r="G313" t="s">
        <v>27</v>
      </c>
      <c r="H313" t="str">
        <f>_xlfn.XLOOKUP(Table6[[#This Row],[SKU]],tblProductMaster[SKU],tblProductMaster[Product])</f>
        <v>Face Cream 50ml</v>
      </c>
      <c r="I313">
        <v>775</v>
      </c>
      <c r="J313">
        <f>_xlfn.XLOOKUP(G313,[1]!tblProductMaster[SKU],[1]!tblProductMaster[List Price])</f>
        <v>9.99</v>
      </c>
      <c r="K313" t="s">
        <v>89</v>
      </c>
      <c r="L313" s="3">
        <v>0.2</v>
      </c>
      <c r="M313" s="9">
        <f t="shared" si="20"/>
        <v>7.9920000000000009</v>
      </c>
      <c r="N313" s="8">
        <f t="shared" si="21"/>
        <v>6193.8000000000011</v>
      </c>
      <c r="O313" s="9">
        <f>_xlfn.XLOOKUP(G313,[1]!tblProductMaster[SKU],[1]!tblProductMaster[Unit Cost])</f>
        <v>4.2</v>
      </c>
      <c r="P313" s="8">
        <f t="shared" si="22"/>
        <v>3255</v>
      </c>
      <c r="Q313" s="8">
        <f t="shared" si="23"/>
        <v>2938.8000000000011</v>
      </c>
      <c r="R313" s="4">
        <f t="shared" si="24"/>
        <v>0.47447447447447455</v>
      </c>
      <c r="S313" t="s">
        <v>94</v>
      </c>
      <c r="T313">
        <f>Table6[[#This Row],[Discount]]*Table6[[#This Row],[List Price]]*Table6[[#This Row],[Units]]</f>
        <v>1548.4500000000003</v>
      </c>
    </row>
    <row r="314" spans="1:20" x14ac:dyDescent="0.2">
      <c r="A314" t="s">
        <v>407</v>
      </c>
      <c r="B314" s="2">
        <v>46059.773015033395</v>
      </c>
      <c r="C314" t="s">
        <v>98</v>
      </c>
      <c r="D314" t="s">
        <v>96</v>
      </c>
      <c r="E314" t="s">
        <v>56</v>
      </c>
      <c r="F314" t="s">
        <v>18</v>
      </c>
      <c r="G314" t="s">
        <v>60</v>
      </c>
      <c r="H314" t="str">
        <f>_xlfn.XLOOKUP(Table6[[#This Row],[SKU]],tblProductMaster[SKU],tblProductMaster[Product])</f>
        <v>Sensitive Toothpaste</v>
      </c>
      <c r="I314">
        <v>217</v>
      </c>
      <c r="J314">
        <f>_xlfn.XLOOKUP(G314,[1]!tblProductMaster[SKU],[1]!tblProductMaster[List Price])</f>
        <v>4.49</v>
      </c>
      <c r="K314" t="s">
        <v>86</v>
      </c>
      <c r="L314" s="3">
        <v>0</v>
      </c>
      <c r="M314" s="9">
        <f t="shared" si="20"/>
        <v>4.49</v>
      </c>
      <c r="N314" s="8">
        <f t="shared" si="21"/>
        <v>974.33</v>
      </c>
      <c r="O314" s="9">
        <f>_xlfn.XLOOKUP(G314,[1]!tblProductMaster[SKU],[1]!tblProductMaster[Unit Cost])</f>
        <v>1.7</v>
      </c>
      <c r="P314" s="8">
        <f t="shared" si="22"/>
        <v>368.9</v>
      </c>
      <c r="Q314" s="8">
        <f t="shared" si="23"/>
        <v>605.43000000000006</v>
      </c>
      <c r="R314" s="4">
        <f t="shared" si="24"/>
        <v>0.6213808463251671</v>
      </c>
      <c r="S314" t="s">
        <v>87</v>
      </c>
      <c r="T314">
        <f>Table6[[#This Row],[Discount]]*Table6[[#This Row],[List Price]]*Table6[[#This Row],[Units]]</f>
        <v>0</v>
      </c>
    </row>
    <row r="315" spans="1:20" x14ac:dyDescent="0.2">
      <c r="A315" t="s">
        <v>408</v>
      </c>
      <c r="B315" s="2">
        <v>46325.421401490348</v>
      </c>
      <c r="C315" t="s">
        <v>93</v>
      </c>
      <c r="D315" t="s">
        <v>85</v>
      </c>
      <c r="E315" t="s">
        <v>25</v>
      </c>
      <c r="F315" t="s">
        <v>15</v>
      </c>
      <c r="G315" t="s">
        <v>29</v>
      </c>
      <c r="H315" t="str">
        <f>_xlfn.XLOOKUP(Table6[[#This Row],[SKU]],tblProductMaster[SKU],tblProductMaster[Product])</f>
        <v>Shower Gel 250ml</v>
      </c>
      <c r="I315">
        <v>596</v>
      </c>
      <c r="J315">
        <f>_xlfn.XLOOKUP(G315,[1]!tblProductMaster[SKU],[1]!tblProductMaster[List Price])</f>
        <v>4.49</v>
      </c>
      <c r="K315" t="s">
        <v>86</v>
      </c>
      <c r="L315" s="3">
        <v>0</v>
      </c>
      <c r="M315" s="9">
        <f t="shared" si="20"/>
        <v>4.49</v>
      </c>
      <c r="N315" s="8">
        <f t="shared" si="21"/>
        <v>2676.04</v>
      </c>
      <c r="O315" s="9">
        <f>_xlfn.XLOOKUP(G315,[1]!tblProductMaster[SKU],[1]!tblProductMaster[Unit Cost])</f>
        <v>1.9</v>
      </c>
      <c r="P315" s="8">
        <f t="shared" si="22"/>
        <v>1132.3999999999999</v>
      </c>
      <c r="Q315" s="8">
        <f t="shared" si="23"/>
        <v>1543.64</v>
      </c>
      <c r="R315" s="4">
        <f t="shared" si="24"/>
        <v>0.57683741648106912</v>
      </c>
      <c r="S315" t="s">
        <v>87</v>
      </c>
      <c r="T315">
        <f>Table6[[#This Row],[Discount]]*Table6[[#This Row],[List Price]]*Table6[[#This Row],[Units]]</f>
        <v>0</v>
      </c>
    </row>
    <row r="316" spans="1:20" x14ac:dyDescent="0.2">
      <c r="A316" t="s">
        <v>409</v>
      </c>
      <c r="B316" s="2">
        <v>46162.934947407499</v>
      </c>
      <c r="C316" t="s">
        <v>98</v>
      </c>
      <c r="D316" t="s">
        <v>85</v>
      </c>
      <c r="E316" t="s">
        <v>40</v>
      </c>
      <c r="F316" t="s">
        <v>15</v>
      </c>
      <c r="G316" t="s">
        <v>52</v>
      </c>
      <c r="H316" t="str">
        <f>_xlfn.XLOOKUP(Table6[[#This Row],[SKU]],tblProductMaster[SKU],tblProductMaster[Product])</f>
        <v>Laundry Pods</v>
      </c>
      <c r="I316">
        <v>688</v>
      </c>
      <c r="J316">
        <f>_xlfn.XLOOKUP(G316,[1]!tblProductMaster[SKU],[1]!tblProductMaster[List Price])</f>
        <v>10.49</v>
      </c>
      <c r="K316" t="s">
        <v>86</v>
      </c>
      <c r="L316" s="3">
        <v>0</v>
      </c>
      <c r="M316" s="9">
        <f t="shared" si="20"/>
        <v>10.49</v>
      </c>
      <c r="N316" s="8">
        <f t="shared" si="21"/>
        <v>7217.12</v>
      </c>
      <c r="O316" s="9">
        <f>_xlfn.XLOOKUP(G316,[1]!tblProductMaster[SKU],[1]!tblProductMaster[Unit Cost])</f>
        <v>4.5999999999999996</v>
      </c>
      <c r="P316" s="8">
        <f t="shared" si="22"/>
        <v>3164.7999999999997</v>
      </c>
      <c r="Q316" s="8">
        <f t="shared" si="23"/>
        <v>4052.32</v>
      </c>
      <c r="R316" s="4">
        <f t="shared" si="24"/>
        <v>0.56148713060057198</v>
      </c>
      <c r="S316" t="s">
        <v>87</v>
      </c>
      <c r="T316">
        <f>Table6[[#This Row],[Discount]]*Table6[[#This Row],[List Price]]*Table6[[#This Row],[Units]]</f>
        <v>0</v>
      </c>
    </row>
    <row r="317" spans="1:20" x14ac:dyDescent="0.2">
      <c r="A317" t="s">
        <v>410</v>
      </c>
      <c r="B317" s="2">
        <v>46305.95801233119</v>
      </c>
      <c r="C317" t="s">
        <v>84</v>
      </c>
      <c r="D317" t="s">
        <v>104</v>
      </c>
      <c r="E317" t="s">
        <v>56</v>
      </c>
      <c r="F317" t="s">
        <v>15</v>
      </c>
      <c r="G317" t="s">
        <v>62</v>
      </c>
      <c r="H317" t="str">
        <f>_xlfn.XLOOKUP(Table6[[#This Row],[SKU]],tblProductMaster[SKU],tblProductMaster[Product])</f>
        <v>Mouthwash 500ml</v>
      </c>
      <c r="I317">
        <v>746</v>
      </c>
      <c r="J317">
        <f>_xlfn.XLOOKUP(G317,[1]!tblProductMaster[SKU],[1]!tblProductMaster[List Price])</f>
        <v>5.99</v>
      </c>
      <c r="K317" t="s">
        <v>86</v>
      </c>
      <c r="L317" s="3">
        <v>0</v>
      </c>
      <c r="M317" s="9">
        <f t="shared" si="20"/>
        <v>5.99</v>
      </c>
      <c r="N317" s="8">
        <f t="shared" si="21"/>
        <v>4468.54</v>
      </c>
      <c r="O317" s="9">
        <f>_xlfn.XLOOKUP(G317,[1]!tblProductMaster[SKU],[1]!tblProductMaster[Unit Cost])</f>
        <v>2.4</v>
      </c>
      <c r="P317" s="8">
        <f t="shared" si="22"/>
        <v>1790.3999999999999</v>
      </c>
      <c r="Q317" s="8">
        <f t="shared" si="23"/>
        <v>2678.1400000000003</v>
      </c>
      <c r="R317" s="4">
        <f t="shared" si="24"/>
        <v>0.59933222036727885</v>
      </c>
      <c r="S317" t="s">
        <v>87</v>
      </c>
      <c r="T317">
        <f>Table6[[#This Row],[Discount]]*Table6[[#This Row],[List Price]]*Table6[[#This Row],[Units]]</f>
        <v>0</v>
      </c>
    </row>
    <row r="318" spans="1:20" x14ac:dyDescent="0.2">
      <c r="A318" t="s">
        <v>411</v>
      </c>
      <c r="B318" s="2">
        <v>46284.091348999937</v>
      </c>
      <c r="C318" t="s">
        <v>98</v>
      </c>
      <c r="D318" t="s">
        <v>104</v>
      </c>
      <c r="E318" t="s">
        <v>40</v>
      </c>
      <c r="F318" t="s">
        <v>18</v>
      </c>
      <c r="G318" t="s">
        <v>54</v>
      </c>
      <c r="H318" t="str">
        <f>_xlfn.XLOOKUP(Table6[[#This Row],[SKU]],tblProductMaster[SKU],tblProductMaster[Product])</f>
        <v>Fabric Softener</v>
      </c>
      <c r="I318">
        <v>736</v>
      </c>
      <c r="J318">
        <f>_xlfn.XLOOKUP(G318,[1]!tblProductMaster[SKU],[1]!tblProductMaster[List Price])</f>
        <v>5.49</v>
      </c>
      <c r="K318" t="s">
        <v>86</v>
      </c>
      <c r="L318" s="3">
        <v>0</v>
      </c>
      <c r="M318" s="9">
        <f t="shared" si="20"/>
        <v>5.49</v>
      </c>
      <c r="N318" s="8">
        <f t="shared" si="21"/>
        <v>4040.6400000000003</v>
      </c>
      <c r="O318" s="9">
        <f>_xlfn.XLOOKUP(G318,[1]!tblProductMaster[SKU],[1]!tblProductMaster[Unit Cost])</f>
        <v>2.4</v>
      </c>
      <c r="P318" s="8">
        <f t="shared" si="22"/>
        <v>1766.3999999999999</v>
      </c>
      <c r="Q318" s="8">
        <f t="shared" si="23"/>
        <v>2274.2400000000007</v>
      </c>
      <c r="R318" s="4">
        <f t="shared" si="24"/>
        <v>0.56284153005464499</v>
      </c>
      <c r="S318" t="s">
        <v>87</v>
      </c>
      <c r="T318">
        <f>Table6[[#This Row],[Discount]]*Table6[[#This Row],[List Price]]*Table6[[#This Row],[Units]]</f>
        <v>0</v>
      </c>
    </row>
    <row r="319" spans="1:20" x14ac:dyDescent="0.2">
      <c r="A319" t="s">
        <v>412</v>
      </c>
      <c r="B319" s="2">
        <v>46347.467241022801</v>
      </c>
      <c r="C319" t="s">
        <v>84</v>
      </c>
      <c r="D319" t="s">
        <v>104</v>
      </c>
      <c r="E319" t="s">
        <v>25</v>
      </c>
      <c r="F319" t="s">
        <v>7</v>
      </c>
      <c r="G319" t="s">
        <v>33</v>
      </c>
      <c r="H319" t="str">
        <f>_xlfn.XLOOKUP(Table6[[#This Row],[SKU]],tblProductMaster[SKU],tblProductMaster[Product])</f>
        <v>Sunscreen 200ml</v>
      </c>
      <c r="I319">
        <v>234</v>
      </c>
      <c r="J319">
        <f>_xlfn.XLOOKUP(G319,[1]!tblProductMaster[SKU],[1]!tblProductMaster[List Price])</f>
        <v>10.99</v>
      </c>
      <c r="K319" t="s">
        <v>86</v>
      </c>
      <c r="L319" s="3">
        <v>0</v>
      </c>
      <c r="M319" s="9">
        <f t="shared" si="20"/>
        <v>10.99</v>
      </c>
      <c r="N319" s="8">
        <f t="shared" si="21"/>
        <v>2571.66</v>
      </c>
      <c r="O319" s="9">
        <f>_xlfn.XLOOKUP(G319,[1]!tblProductMaster[SKU],[1]!tblProductMaster[Unit Cost])</f>
        <v>4.5999999999999996</v>
      </c>
      <c r="P319" s="8">
        <f t="shared" si="22"/>
        <v>1076.3999999999999</v>
      </c>
      <c r="Q319" s="8">
        <f t="shared" si="23"/>
        <v>1495.26</v>
      </c>
      <c r="R319" s="4">
        <f t="shared" si="24"/>
        <v>0.58143767060964513</v>
      </c>
      <c r="S319" t="s">
        <v>87</v>
      </c>
      <c r="T319">
        <f>Table6[[#This Row],[Discount]]*Table6[[#This Row],[List Price]]*Table6[[#This Row],[Units]]</f>
        <v>0</v>
      </c>
    </row>
    <row r="320" spans="1:20" x14ac:dyDescent="0.2">
      <c r="A320" t="s">
        <v>413</v>
      </c>
      <c r="B320" s="2">
        <v>46177.629183942634</v>
      </c>
      <c r="C320" t="s">
        <v>84</v>
      </c>
      <c r="D320" t="s">
        <v>104</v>
      </c>
      <c r="E320" t="s">
        <v>56</v>
      </c>
      <c r="F320" t="s">
        <v>18</v>
      </c>
      <c r="G320" t="s">
        <v>68</v>
      </c>
      <c r="H320" t="str">
        <f>_xlfn.XLOOKUP(Table6[[#This Row],[SKU]],tblProductMaster[SKU],tblProductMaster[Product])</f>
        <v>Kids Toothpaste</v>
      </c>
      <c r="I320">
        <v>586</v>
      </c>
      <c r="J320">
        <f>_xlfn.XLOOKUP(G320,[1]!tblProductMaster[SKU],[1]!tblProductMaster[List Price])</f>
        <v>3.29</v>
      </c>
      <c r="K320" t="s">
        <v>86</v>
      </c>
      <c r="L320" s="3">
        <v>0</v>
      </c>
      <c r="M320" s="9">
        <f t="shared" si="20"/>
        <v>3.29</v>
      </c>
      <c r="N320" s="8">
        <f t="shared" si="21"/>
        <v>1927.94</v>
      </c>
      <c r="O320" s="9">
        <f>_xlfn.XLOOKUP(G320,[1]!tblProductMaster[SKU],[1]!tblProductMaster[Unit Cost])</f>
        <v>1.1000000000000001</v>
      </c>
      <c r="P320" s="8">
        <f t="shared" si="22"/>
        <v>644.6</v>
      </c>
      <c r="Q320" s="8">
        <f t="shared" si="23"/>
        <v>1283.3400000000001</v>
      </c>
      <c r="R320" s="4">
        <f t="shared" si="24"/>
        <v>0.66565349544072949</v>
      </c>
      <c r="S320" t="s">
        <v>87</v>
      </c>
      <c r="T320">
        <f>Table6[[#This Row],[Discount]]*Table6[[#This Row],[List Price]]*Table6[[#This Row],[Units]]</f>
        <v>0</v>
      </c>
    </row>
    <row r="321" spans="1:20" x14ac:dyDescent="0.2">
      <c r="A321" t="s">
        <v>414</v>
      </c>
      <c r="B321" s="2">
        <v>46152.732931132348</v>
      </c>
      <c r="C321" t="s">
        <v>93</v>
      </c>
      <c r="D321" t="s">
        <v>104</v>
      </c>
      <c r="E321" t="s">
        <v>40</v>
      </c>
      <c r="F321" t="s">
        <v>7</v>
      </c>
      <c r="G321" t="s">
        <v>48</v>
      </c>
      <c r="H321" t="str">
        <f>_xlfn.XLOOKUP(Table6[[#This Row],[SKU]],tblProductMaster[SKU],tblProductMaster[Product])</f>
        <v>Color Detergent</v>
      </c>
      <c r="I321">
        <v>651</v>
      </c>
      <c r="J321">
        <f>_xlfn.XLOOKUP(G321,[1]!tblProductMaster[SKU],[1]!tblProductMaster[List Price])</f>
        <v>9.49</v>
      </c>
      <c r="K321" t="s">
        <v>89</v>
      </c>
      <c r="L321" s="3">
        <v>0.1</v>
      </c>
      <c r="M321" s="9">
        <f t="shared" si="20"/>
        <v>8.5410000000000004</v>
      </c>
      <c r="N321" s="8">
        <f t="shared" si="21"/>
        <v>5560.1909999999998</v>
      </c>
      <c r="O321" s="9">
        <f>_xlfn.XLOOKUP(G321,[1]!tblProductMaster[SKU],[1]!tblProductMaster[Unit Cost])</f>
        <v>4</v>
      </c>
      <c r="P321" s="8">
        <f t="shared" si="22"/>
        <v>2604</v>
      </c>
      <c r="Q321" s="8">
        <f t="shared" si="23"/>
        <v>2956.1909999999998</v>
      </c>
      <c r="R321" s="4">
        <f t="shared" si="24"/>
        <v>0.53167076454747686</v>
      </c>
      <c r="S321" t="s">
        <v>90</v>
      </c>
      <c r="T321">
        <f>Table6[[#This Row],[Discount]]*Table6[[#This Row],[List Price]]*Table6[[#This Row],[Units]]</f>
        <v>617.79900000000009</v>
      </c>
    </row>
    <row r="322" spans="1:20" x14ac:dyDescent="0.2">
      <c r="A322" t="s">
        <v>415</v>
      </c>
      <c r="B322" s="2">
        <v>46173.616083141846</v>
      </c>
      <c r="C322" t="s">
        <v>98</v>
      </c>
      <c r="D322" t="s">
        <v>104</v>
      </c>
      <c r="E322" t="s">
        <v>25</v>
      </c>
      <c r="F322" t="s">
        <v>18</v>
      </c>
      <c r="G322" t="s">
        <v>27</v>
      </c>
      <c r="H322" t="str">
        <f>_xlfn.XLOOKUP(Table6[[#This Row],[SKU]],tblProductMaster[SKU],tblProductMaster[Product])</f>
        <v>Face Cream 50ml</v>
      </c>
      <c r="I322">
        <v>407</v>
      </c>
      <c r="J322">
        <f>_xlfn.XLOOKUP(G322,[1]!tblProductMaster[SKU],[1]!tblProductMaster[List Price])</f>
        <v>9.99</v>
      </c>
      <c r="K322" t="s">
        <v>86</v>
      </c>
      <c r="L322" s="3">
        <v>0</v>
      </c>
      <c r="M322" s="9">
        <f t="shared" si="20"/>
        <v>9.99</v>
      </c>
      <c r="N322" s="8">
        <f t="shared" si="21"/>
        <v>4065.9300000000003</v>
      </c>
      <c r="O322" s="9">
        <f>_xlfn.XLOOKUP(G322,[1]!tblProductMaster[SKU],[1]!tblProductMaster[Unit Cost])</f>
        <v>4.2</v>
      </c>
      <c r="P322" s="8">
        <f t="shared" si="22"/>
        <v>1709.4</v>
      </c>
      <c r="Q322" s="8">
        <f t="shared" si="23"/>
        <v>2356.5300000000002</v>
      </c>
      <c r="R322" s="4">
        <f t="shared" si="24"/>
        <v>0.57957957957957962</v>
      </c>
      <c r="S322" t="s">
        <v>87</v>
      </c>
      <c r="T322">
        <f>Table6[[#This Row],[Discount]]*Table6[[#This Row],[List Price]]*Table6[[#This Row],[Units]]</f>
        <v>0</v>
      </c>
    </row>
    <row r="323" spans="1:20" x14ac:dyDescent="0.2">
      <c r="A323" t="s">
        <v>416</v>
      </c>
      <c r="B323" s="2">
        <v>46062.684765339858</v>
      </c>
      <c r="C323" t="s">
        <v>93</v>
      </c>
      <c r="D323" t="s">
        <v>85</v>
      </c>
      <c r="E323" t="s">
        <v>40</v>
      </c>
      <c r="F323" t="s">
        <v>7</v>
      </c>
      <c r="G323" t="s">
        <v>48</v>
      </c>
      <c r="H323" t="str">
        <f>_xlfn.XLOOKUP(Table6[[#This Row],[SKU]],tblProductMaster[SKU],tblProductMaster[Product])</f>
        <v>Color Detergent</v>
      </c>
      <c r="I323">
        <v>381</v>
      </c>
      <c r="J323">
        <f>_xlfn.XLOOKUP(G323,[1]!tblProductMaster[SKU],[1]!tblProductMaster[List Price])</f>
        <v>9.49</v>
      </c>
      <c r="K323" t="s">
        <v>86</v>
      </c>
      <c r="L323" s="3">
        <v>0</v>
      </c>
      <c r="M323" s="9">
        <f t="shared" ref="M323:M386" si="25">J323*(1-L323)</f>
        <v>9.49</v>
      </c>
      <c r="N323" s="8">
        <f t="shared" ref="N323:N386" si="26">M323*I323</f>
        <v>3615.69</v>
      </c>
      <c r="O323" s="9">
        <f>_xlfn.XLOOKUP(G323,[1]!tblProductMaster[SKU],[1]!tblProductMaster[Unit Cost])</f>
        <v>4</v>
      </c>
      <c r="P323" s="8">
        <f t="shared" ref="P323:P386" si="27">O323*I323</f>
        <v>1524</v>
      </c>
      <c r="Q323" s="8">
        <f t="shared" ref="Q323:Q386" si="28">N323-P323</f>
        <v>2091.69</v>
      </c>
      <c r="R323" s="4">
        <f t="shared" ref="R323:R386" si="29">Q323/N323</f>
        <v>0.57850368809272923</v>
      </c>
      <c r="S323" t="s">
        <v>87</v>
      </c>
      <c r="T323">
        <f>Table6[[#This Row],[Discount]]*Table6[[#This Row],[List Price]]*Table6[[#This Row],[Units]]</f>
        <v>0</v>
      </c>
    </row>
    <row r="324" spans="1:20" x14ac:dyDescent="0.2">
      <c r="A324" t="s">
        <v>417</v>
      </c>
      <c r="B324" s="2">
        <v>46131.186560239606</v>
      </c>
      <c r="C324" t="s">
        <v>93</v>
      </c>
      <c r="D324" t="s">
        <v>104</v>
      </c>
      <c r="E324" t="s">
        <v>8</v>
      </c>
      <c r="F324" t="s">
        <v>15</v>
      </c>
      <c r="G324" t="s">
        <v>16</v>
      </c>
      <c r="H324" t="str">
        <f>_xlfn.XLOOKUP(Table6[[#This Row],[SKU]],tblProductMaster[SKU],tblProductMaster[Product])</f>
        <v>Conditioner 250ml</v>
      </c>
      <c r="I324">
        <v>769</v>
      </c>
      <c r="J324">
        <f>_xlfn.XLOOKUP(G324,[1]!tblProductMaster[SKU],[1]!tblProductMaster[List Price])</f>
        <v>4.79</v>
      </c>
      <c r="K324" t="s">
        <v>86</v>
      </c>
      <c r="L324" s="3">
        <v>0</v>
      </c>
      <c r="M324" s="9">
        <f t="shared" si="25"/>
        <v>4.79</v>
      </c>
      <c r="N324" s="8">
        <f t="shared" si="26"/>
        <v>3683.51</v>
      </c>
      <c r="O324" s="9">
        <f>_xlfn.XLOOKUP(G324,[1]!tblProductMaster[SKU],[1]!tblProductMaster[Unit Cost])</f>
        <v>2</v>
      </c>
      <c r="P324" s="8">
        <f t="shared" si="27"/>
        <v>1538</v>
      </c>
      <c r="Q324" s="8">
        <f t="shared" si="28"/>
        <v>2145.5100000000002</v>
      </c>
      <c r="R324" s="4">
        <f t="shared" si="29"/>
        <v>0.58246346555323592</v>
      </c>
      <c r="S324" t="s">
        <v>87</v>
      </c>
      <c r="T324">
        <f>Table6[[#This Row],[Discount]]*Table6[[#This Row],[List Price]]*Table6[[#This Row],[Units]]</f>
        <v>0</v>
      </c>
    </row>
    <row r="325" spans="1:20" x14ac:dyDescent="0.2">
      <c r="A325" t="s">
        <v>418</v>
      </c>
      <c r="B325" s="2">
        <v>46300.794740091587</v>
      </c>
      <c r="C325" t="s">
        <v>98</v>
      </c>
      <c r="D325" t="s">
        <v>85</v>
      </c>
      <c r="E325" t="s">
        <v>56</v>
      </c>
      <c r="F325" t="s">
        <v>7</v>
      </c>
      <c r="G325" t="s">
        <v>66</v>
      </c>
      <c r="H325" t="str">
        <f>_xlfn.XLOOKUP(Table6[[#This Row],[SKU]],tblProductMaster[SKU],tblProductMaster[Product])</f>
        <v>Electric Brush Heads</v>
      </c>
      <c r="I325">
        <v>779</v>
      </c>
      <c r="J325">
        <f>_xlfn.XLOOKUP(G325,[1]!tblProductMaster[SKU],[1]!tblProductMaster[List Price])</f>
        <v>12.99</v>
      </c>
      <c r="K325" t="s">
        <v>86</v>
      </c>
      <c r="L325" s="3">
        <v>0</v>
      </c>
      <c r="M325" s="9">
        <f t="shared" si="25"/>
        <v>12.99</v>
      </c>
      <c r="N325" s="8">
        <f t="shared" si="26"/>
        <v>10119.210000000001</v>
      </c>
      <c r="O325" s="9">
        <f>_xlfn.XLOOKUP(G325,[1]!tblProductMaster[SKU],[1]!tblProductMaster[Unit Cost])</f>
        <v>5.2</v>
      </c>
      <c r="P325" s="8">
        <f t="shared" si="27"/>
        <v>4050.8</v>
      </c>
      <c r="Q325" s="8">
        <f t="shared" si="28"/>
        <v>6068.4100000000008</v>
      </c>
      <c r="R325" s="4">
        <f t="shared" si="29"/>
        <v>0.59969207082371057</v>
      </c>
      <c r="S325" t="s">
        <v>87</v>
      </c>
      <c r="T325">
        <f>Table6[[#This Row],[Discount]]*Table6[[#This Row],[List Price]]*Table6[[#This Row],[Units]]</f>
        <v>0</v>
      </c>
    </row>
    <row r="326" spans="1:20" x14ac:dyDescent="0.2">
      <c r="A326" t="s">
        <v>419</v>
      </c>
      <c r="B326" s="2">
        <v>46169.324464504956</v>
      </c>
      <c r="C326" t="s">
        <v>98</v>
      </c>
      <c r="D326" t="s">
        <v>96</v>
      </c>
      <c r="E326" t="s">
        <v>25</v>
      </c>
      <c r="F326" t="s">
        <v>7</v>
      </c>
      <c r="G326" t="s">
        <v>24</v>
      </c>
      <c r="H326" t="str">
        <f>_xlfn.XLOOKUP(Table6[[#This Row],[SKU]],tblProductMaster[SKU],tblProductMaster[Product])</f>
        <v>Body Lotion 400ml</v>
      </c>
      <c r="I326">
        <v>1002</v>
      </c>
      <c r="J326">
        <f>_xlfn.XLOOKUP(G326,[1]!tblProductMaster[SKU],[1]!tblProductMaster[List Price])</f>
        <v>7.99</v>
      </c>
      <c r="K326" t="s">
        <v>89</v>
      </c>
      <c r="L326" s="3">
        <v>0.3</v>
      </c>
      <c r="M326" s="9">
        <f t="shared" si="25"/>
        <v>5.593</v>
      </c>
      <c r="N326" s="8">
        <f t="shared" si="26"/>
        <v>5604.1859999999997</v>
      </c>
      <c r="O326" s="9">
        <f>_xlfn.XLOOKUP(G326,[1]!tblProductMaster[SKU],[1]!tblProductMaster[Unit Cost])</f>
        <v>3.1</v>
      </c>
      <c r="P326" s="8">
        <f t="shared" si="27"/>
        <v>3106.2000000000003</v>
      </c>
      <c r="Q326" s="8">
        <f t="shared" si="28"/>
        <v>2497.9859999999994</v>
      </c>
      <c r="R326" s="4">
        <f t="shared" si="29"/>
        <v>0.44573574110495257</v>
      </c>
      <c r="S326" t="s">
        <v>94</v>
      </c>
      <c r="T326">
        <f>Table6[[#This Row],[Discount]]*Table6[[#This Row],[List Price]]*Table6[[#This Row],[Units]]</f>
        <v>2401.7939999999999</v>
      </c>
    </row>
    <row r="327" spans="1:20" x14ac:dyDescent="0.2">
      <c r="A327" t="s">
        <v>420</v>
      </c>
      <c r="B327" s="2">
        <v>46204.666984498115</v>
      </c>
      <c r="C327" t="s">
        <v>84</v>
      </c>
      <c r="D327" t="s">
        <v>96</v>
      </c>
      <c r="E327" t="s">
        <v>8</v>
      </c>
      <c r="F327" t="s">
        <v>18</v>
      </c>
      <c r="G327" t="s">
        <v>20</v>
      </c>
      <c r="H327" t="str">
        <f>_xlfn.XLOOKUP(Table6[[#This Row],[SKU]],tblProductMaster[SKU],tblProductMaster[Product])</f>
        <v>Hair Oil</v>
      </c>
      <c r="I327">
        <v>334</v>
      </c>
      <c r="J327">
        <f>_xlfn.XLOOKUP(G327,[1]!tblProductMaster[SKU],[1]!tblProductMaster[List Price])</f>
        <v>7.49</v>
      </c>
      <c r="K327" t="s">
        <v>86</v>
      </c>
      <c r="L327" s="3">
        <v>0</v>
      </c>
      <c r="M327" s="9">
        <f t="shared" si="25"/>
        <v>7.49</v>
      </c>
      <c r="N327" s="8">
        <f t="shared" si="26"/>
        <v>2501.66</v>
      </c>
      <c r="O327" s="9">
        <f>_xlfn.XLOOKUP(G327,[1]!tblProductMaster[SKU],[1]!tblProductMaster[Unit Cost])</f>
        <v>3.1</v>
      </c>
      <c r="P327" s="8">
        <f t="shared" si="27"/>
        <v>1035.4000000000001</v>
      </c>
      <c r="Q327" s="8">
        <f t="shared" si="28"/>
        <v>1466.2599999999998</v>
      </c>
      <c r="R327" s="4">
        <f t="shared" si="29"/>
        <v>0.5861148197596795</v>
      </c>
      <c r="S327" t="s">
        <v>87</v>
      </c>
      <c r="T327">
        <f>Table6[[#This Row],[Discount]]*Table6[[#This Row],[List Price]]*Table6[[#This Row],[Units]]</f>
        <v>0</v>
      </c>
    </row>
    <row r="328" spans="1:20" x14ac:dyDescent="0.2">
      <c r="A328" t="s">
        <v>421</v>
      </c>
      <c r="B328" s="2">
        <v>46115.985872513862</v>
      </c>
      <c r="C328" t="s">
        <v>93</v>
      </c>
      <c r="D328" t="s">
        <v>96</v>
      </c>
      <c r="E328" t="s">
        <v>56</v>
      </c>
      <c r="F328" t="s">
        <v>18</v>
      </c>
      <c r="G328" t="s">
        <v>68</v>
      </c>
      <c r="H328" t="str">
        <f>_xlfn.XLOOKUP(Table6[[#This Row],[SKU]],tblProductMaster[SKU],tblProductMaster[Product])</f>
        <v>Kids Toothpaste</v>
      </c>
      <c r="I328">
        <v>626</v>
      </c>
      <c r="J328">
        <f>_xlfn.XLOOKUP(G328,[1]!tblProductMaster[SKU],[1]!tblProductMaster[List Price])</f>
        <v>3.29</v>
      </c>
      <c r="K328" t="s">
        <v>89</v>
      </c>
      <c r="L328" s="3">
        <v>0.2</v>
      </c>
      <c r="M328" s="9">
        <f t="shared" si="25"/>
        <v>2.6320000000000001</v>
      </c>
      <c r="N328" s="8">
        <f t="shared" si="26"/>
        <v>1647.6320000000001</v>
      </c>
      <c r="O328" s="9">
        <f>_xlfn.XLOOKUP(G328,[1]!tblProductMaster[SKU],[1]!tblProductMaster[Unit Cost])</f>
        <v>1.1000000000000001</v>
      </c>
      <c r="P328" s="8">
        <f t="shared" si="27"/>
        <v>688.6</v>
      </c>
      <c r="Q328" s="8">
        <f t="shared" si="28"/>
        <v>959.03200000000004</v>
      </c>
      <c r="R328" s="4">
        <f t="shared" si="29"/>
        <v>0.58206686930091189</v>
      </c>
      <c r="S328" t="s">
        <v>94</v>
      </c>
      <c r="T328">
        <f>Table6[[#This Row],[Discount]]*Table6[[#This Row],[List Price]]*Table6[[#This Row],[Units]]</f>
        <v>411.90800000000002</v>
      </c>
    </row>
    <row r="329" spans="1:20" x14ac:dyDescent="0.2">
      <c r="A329" t="s">
        <v>422</v>
      </c>
      <c r="B329" s="2">
        <v>46355.479392673413</v>
      </c>
      <c r="C329" t="s">
        <v>93</v>
      </c>
      <c r="D329" t="s">
        <v>85</v>
      </c>
      <c r="E329" t="s">
        <v>25</v>
      </c>
      <c r="F329" t="s">
        <v>15</v>
      </c>
      <c r="G329" t="s">
        <v>35</v>
      </c>
      <c r="H329" t="str">
        <f>_xlfn.XLOOKUP(Table6[[#This Row],[SKU]],tblProductMaster[SKU],tblProductMaster[Product])</f>
        <v>Hand Cream</v>
      </c>
      <c r="I329">
        <v>725</v>
      </c>
      <c r="J329">
        <f>_xlfn.XLOOKUP(G329,[1]!tblProductMaster[SKU],[1]!tblProductMaster[List Price])</f>
        <v>4.99</v>
      </c>
      <c r="K329" t="s">
        <v>86</v>
      </c>
      <c r="L329" s="3">
        <v>0</v>
      </c>
      <c r="M329" s="9">
        <f t="shared" si="25"/>
        <v>4.99</v>
      </c>
      <c r="N329" s="8">
        <f t="shared" si="26"/>
        <v>3617.75</v>
      </c>
      <c r="O329" s="9">
        <f>_xlfn.XLOOKUP(G329,[1]!tblProductMaster[SKU],[1]!tblProductMaster[Unit Cost])</f>
        <v>2.1</v>
      </c>
      <c r="P329" s="8">
        <f t="shared" si="27"/>
        <v>1522.5</v>
      </c>
      <c r="Q329" s="8">
        <f t="shared" si="28"/>
        <v>2095.25</v>
      </c>
      <c r="R329" s="4">
        <f t="shared" si="29"/>
        <v>0.57915831663326656</v>
      </c>
      <c r="S329" t="s">
        <v>87</v>
      </c>
      <c r="T329">
        <f>Table6[[#This Row],[Discount]]*Table6[[#This Row],[List Price]]*Table6[[#This Row],[Units]]</f>
        <v>0</v>
      </c>
    </row>
    <row r="330" spans="1:20" x14ac:dyDescent="0.2">
      <c r="A330" t="s">
        <v>423</v>
      </c>
      <c r="B330" s="2">
        <v>46112.259602500853</v>
      </c>
      <c r="C330" t="s">
        <v>84</v>
      </c>
      <c r="D330" t="s">
        <v>104</v>
      </c>
      <c r="E330" t="s">
        <v>56</v>
      </c>
      <c r="F330" t="s">
        <v>7</v>
      </c>
      <c r="G330" t="s">
        <v>66</v>
      </c>
      <c r="H330" t="str">
        <f>_xlfn.XLOOKUP(Table6[[#This Row],[SKU]],tblProductMaster[SKU],tblProductMaster[Product])</f>
        <v>Electric Brush Heads</v>
      </c>
      <c r="I330">
        <v>721</v>
      </c>
      <c r="J330">
        <f>_xlfn.XLOOKUP(G330,[1]!tblProductMaster[SKU],[1]!tblProductMaster[List Price])</f>
        <v>12.99</v>
      </c>
      <c r="K330" t="s">
        <v>86</v>
      </c>
      <c r="L330" s="3">
        <v>0</v>
      </c>
      <c r="M330" s="9">
        <f t="shared" si="25"/>
        <v>12.99</v>
      </c>
      <c r="N330" s="8">
        <f t="shared" si="26"/>
        <v>9365.7900000000009</v>
      </c>
      <c r="O330" s="9">
        <f>_xlfn.XLOOKUP(G330,[1]!tblProductMaster[SKU],[1]!tblProductMaster[Unit Cost])</f>
        <v>5.2</v>
      </c>
      <c r="P330" s="8">
        <f t="shared" si="27"/>
        <v>3749.2000000000003</v>
      </c>
      <c r="Q330" s="8">
        <f t="shared" si="28"/>
        <v>5616.59</v>
      </c>
      <c r="R330" s="4">
        <f t="shared" si="29"/>
        <v>0.59969207082371045</v>
      </c>
      <c r="S330" t="s">
        <v>87</v>
      </c>
      <c r="T330">
        <f>Table6[[#This Row],[Discount]]*Table6[[#This Row],[List Price]]*Table6[[#This Row],[Units]]</f>
        <v>0</v>
      </c>
    </row>
    <row r="331" spans="1:20" x14ac:dyDescent="0.2">
      <c r="A331" t="s">
        <v>424</v>
      </c>
      <c r="B331" s="2">
        <v>46228.624679054396</v>
      </c>
      <c r="C331" t="s">
        <v>98</v>
      </c>
      <c r="D331" t="s">
        <v>96</v>
      </c>
      <c r="E331" t="s">
        <v>8</v>
      </c>
      <c r="F331" t="s">
        <v>15</v>
      </c>
      <c r="G331" t="s">
        <v>14</v>
      </c>
      <c r="H331" t="str">
        <f>_xlfn.XLOOKUP(Table6[[#This Row],[SKU]],tblProductMaster[SKU],tblProductMaster[Product])</f>
        <v>Shampoo 250ml</v>
      </c>
      <c r="I331">
        <v>462</v>
      </c>
      <c r="J331">
        <f>_xlfn.XLOOKUP(G331,[1]!tblProductMaster[SKU],[1]!tblProductMaster[List Price])</f>
        <v>4.99</v>
      </c>
      <c r="K331" t="s">
        <v>86</v>
      </c>
      <c r="L331" s="3">
        <v>0</v>
      </c>
      <c r="M331" s="9">
        <f t="shared" si="25"/>
        <v>4.99</v>
      </c>
      <c r="N331" s="8">
        <f t="shared" si="26"/>
        <v>2305.38</v>
      </c>
      <c r="O331" s="9">
        <f>_xlfn.XLOOKUP(G331,[1]!tblProductMaster[SKU],[1]!tblProductMaster[Unit Cost])</f>
        <v>2.1</v>
      </c>
      <c r="P331" s="8">
        <f t="shared" si="27"/>
        <v>970.2</v>
      </c>
      <c r="Q331" s="8">
        <f t="shared" si="28"/>
        <v>1335.18</v>
      </c>
      <c r="R331" s="4">
        <f t="shared" si="29"/>
        <v>0.57915831663326656</v>
      </c>
      <c r="S331" t="s">
        <v>87</v>
      </c>
      <c r="T331">
        <f>Table6[[#This Row],[Discount]]*Table6[[#This Row],[List Price]]*Table6[[#This Row],[Units]]</f>
        <v>0</v>
      </c>
    </row>
    <row r="332" spans="1:20" x14ac:dyDescent="0.2">
      <c r="A332" t="s">
        <v>425</v>
      </c>
      <c r="B332" s="2">
        <v>46053.945393480986</v>
      </c>
      <c r="C332" t="s">
        <v>98</v>
      </c>
      <c r="D332" t="s">
        <v>96</v>
      </c>
      <c r="E332" t="s">
        <v>25</v>
      </c>
      <c r="F332" t="s">
        <v>18</v>
      </c>
      <c r="G332" t="s">
        <v>37</v>
      </c>
      <c r="H332" t="str">
        <f>_xlfn.XLOOKUP(Table6[[#This Row],[SKU]],tblProductMaster[SKU],tblProductMaster[Product])</f>
        <v>Body Wash</v>
      </c>
      <c r="I332">
        <v>1162</v>
      </c>
      <c r="J332">
        <f>_xlfn.XLOOKUP(G332,[1]!tblProductMaster[SKU],[1]!tblProductMaster[List Price])</f>
        <v>5.49</v>
      </c>
      <c r="K332" t="s">
        <v>89</v>
      </c>
      <c r="L332" s="3">
        <v>0.3</v>
      </c>
      <c r="M332" s="9">
        <f t="shared" si="25"/>
        <v>3.843</v>
      </c>
      <c r="N332" s="8">
        <f t="shared" si="26"/>
        <v>4465.5659999999998</v>
      </c>
      <c r="O332" s="9">
        <f>_xlfn.XLOOKUP(G332,[1]!tblProductMaster[SKU],[1]!tblProductMaster[Unit Cost])</f>
        <v>2.2999999999999998</v>
      </c>
      <c r="P332" s="8">
        <f t="shared" si="27"/>
        <v>2672.6</v>
      </c>
      <c r="Q332" s="8">
        <f t="shared" si="28"/>
        <v>1792.9659999999999</v>
      </c>
      <c r="R332" s="4">
        <f t="shared" si="29"/>
        <v>0.40150923757481133</v>
      </c>
      <c r="S332" t="s">
        <v>90</v>
      </c>
      <c r="T332">
        <f>Table6[[#This Row],[Discount]]*Table6[[#This Row],[List Price]]*Table6[[#This Row],[Units]]</f>
        <v>1913.8140000000001</v>
      </c>
    </row>
    <row r="333" spans="1:20" x14ac:dyDescent="0.2">
      <c r="A333" t="s">
        <v>426</v>
      </c>
      <c r="B333" s="2">
        <v>46339.571156496713</v>
      </c>
      <c r="C333" t="s">
        <v>84</v>
      </c>
      <c r="D333" t="s">
        <v>85</v>
      </c>
      <c r="E333" t="s">
        <v>56</v>
      </c>
      <c r="F333" t="s">
        <v>15</v>
      </c>
      <c r="G333" t="s">
        <v>62</v>
      </c>
      <c r="H333" t="str">
        <f>_xlfn.XLOOKUP(Table6[[#This Row],[SKU]],tblProductMaster[SKU],tblProductMaster[Product])</f>
        <v>Mouthwash 500ml</v>
      </c>
      <c r="I333">
        <v>264</v>
      </c>
      <c r="J333">
        <f>_xlfn.XLOOKUP(G333,[1]!tblProductMaster[SKU],[1]!tblProductMaster[List Price])</f>
        <v>5.99</v>
      </c>
      <c r="K333" t="s">
        <v>86</v>
      </c>
      <c r="L333" s="3">
        <v>0</v>
      </c>
      <c r="M333" s="9">
        <f t="shared" si="25"/>
        <v>5.99</v>
      </c>
      <c r="N333" s="8">
        <f t="shared" si="26"/>
        <v>1581.3600000000001</v>
      </c>
      <c r="O333" s="9">
        <f>_xlfn.XLOOKUP(G333,[1]!tblProductMaster[SKU],[1]!tblProductMaster[Unit Cost])</f>
        <v>2.4</v>
      </c>
      <c r="P333" s="8">
        <f t="shared" si="27"/>
        <v>633.6</v>
      </c>
      <c r="Q333" s="8">
        <f t="shared" si="28"/>
        <v>947.7600000000001</v>
      </c>
      <c r="R333" s="4">
        <f t="shared" si="29"/>
        <v>0.59933222036727885</v>
      </c>
      <c r="S333" t="s">
        <v>87</v>
      </c>
      <c r="T333">
        <f>Table6[[#This Row],[Discount]]*Table6[[#This Row],[List Price]]*Table6[[#This Row],[Units]]</f>
        <v>0</v>
      </c>
    </row>
    <row r="334" spans="1:20" x14ac:dyDescent="0.2">
      <c r="A334" t="s">
        <v>427</v>
      </c>
      <c r="B334" s="2">
        <v>46215.180802893134</v>
      </c>
      <c r="C334" t="s">
        <v>93</v>
      </c>
      <c r="D334" t="s">
        <v>96</v>
      </c>
      <c r="E334" t="s">
        <v>25</v>
      </c>
      <c r="F334" t="s">
        <v>15</v>
      </c>
      <c r="G334" t="s">
        <v>29</v>
      </c>
      <c r="H334" t="str">
        <f>_xlfn.XLOOKUP(Table6[[#This Row],[SKU]],tblProductMaster[SKU],tblProductMaster[Product])</f>
        <v>Shower Gel 250ml</v>
      </c>
      <c r="I334">
        <v>201</v>
      </c>
      <c r="J334">
        <f>_xlfn.XLOOKUP(G334,[1]!tblProductMaster[SKU],[1]!tblProductMaster[List Price])</f>
        <v>4.49</v>
      </c>
      <c r="K334" t="s">
        <v>86</v>
      </c>
      <c r="L334" s="3">
        <v>0</v>
      </c>
      <c r="M334" s="9">
        <f t="shared" si="25"/>
        <v>4.49</v>
      </c>
      <c r="N334" s="8">
        <f t="shared" si="26"/>
        <v>902.49</v>
      </c>
      <c r="O334" s="9">
        <f>_xlfn.XLOOKUP(G334,[1]!tblProductMaster[SKU],[1]!tblProductMaster[Unit Cost])</f>
        <v>1.9</v>
      </c>
      <c r="P334" s="8">
        <f t="shared" si="27"/>
        <v>381.9</v>
      </c>
      <c r="Q334" s="8">
        <f t="shared" si="28"/>
        <v>520.59</v>
      </c>
      <c r="R334" s="4">
        <f t="shared" si="29"/>
        <v>0.57683741648106912</v>
      </c>
      <c r="S334" t="s">
        <v>87</v>
      </c>
      <c r="T334">
        <f>Table6[[#This Row],[Discount]]*Table6[[#This Row],[List Price]]*Table6[[#This Row],[Units]]</f>
        <v>0</v>
      </c>
    </row>
    <row r="335" spans="1:20" x14ac:dyDescent="0.2">
      <c r="A335" t="s">
        <v>428</v>
      </c>
      <c r="B335" s="2">
        <v>46368.280023430481</v>
      </c>
      <c r="C335" t="s">
        <v>84</v>
      </c>
      <c r="D335" t="s">
        <v>104</v>
      </c>
      <c r="E335" t="s">
        <v>8</v>
      </c>
      <c r="F335" t="s">
        <v>18</v>
      </c>
      <c r="G335" t="s">
        <v>20</v>
      </c>
      <c r="H335" t="str">
        <f>_xlfn.XLOOKUP(Table6[[#This Row],[SKU]],tblProductMaster[SKU],tblProductMaster[Product])</f>
        <v>Hair Oil</v>
      </c>
      <c r="I335">
        <v>477</v>
      </c>
      <c r="J335">
        <f>_xlfn.XLOOKUP(G335,[1]!tblProductMaster[SKU],[1]!tblProductMaster[List Price])</f>
        <v>7.49</v>
      </c>
      <c r="K335" t="s">
        <v>86</v>
      </c>
      <c r="L335" s="3">
        <v>0</v>
      </c>
      <c r="M335" s="9">
        <f t="shared" si="25"/>
        <v>7.49</v>
      </c>
      <c r="N335" s="8">
        <f t="shared" si="26"/>
        <v>3572.73</v>
      </c>
      <c r="O335" s="9">
        <f>_xlfn.XLOOKUP(G335,[1]!tblProductMaster[SKU],[1]!tblProductMaster[Unit Cost])</f>
        <v>3.1</v>
      </c>
      <c r="P335" s="8">
        <f t="shared" si="27"/>
        <v>1478.7</v>
      </c>
      <c r="Q335" s="8">
        <f t="shared" si="28"/>
        <v>2094.0299999999997</v>
      </c>
      <c r="R335" s="4">
        <f t="shared" si="29"/>
        <v>0.5861148197596795</v>
      </c>
      <c r="S335" t="s">
        <v>87</v>
      </c>
      <c r="T335">
        <f>Table6[[#This Row],[Discount]]*Table6[[#This Row],[List Price]]*Table6[[#This Row],[Units]]</f>
        <v>0</v>
      </c>
    </row>
    <row r="336" spans="1:20" x14ac:dyDescent="0.2">
      <c r="A336" t="s">
        <v>429</v>
      </c>
      <c r="B336" s="2">
        <v>46074.243410385578</v>
      </c>
      <c r="C336" t="s">
        <v>98</v>
      </c>
      <c r="D336" t="s">
        <v>96</v>
      </c>
      <c r="E336" t="s">
        <v>40</v>
      </c>
      <c r="F336" t="s">
        <v>15</v>
      </c>
      <c r="G336" t="s">
        <v>46</v>
      </c>
      <c r="H336" t="str">
        <f>_xlfn.XLOOKUP(Table6[[#This Row],[SKU]],tblProductMaster[SKU],tblProductMaster[Product])</f>
        <v>Stain Remover</v>
      </c>
      <c r="I336">
        <v>735</v>
      </c>
      <c r="J336">
        <f>_xlfn.XLOOKUP(G336,[1]!tblProductMaster[SKU],[1]!tblProductMaster[List Price])</f>
        <v>5.99</v>
      </c>
      <c r="K336" t="s">
        <v>86</v>
      </c>
      <c r="L336" s="3">
        <v>0</v>
      </c>
      <c r="M336" s="9">
        <f t="shared" si="25"/>
        <v>5.99</v>
      </c>
      <c r="N336" s="8">
        <f t="shared" si="26"/>
        <v>4402.6500000000005</v>
      </c>
      <c r="O336" s="9">
        <f>_xlfn.XLOOKUP(G336,[1]!tblProductMaster[SKU],[1]!tblProductMaster[Unit Cost])</f>
        <v>2.5</v>
      </c>
      <c r="P336" s="8">
        <f t="shared" si="27"/>
        <v>1837.5</v>
      </c>
      <c r="Q336" s="8">
        <f t="shared" si="28"/>
        <v>2565.1500000000005</v>
      </c>
      <c r="R336" s="4">
        <f t="shared" si="29"/>
        <v>0.58263772954924875</v>
      </c>
      <c r="S336" t="s">
        <v>87</v>
      </c>
      <c r="T336">
        <f>Table6[[#This Row],[Discount]]*Table6[[#This Row],[List Price]]*Table6[[#This Row],[Units]]</f>
        <v>0</v>
      </c>
    </row>
    <row r="337" spans="1:20" x14ac:dyDescent="0.2">
      <c r="A337" t="s">
        <v>430</v>
      </c>
      <c r="B337" s="2">
        <v>46234.833859482067</v>
      </c>
      <c r="C337" t="s">
        <v>98</v>
      </c>
      <c r="D337" t="s">
        <v>104</v>
      </c>
      <c r="E337" t="s">
        <v>56</v>
      </c>
      <c r="F337" t="s">
        <v>7</v>
      </c>
      <c r="G337" t="s">
        <v>58</v>
      </c>
      <c r="H337" t="str">
        <f>_xlfn.XLOOKUP(Table6[[#This Row],[SKU]],tblProductMaster[SKU],tblProductMaster[Product])</f>
        <v>Whitening Toothpaste</v>
      </c>
      <c r="I337">
        <v>209</v>
      </c>
      <c r="J337">
        <f>_xlfn.XLOOKUP(G337,[1]!tblProductMaster[SKU],[1]!tblProductMaster[List Price])</f>
        <v>4.99</v>
      </c>
      <c r="K337" t="s">
        <v>86</v>
      </c>
      <c r="L337" s="3">
        <v>0</v>
      </c>
      <c r="M337" s="9">
        <f t="shared" si="25"/>
        <v>4.99</v>
      </c>
      <c r="N337" s="8">
        <f t="shared" si="26"/>
        <v>1042.9100000000001</v>
      </c>
      <c r="O337" s="9">
        <f>_xlfn.XLOOKUP(G337,[1]!tblProductMaster[SKU],[1]!tblProductMaster[Unit Cost])</f>
        <v>1.8</v>
      </c>
      <c r="P337" s="8">
        <f t="shared" si="27"/>
        <v>376.2</v>
      </c>
      <c r="Q337" s="8">
        <f t="shared" si="28"/>
        <v>666.71</v>
      </c>
      <c r="R337" s="4">
        <f t="shared" si="29"/>
        <v>0.63927855711422843</v>
      </c>
      <c r="S337" t="s">
        <v>87</v>
      </c>
      <c r="T337">
        <f>Table6[[#This Row],[Discount]]*Table6[[#This Row],[List Price]]*Table6[[#This Row],[Units]]</f>
        <v>0</v>
      </c>
    </row>
    <row r="338" spans="1:20" x14ac:dyDescent="0.2">
      <c r="A338" t="s">
        <v>431</v>
      </c>
      <c r="B338" s="2">
        <v>46363.433320203054</v>
      </c>
      <c r="C338" t="s">
        <v>93</v>
      </c>
      <c r="D338" t="s">
        <v>85</v>
      </c>
      <c r="E338" t="s">
        <v>40</v>
      </c>
      <c r="F338" t="s">
        <v>18</v>
      </c>
      <c r="G338" t="s">
        <v>50</v>
      </c>
      <c r="H338" t="str">
        <f>_xlfn.XLOOKUP(Table6[[#This Row],[SKU]],tblProductMaster[SKU],tblProductMaster[Product])</f>
        <v>Sensitive Detergent</v>
      </c>
      <c r="I338">
        <v>621</v>
      </c>
      <c r="J338">
        <f>_xlfn.XLOOKUP(G338,[1]!tblProductMaster[SKU],[1]!tblProductMaster[List Price])</f>
        <v>8.99</v>
      </c>
      <c r="K338" t="s">
        <v>89</v>
      </c>
      <c r="L338" s="3">
        <v>0.3</v>
      </c>
      <c r="M338" s="9">
        <f t="shared" si="25"/>
        <v>6.2930000000000001</v>
      </c>
      <c r="N338" s="8">
        <f t="shared" si="26"/>
        <v>3907.953</v>
      </c>
      <c r="O338" s="9">
        <f>_xlfn.XLOOKUP(G338,[1]!tblProductMaster[SKU],[1]!tblProductMaster[Unit Cost])</f>
        <v>4</v>
      </c>
      <c r="P338" s="8">
        <f t="shared" si="27"/>
        <v>2484</v>
      </c>
      <c r="Q338" s="8">
        <f t="shared" si="28"/>
        <v>1423.953</v>
      </c>
      <c r="R338" s="4">
        <f t="shared" si="29"/>
        <v>0.36437311298267916</v>
      </c>
      <c r="S338" t="s">
        <v>90</v>
      </c>
      <c r="T338">
        <f>Table6[[#This Row],[Discount]]*Table6[[#This Row],[List Price]]*Table6[[#This Row],[Units]]</f>
        <v>1674.837</v>
      </c>
    </row>
    <row r="339" spans="1:20" x14ac:dyDescent="0.2">
      <c r="A339" t="s">
        <v>432</v>
      </c>
      <c r="B339" s="2">
        <v>46241.533281513548</v>
      </c>
      <c r="C339" t="s">
        <v>98</v>
      </c>
      <c r="D339" t="s">
        <v>96</v>
      </c>
      <c r="E339" t="s">
        <v>56</v>
      </c>
      <c r="F339" t="s">
        <v>18</v>
      </c>
      <c r="G339" t="s">
        <v>68</v>
      </c>
      <c r="H339" t="str">
        <f>_xlfn.XLOOKUP(Table6[[#This Row],[SKU]],tblProductMaster[SKU],tblProductMaster[Product])</f>
        <v>Kids Toothpaste</v>
      </c>
      <c r="I339">
        <v>672</v>
      </c>
      <c r="J339">
        <f>_xlfn.XLOOKUP(G339,[1]!tblProductMaster[SKU],[1]!tblProductMaster[List Price])</f>
        <v>3.29</v>
      </c>
      <c r="K339" t="s">
        <v>86</v>
      </c>
      <c r="L339" s="3">
        <v>0</v>
      </c>
      <c r="M339" s="9">
        <f t="shared" si="25"/>
        <v>3.29</v>
      </c>
      <c r="N339" s="8">
        <f t="shared" si="26"/>
        <v>2210.88</v>
      </c>
      <c r="O339" s="9">
        <f>_xlfn.XLOOKUP(G339,[1]!tblProductMaster[SKU],[1]!tblProductMaster[Unit Cost])</f>
        <v>1.1000000000000001</v>
      </c>
      <c r="P339" s="8">
        <f t="shared" si="27"/>
        <v>739.2</v>
      </c>
      <c r="Q339" s="8">
        <f t="shared" si="28"/>
        <v>1471.68</v>
      </c>
      <c r="R339" s="4">
        <f t="shared" si="29"/>
        <v>0.66565349544072949</v>
      </c>
      <c r="S339" t="s">
        <v>87</v>
      </c>
      <c r="T339">
        <f>Table6[[#This Row],[Discount]]*Table6[[#This Row],[List Price]]*Table6[[#This Row],[Units]]</f>
        <v>0</v>
      </c>
    </row>
    <row r="340" spans="1:20" x14ac:dyDescent="0.2">
      <c r="A340" t="s">
        <v>433</v>
      </c>
      <c r="B340" s="2">
        <v>46169.345144811989</v>
      </c>
      <c r="C340" t="s">
        <v>98</v>
      </c>
      <c r="D340" t="s">
        <v>85</v>
      </c>
      <c r="E340" t="s">
        <v>25</v>
      </c>
      <c r="F340" t="s">
        <v>15</v>
      </c>
      <c r="G340" t="s">
        <v>35</v>
      </c>
      <c r="H340" t="str">
        <f>_xlfn.XLOOKUP(Table6[[#This Row],[SKU]],tblProductMaster[SKU],tblProductMaster[Product])</f>
        <v>Hand Cream</v>
      </c>
      <c r="I340">
        <v>674</v>
      </c>
      <c r="J340">
        <f>_xlfn.XLOOKUP(G340,[1]!tblProductMaster[SKU],[1]!tblProductMaster[List Price])</f>
        <v>4.99</v>
      </c>
      <c r="K340" t="s">
        <v>86</v>
      </c>
      <c r="L340" s="3">
        <v>0</v>
      </c>
      <c r="M340" s="9">
        <f t="shared" si="25"/>
        <v>4.99</v>
      </c>
      <c r="N340" s="8">
        <f t="shared" si="26"/>
        <v>3363.26</v>
      </c>
      <c r="O340" s="9">
        <f>_xlfn.XLOOKUP(G340,[1]!tblProductMaster[SKU],[1]!tblProductMaster[Unit Cost])</f>
        <v>2.1</v>
      </c>
      <c r="P340" s="8">
        <f t="shared" si="27"/>
        <v>1415.4</v>
      </c>
      <c r="Q340" s="8">
        <f t="shared" si="28"/>
        <v>1947.8600000000001</v>
      </c>
      <c r="R340" s="4">
        <f t="shared" si="29"/>
        <v>0.57915831663326656</v>
      </c>
      <c r="S340" t="s">
        <v>87</v>
      </c>
      <c r="T340">
        <f>Table6[[#This Row],[Discount]]*Table6[[#This Row],[List Price]]*Table6[[#This Row],[Units]]</f>
        <v>0</v>
      </c>
    </row>
    <row r="341" spans="1:20" x14ac:dyDescent="0.2">
      <c r="A341" t="s">
        <v>434</v>
      </c>
      <c r="B341" s="2">
        <v>46229.97101665636</v>
      </c>
      <c r="C341" t="s">
        <v>98</v>
      </c>
      <c r="D341" t="s">
        <v>96</v>
      </c>
      <c r="E341" t="s">
        <v>25</v>
      </c>
      <c r="F341" t="s">
        <v>18</v>
      </c>
      <c r="G341" t="s">
        <v>27</v>
      </c>
      <c r="H341" t="str">
        <f>_xlfn.XLOOKUP(Table6[[#This Row],[SKU]],tblProductMaster[SKU],tblProductMaster[Product])</f>
        <v>Face Cream 50ml</v>
      </c>
      <c r="I341">
        <v>660</v>
      </c>
      <c r="J341">
        <f>_xlfn.XLOOKUP(G341,[1]!tblProductMaster[SKU],[1]!tblProductMaster[List Price])</f>
        <v>9.99</v>
      </c>
      <c r="K341" t="s">
        <v>86</v>
      </c>
      <c r="L341" s="3">
        <v>0</v>
      </c>
      <c r="M341" s="9">
        <f t="shared" si="25"/>
        <v>9.99</v>
      </c>
      <c r="N341" s="8">
        <f t="shared" si="26"/>
        <v>6593.4000000000005</v>
      </c>
      <c r="O341" s="9">
        <f>_xlfn.XLOOKUP(G341,[1]!tblProductMaster[SKU],[1]!tblProductMaster[Unit Cost])</f>
        <v>4.2</v>
      </c>
      <c r="P341" s="8">
        <f t="shared" si="27"/>
        <v>2772</v>
      </c>
      <c r="Q341" s="8">
        <f t="shared" si="28"/>
        <v>3821.4000000000005</v>
      </c>
      <c r="R341" s="4">
        <f t="shared" si="29"/>
        <v>0.57957957957957962</v>
      </c>
      <c r="S341" t="s">
        <v>87</v>
      </c>
      <c r="T341">
        <f>Table6[[#This Row],[Discount]]*Table6[[#This Row],[List Price]]*Table6[[#This Row],[Units]]</f>
        <v>0</v>
      </c>
    </row>
    <row r="342" spans="1:20" x14ac:dyDescent="0.2">
      <c r="A342" t="s">
        <v>435</v>
      </c>
      <c r="B342" s="2">
        <v>46194.192986447706</v>
      </c>
      <c r="C342" t="s">
        <v>98</v>
      </c>
      <c r="D342" t="s">
        <v>85</v>
      </c>
      <c r="E342" t="s">
        <v>40</v>
      </c>
      <c r="F342" t="s">
        <v>15</v>
      </c>
      <c r="G342" t="s">
        <v>52</v>
      </c>
      <c r="H342" t="str">
        <f>_xlfn.XLOOKUP(Table6[[#This Row],[SKU]],tblProductMaster[SKU],tblProductMaster[Product])</f>
        <v>Laundry Pods</v>
      </c>
      <c r="I342">
        <v>482</v>
      </c>
      <c r="J342">
        <f>_xlfn.XLOOKUP(G342,[1]!tblProductMaster[SKU],[1]!tblProductMaster[List Price])</f>
        <v>10.49</v>
      </c>
      <c r="K342" t="s">
        <v>86</v>
      </c>
      <c r="L342" s="3">
        <v>0</v>
      </c>
      <c r="M342" s="9">
        <f t="shared" si="25"/>
        <v>10.49</v>
      </c>
      <c r="N342" s="8">
        <f t="shared" si="26"/>
        <v>5056.18</v>
      </c>
      <c r="O342" s="9">
        <f>_xlfn.XLOOKUP(G342,[1]!tblProductMaster[SKU],[1]!tblProductMaster[Unit Cost])</f>
        <v>4.5999999999999996</v>
      </c>
      <c r="P342" s="8">
        <f t="shared" si="27"/>
        <v>2217.1999999999998</v>
      </c>
      <c r="Q342" s="8">
        <f t="shared" si="28"/>
        <v>2838.9800000000005</v>
      </c>
      <c r="R342" s="4">
        <f t="shared" si="29"/>
        <v>0.56148713060057198</v>
      </c>
      <c r="S342" t="s">
        <v>87</v>
      </c>
      <c r="T342">
        <f>Table6[[#This Row],[Discount]]*Table6[[#This Row],[List Price]]*Table6[[#This Row],[Units]]</f>
        <v>0</v>
      </c>
    </row>
    <row r="343" spans="1:20" x14ac:dyDescent="0.2">
      <c r="A343" t="s">
        <v>436</v>
      </c>
      <c r="B343" s="2">
        <v>46177.259276919489</v>
      </c>
      <c r="C343" t="s">
        <v>93</v>
      </c>
      <c r="D343" t="s">
        <v>104</v>
      </c>
      <c r="E343" t="s">
        <v>40</v>
      </c>
      <c r="F343" t="s">
        <v>15</v>
      </c>
      <c r="G343" t="s">
        <v>46</v>
      </c>
      <c r="H343" t="str">
        <f>_xlfn.XLOOKUP(Table6[[#This Row],[SKU]],tblProductMaster[SKU],tblProductMaster[Product])</f>
        <v>Stain Remover</v>
      </c>
      <c r="I343">
        <v>1114</v>
      </c>
      <c r="J343">
        <f>_xlfn.XLOOKUP(G343,[1]!tblProductMaster[SKU],[1]!tblProductMaster[List Price])</f>
        <v>5.99</v>
      </c>
      <c r="K343" t="s">
        <v>89</v>
      </c>
      <c r="L343" s="3">
        <v>0.3</v>
      </c>
      <c r="M343" s="9">
        <f t="shared" si="25"/>
        <v>4.1929999999999996</v>
      </c>
      <c r="N343" s="8">
        <f t="shared" si="26"/>
        <v>4671.0019999999995</v>
      </c>
      <c r="O343" s="9">
        <f>_xlfn.XLOOKUP(G343,[1]!tblProductMaster[SKU],[1]!tblProductMaster[Unit Cost])</f>
        <v>2.5</v>
      </c>
      <c r="P343" s="8">
        <f t="shared" si="27"/>
        <v>2785</v>
      </c>
      <c r="Q343" s="8">
        <f t="shared" si="28"/>
        <v>1886.0019999999995</v>
      </c>
      <c r="R343" s="4">
        <f t="shared" si="29"/>
        <v>0.40376818507035528</v>
      </c>
      <c r="S343" t="s">
        <v>99</v>
      </c>
      <c r="T343">
        <f>Table6[[#This Row],[Discount]]*Table6[[#This Row],[List Price]]*Table6[[#This Row],[Units]]</f>
        <v>2001.8579999999999</v>
      </c>
    </row>
    <row r="344" spans="1:20" x14ac:dyDescent="0.2">
      <c r="A344" t="s">
        <v>437</v>
      </c>
      <c r="B344" s="2">
        <v>46362.711562344797</v>
      </c>
      <c r="C344" t="s">
        <v>98</v>
      </c>
      <c r="D344" t="s">
        <v>104</v>
      </c>
      <c r="E344" t="s">
        <v>56</v>
      </c>
      <c r="F344" t="s">
        <v>7</v>
      </c>
      <c r="G344" t="s">
        <v>66</v>
      </c>
      <c r="H344" t="str">
        <f>_xlfn.XLOOKUP(Table6[[#This Row],[SKU]],tblProductMaster[SKU],tblProductMaster[Product])</f>
        <v>Electric Brush Heads</v>
      </c>
      <c r="I344">
        <v>286</v>
      </c>
      <c r="J344">
        <f>_xlfn.XLOOKUP(G344,[1]!tblProductMaster[SKU],[1]!tblProductMaster[List Price])</f>
        <v>12.99</v>
      </c>
      <c r="K344" t="s">
        <v>86</v>
      </c>
      <c r="L344" s="3">
        <v>0</v>
      </c>
      <c r="M344" s="9">
        <f t="shared" si="25"/>
        <v>12.99</v>
      </c>
      <c r="N344" s="8">
        <f t="shared" si="26"/>
        <v>3715.14</v>
      </c>
      <c r="O344" s="9">
        <f>_xlfn.XLOOKUP(G344,[1]!tblProductMaster[SKU],[1]!tblProductMaster[Unit Cost])</f>
        <v>5.2</v>
      </c>
      <c r="P344" s="8">
        <f t="shared" si="27"/>
        <v>1487.2</v>
      </c>
      <c r="Q344" s="8">
        <f t="shared" si="28"/>
        <v>2227.9399999999996</v>
      </c>
      <c r="R344" s="4">
        <f t="shared" si="29"/>
        <v>0.59969207082371045</v>
      </c>
      <c r="S344" t="s">
        <v>87</v>
      </c>
      <c r="T344">
        <f>Table6[[#This Row],[Discount]]*Table6[[#This Row],[List Price]]*Table6[[#This Row],[Units]]</f>
        <v>0</v>
      </c>
    </row>
    <row r="345" spans="1:20" x14ac:dyDescent="0.2">
      <c r="A345" t="s">
        <v>438</v>
      </c>
      <c r="B345" s="2">
        <v>46165.484985880488</v>
      </c>
      <c r="C345" t="s">
        <v>93</v>
      </c>
      <c r="D345" t="s">
        <v>104</v>
      </c>
      <c r="E345" t="s">
        <v>40</v>
      </c>
      <c r="F345" t="s">
        <v>18</v>
      </c>
      <c r="G345" t="s">
        <v>42</v>
      </c>
      <c r="H345" t="str">
        <f>_xlfn.XLOOKUP(Table6[[#This Row],[SKU]],tblProductMaster[SKU],tblProductMaster[Product])</f>
        <v>Detergent Capsules</v>
      </c>
      <c r="I345">
        <v>618</v>
      </c>
      <c r="J345">
        <f>_xlfn.XLOOKUP(G345,[1]!tblProductMaster[SKU],[1]!tblProductMaster[List Price])</f>
        <v>11.99</v>
      </c>
      <c r="K345" t="s">
        <v>86</v>
      </c>
      <c r="L345" s="3">
        <v>0</v>
      </c>
      <c r="M345" s="9">
        <f t="shared" si="25"/>
        <v>11.99</v>
      </c>
      <c r="N345" s="8">
        <f t="shared" si="26"/>
        <v>7409.82</v>
      </c>
      <c r="O345" s="9">
        <f>_xlfn.XLOOKUP(G345,[1]!tblProductMaster[SKU],[1]!tblProductMaster[Unit Cost])</f>
        <v>5.2</v>
      </c>
      <c r="P345" s="8">
        <f t="shared" si="27"/>
        <v>3213.6</v>
      </c>
      <c r="Q345" s="8">
        <f t="shared" si="28"/>
        <v>4196.2199999999993</v>
      </c>
      <c r="R345" s="4">
        <f t="shared" si="29"/>
        <v>0.56630525437864876</v>
      </c>
      <c r="S345" t="s">
        <v>87</v>
      </c>
      <c r="T345">
        <f>Table6[[#This Row],[Discount]]*Table6[[#This Row],[List Price]]*Table6[[#This Row],[Units]]</f>
        <v>0</v>
      </c>
    </row>
    <row r="346" spans="1:20" x14ac:dyDescent="0.2">
      <c r="A346" t="s">
        <v>439</v>
      </c>
      <c r="B346" s="2">
        <v>46177.138923183928</v>
      </c>
      <c r="C346" t="s">
        <v>84</v>
      </c>
      <c r="D346" t="s">
        <v>96</v>
      </c>
      <c r="E346" t="s">
        <v>25</v>
      </c>
      <c r="F346" t="s">
        <v>7</v>
      </c>
      <c r="G346" t="s">
        <v>33</v>
      </c>
      <c r="H346" t="str">
        <f>_xlfn.XLOOKUP(Table6[[#This Row],[SKU]],tblProductMaster[SKU],tblProductMaster[Product])</f>
        <v>Sunscreen 200ml</v>
      </c>
      <c r="I346">
        <v>263</v>
      </c>
      <c r="J346">
        <f>_xlfn.XLOOKUP(G346,[1]!tblProductMaster[SKU],[1]!tblProductMaster[List Price])</f>
        <v>10.99</v>
      </c>
      <c r="K346" t="s">
        <v>86</v>
      </c>
      <c r="L346" s="3">
        <v>0</v>
      </c>
      <c r="M346" s="9">
        <f t="shared" si="25"/>
        <v>10.99</v>
      </c>
      <c r="N346" s="8">
        <f t="shared" si="26"/>
        <v>2890.37</v>
      </c>
      <c r="O346" s="9">
        <f>_xlfn.XLOOKUP(G346,[1]!tblProductMaster[SKU],[1]!tblProductMaster[Unit Cost])</f>
        <v>4.5999999999999996</v>
      </c>
      <c r="P346" s="8">
        <f t="shared" si="27"/>
        <v>1209.8</v>
      </c>
      <c r="Q346" s="8">
        <f t="shared" si="28"/>
        <v>1680.57</v>
      </c>
      <c r="R346" s="4">
        <f t="shared" si="29"/>
        <v>0.58143767060964513</v>
      </c>
      <c r="S346" t="s">
        <v>87</v>
      </c>
      <c r="T346">
        <f>Table6[[#This Row],[Discount]]*Table6[[#This Row],[List Price]]*Table6[[#This Row],[Units]]</f>
        <v>0</v>
      </c>
    </row>
    <row r="347" spans="1:20" x14ac:dyDescent="0.2">
      <c r="A347" t="s">
        <v>440</v>
      </c>
      <c r="B347" s="2">
        <v>46295.017101572354</v>
      </c>
      <c r="C347" t="s">
        <v>98</v>
      </c>
      <c r="D347" t="s">
        <v>85</v>
      </c>
      <c r="E347" t="s">
        <v>8</v>
      </c>
      <c r="F347" t="s">
        <v>18</v>
      </c>
      <c r="G347" t="s">
        <v>20</v>
      </c>
      <c r="H347" t="str">
        <f>_xlfn.XLOOKUP(Table6[[#This Row],[SKU]],tblProductMaster[SKU],tblProductMaster[Product])</f>
        <v>Hair Oil</v>
      </c>
      <c r="I347">
        <v>715</v>
      </c>
      <c r="J347">
        <f>_xlfn.XLOOKUP(G347,[1]!tblProductMaster[SKU],[1]!tblProductMaster[List Price])</f>
        <v>7.49</v>
      </c>
      <c r="K347" t="s">
        <v>89</v>
      </c>
      <c r="L347" s="3">
        <v>0.1</v>
      </c>
      <c r="M347" s="9">
        <f t="shared" si="25"/>
        <v>6.7410000000000005</v>
      </c>
      <c r="N347" s="8">
        <f t="shared" si="26"/>
        <v>4819.8150000000005</v>
      </c>
      <c r="O347" s="9">
        <f>_xlfn.XLOOKUP(G347,[1]!tblProductMaster[SKU],[1]!tblProductMaster[Unit Cost])</f>
        <v>3.1</v>
      </c>
      <c r="P347" s="8">
        <f t="shared" si="27"/>
        <v>2216.5</v>
      </c>
      <c r="Q347" s="8">
        <f t="shared" si="28"/>
        <v>2603.3150000000005</v>
      </c>
      <c r="R347" s="4">
        <f t="shared" si="29"/>
        <v>0.54012757751075513</v>
      </c>
      <c r="S347" t="s">
        <v>90</v>
      </c>
      <c r="T347">
        <f>Table6[[#This Row],[Discount]]*Table6[[#This Row],[List Price]]*Table6[[#This Row],[Units]]</f>
        <v>535.53500000000008</v>
      </c>
    </row>
    <row r="348" spans="1:20" x14ac:dyDescent="0.2">
      <c r="A348" t="s">
        <v>441</v>
      </c>
      <c r="B348" s="2">
        <v>46285.930915255725</v>
      </c>
      <c r="C348" t="s">
        <v>93</v>
      </c>
      <c r="D348" t="s">
        <v>104</v>
      </c>
      <c r="E348" t="s">
        <v>56</v>
      </c>
      <c r="F348" t="s">
        <v>18</v>
      </c>
      <c r="G348" t="s">
        <v>68</v>
      </c>
      <c r="H348" t="str">
        <f>_xlfn.XLOOKUP(Table6[[#This Row],[SKU]],tblProductMaster[SKU],tblProductMaster[Product])</f>
        <v>Kids Toothpaste</v>
      </c>
      <c r="I348">
        <v>937</v>
      </c>
      <c r="J348">
        <f>_xlfn.XLOOKUP(G348,[1]!tblProductMaster[SKU],[1]!tblProductMaster[List Price])</f>
        <v>3.29</v>
      </c>
      <c r="K348" t="s">
        <v>89</v>
      </c>
      <c r="L348" s="3">
        <v>0.3</v>
      </c>
      <c r="M348" s="9">
        <f t="shared" si="25"/>
        <v>2.3029999999999999</v>
      </c>
      <c r="N348" s="8">
        <f t="shared" si="26"/>
        <v>2157.9110000000001</v>
      </c>
      <c r="O348" s="9">
        <f>_xlfn.XLOOKUP(G348,[1]!tblProductMaster[SKU],[1]!tblProductMaster[Unit Cost])</f>
        <v>1.1000000000000001</v>
      </c>
      <c r="P348" s="8">
        <f t="shared" si="27"/>
        <v>1030.7</v>
      </c>
      <c r="Q348" s="8">
        <f t="shared" si="28"/>
        <v>1127.211</v>
      </c>
      <c r="R348" s="4">
        <f t="shared" si="29"/>
        <v>0.52236213634389927</v>
      </c>
      <c r="S348" t="s">
        <v>90</v>
      </c>
      <c r="T348">
        <f>Table6[[#This Row],[Discount]]*Table6[[#This Row],[List Price]]*Table6[[#This Row],[Units]]</f>
        <v>924.81899999999996</v>
      </c>
    </row>
    <row r="349" spans="1:20" x14ac:dyDescent="0.2">
      <c r="A349" t="s">
        <v>442</v>
      </c>
      <c r="B349" s="2">
        <v>46023.880785715861</v>
      </c>
      <c r="C349" t="s">
        <v>98</v>
      </c>
      <c r="D349" t="s">
        <v>104</v>
      </c>
      <c r="E349" t="s">
        <v>8</v>
      </c>
      <c r="F349" t="s">
        <v>15</v>
      </c>
      <c r="G349" t="s">
        <v>14</v>
      </c>
      <c r="H349" t="str">
        <f>_xlfn.XLOOKUP(Table6[[#This Row],[SKU]],tblProductMaster[SKU],tblProductMaster[Product])</f>
        <v>Shampoo 250ml</v>
      </c>
      <c r="I349">
        <v>429</v>
      </c>
      <c r="J349">
        <f>_xlfn.XLOOKUP(G349,[1]!tblProductMaster[SKU],[1]!tblProductMaster[List Price])</f>
        <v>4.99</v>
      </c>
      <c r="K349" t="s">
        <v>86</v>
      </c>
      <c r="L349" s="3">
        <v>0</v>
      </c>
      <c r="M349" s="9">
        <f t="shared" si="25"/>
        <v>4.99</v>
      </c>
      <c r="N349" s="8">
        <f t="shared" si="26"/>
        <v>2140.71</v>
      </c>
      <c r="O349" s="9">
        <f>_xlfn.XLOOKUP(G349,[1]!tblProductMaster[SKU],[1]!tblProductMaster[Unit Cost])</f>
        <v>2.1</v>
      </c>
      <c r="P349" s="8">
        <f t="shared" si="27"/>
        <v>900.90000000000009</v>
      </c>
      <c r="Q349" s="8">
        <f t="shared" si="28"/>
        <v>1239.81</v>
      </c>
      <c r="R349" s="4">
        <f t="shared" si="29"/>
        <v>0.57915831663326645</v>
      </c>
      <c r="S349" t="s">
        <v>87</v>
      </c>
      <c r="T349">
        <f>Table6[[#This Row],[Discount]]*Table6[[#This Row],[List Price]]*Table6[[#This Row],[Units]]</f>
        <v>0</v>
      </c>
    </row>
    <row r="350" spans="1:20" x14ac:dyDescent="0.2">
      <c r="A350" t="s">
        <v>443</v>
      </c>
      <c r="B350" s="2">
        <v>46171.209826652819</v>
      </c>
      <c r="C350" t="s">
        <v>93</v>
      </c>
      <c r="D350" t="s">
        <v>85</v>
      </c>
      <c r="E350" t="s">
        <v>56</v>
      </c>
      <c r="F350" t="s">
        <v>15</v>
      </c>
      <c r="G350" t="s">
        <v>62</v>
      </c>
      <c r="H350" t="str">
        <f>_xlfn.XLOOKUP(Table6[[#This Row],[SKU]],tblProductMaster[SKU],tblProductMaster[Product])</f>
        <v>Mouthwash 500ml</v>
      </c>
      <c r="I350">
        <v>788</v>
      </c>
      <c r="J350">
        <f>_xlfn.XLOOKUP(G350,[1]!tblProductMaster[SKU],[1]!tblProductMaster[List Price])</f>
        <v>5.99</v>
      </c>
      <c r="K350" t="s">
        <v>86</v>
      </c>
      <c r="L350" s="3">
        <v>0</v>
      </c>
      <c r="M350" s="9">
        <f t="shared" si="25"/>
        <v>5.99</v>
      </c>
      <c r="N350" s="8">
        <f t="shared" si="26"/>
        <v>4720.12</v>
      </c>
      <c r="O350" s="9">
        <f>_xlfn.XLOOKUP(G350,[1]!tblProductMaster[SKU],[1]!tblProductMaster[Unit Cost])</f>
        <v>2.4</v>
      </c>
      <c r="P350" s="8">
        <f t="shared" si="27"/>
        <v>1891.1999999999998</v>
      </c>
      <c r="Q350" s="8">
        <f t="shared" si="28"/>
        <v>2828.92</v>
      </c>
      <c r="R350" s="4">
        <f t="shared" si="29"/>
        <v>0.59933222036727885</v>
      </c>
      <c r="S350" t="s">
        <v>87</v>
      </c>
      <c r="T350">
        <f>Table6[[#This Row],[Discount]]*Table6[[#This Row],[List Price]]*Table6[[#This Row],[Units]]</f>
        <v>0</v>
      </c>
    </row>
    <row r="351" spans="1:20" x14ac:dyDescent="0.2">
      <c r="A351" t="s">
        <v>444</v>
      </c>
      <c r="B351" s="2">
        <v>46292.978556111542</v>
      </c>
      <c r="C351" t="s">
        <v>84</v>
      </c>
      <c r="D351" t="s">
        <v>96</v>
      </c>
      <c r="E351" t="s">
        <v>56</v>
      </c>
      <c r="F351" t="s">
        <v>15</v>
      </c>
      <c r="G351" t="s">
        <v>55</v>
      </c>
      <c r="H351" t="str">
        <f>_xlfn.XLOOKUP(Table6[[#This Row],[SKU]],tblProductMaster[SKU],tblProductMaster[Product])</f>
        <v>Toothpaste 75ml</v>
      </c>
      <c r="I351">
        <v>702</v>
      </c>
      <c r="J351">
        <f>_xlfn.XLOOKUP(G351,[1]!tblProductMaster[SKU],[1]!tblProductMaster[List Price])</f>
        <v>3.49</v>
      </c>
      <c r="K351" t="s">
        <v>86</v>
      </c>
      <c r="L351" s="3">
        <v>0</v>
      </c>
      <c r="M351" s="9">
        <f t="shared" si="25"/>
        <v>3.49</v>
      </c>
      <c r="N351" s="8">
        <f t="shared" si="26"/>
        <v>2449.98</v>
      </c>
      <c r="O351" s="9">
        <f>_xlfn.XLOOKUP(G351,[1]!tblProductMaster[SKU],[1]!tblProductMaster[Unit Cost])</f>
        <v>1.2</v>
      </c>
      <c r="P351" s="8">
        <f t="shared" si="27"/>
        <v>842.4</v>
      </c>
      <c r="Q351" s="8">
        <f t="shared" si="28"/>
        <v>1607.58</v>
      </c>
      <c r="R351" s="4">
        <f t="shared" si="29"/>
        <v>0.65616045845272197</v>
      </c>
      <c r="S351" t="s">
        <v>87</v>
      </c>
      <c r="T351">
        <f>Table6[[#This Row],[Discount]]*Table6[[#This Row],[List Price]]*Table6[[#This Row],[Units]]</f>
        <v>0</v>
      </c>
    </row>
    <row r="352" spans="1:20" x14ac:dyDescent="0.2">
      <c r="A352" t="s">
        <v>445</v>
      </c>
      <c r="B352" s="2">
        <v>46252.309495818416</v>
      </c>
      <c r="C352" t="s">
        <v>84</v>
      </c>
      <c r="D352" t="s">
        <v>104</v>
      </c>
      <c r="E352" t="s">
        <v>25</v>
      </c>
      <c r="F352" t="s">
        <v>7</v>
      </c>
      <c r="G352" t="s">
        <v>31</v>
      </c>
      <c r="H352" t="str">
        <f>_xlfn.XLOOKUP(Table6[[#This Row],[SKU]],tblProductMaster[SKU],tblProductMaster[Product])</f>
        <v>Facial Cleanser</v>
      </c>
      <c r="I352">
        <v>588</v>
      </c>
      <c r="J352">
        <f>_xlfn.XLOOKUP(G352,[1]!tblProductMaster[SKU],[1]!tblProductMaster[List Price])</f>
        <v>8.49</v>
      </c>
      <c r="K352" t="s">
        <v>86</v>
      </c>
      <c r="L352" s="3">
        <v>0</v>
      </c>
      <c r="M352" s="9">
        <f t="shared" si="25"/>
        <v>8.49</v>
      </c>
      <c r="N352" s="8">
        <f t="shared" si="26"/>
        <v>4992.12</v>
      </c>
      <c r="O352" s="9">
        <f>_xlfn.XLOOKUP(G352,[1]!tblProductMaster[SKU],[1]!tblProductMaster[Unit Cost])</f>
        <v>3.5</v>
      </c>
      <c r="P352" s="8">
        <f t="shared" si="27"/>
        <v>2058</v>
      </c>
      <c r="Q352" s="8">
        <f t="shared" si="28"/>
        <v>2934.12</v>
      </c>
      <c r="R352" s="4">
        <f t="shared" si="29"/>
        <v>0.58775029446407534</v>
      </c>
      <c r="S352" t="s">
        <v>87</v>
      </c>
      <c r="T352">
        <f>Table6[[#This Row],[Discount]]*Table6[[#This Row],[List Price]]*Table6[[#This Row],[Units]]</f>
        <v>0</v>
      </c>
    </row>
    <row r="353" spans="1:20" x14ac:dyDescent="0.2">
      <c r="A353" t="s">
        <v>446</v>
      </c>
      <c r="B353" s="2">
        <v>46030.990849774469</v>
      </c>
      <c r="C353" t="s">
        <v>98</v>
      </c>
      <c r="D353" t="s">
        <v>85</v>
      </c>
      <c r="E353" t="s">
        <v>25</v>
      </c>
      <c r="F353" t="s">
        <v>18</v>
      </c>
      <c r="G353" t="s">
        <v>27</v>
      </c>
      <c r="H353" t="str">
        <f>_xlfn.XLOOKUP(Table6[[#This Row],[SKU]],tblProductMaster[SKU],tblProductMaster[Product])</f>
        <v>Face Cream 50ml</v>
      </c>
      <c r="I353">
        <v>1078</v>
      </c>
      <c r="J353">
        <f>_xlfn.XLOOKUP(G353,[1]!tblProductMaster[SKU],[1]!tblProductMaster[List Price])</f>
        <v>9.99</v>
      </c>
      <c r="K353" t="s">
        <v>89</v>
      </c>
      <c r="L353" s="3">
        <v>0.3</v>
      </c>
      <c r="M353" s="9">
        <f t="shared" si="25"/>
        <v>6.9929999999999994</v>
      </c>
      <c r="N353" s="8">
        <f t="shared" si="26"/>
        <v>7538.4539999999997</v>
      </c>
      <c r="O353" s="9">
        <f>_xlfn.XLOOKUP(G353,[1]!tblProductMaster[SKU],[1]!tblProductMaster[Unit Cost])</f>
        <v>4.2</v>
      </c>
      <c r="P353" s="8">
        <f t="shared" si="27"/>
        <v>4527.6000000000004</v>
      </c>
      <c r="Q353" s="8">
        <f t="shared" si="28"/>
        <v>3010.8539999999994</v>
      </c>
      <c r="R353" s="4">
        <f t="shared" si="29"/>
        <v>0.39939939939939934</v>
      </c>
      <c r="S353" t="s">
        <v>90</v>
      </c>
      <c r="T353">
        <f>Table6[[#This Row],[Discount]]*Table6[[#This Row],[List Price]]*Table6[[#This Row],[Units]]</f>
        <v>3230.7660000000001</v>
      </c>
    </row>
    <row r="354" spans="1:20" x14ac:dyDescent="0.2">
      <c r="A354" t="s">
        <v>447</v>
      </c>
      <c r="B354" s="2">
        <v>46277.967151117242</v>
      </c>
      <c r="C354" t="s">
        <v>93</v>
      </c>
      <c r="D354" t="s">
        <v>96</v>
      </c>
      <c r="E354" t="s">
        <v>25</v>
      </c>
      <c r="F354" t="s">
        <v>18</v>
      </c>
      <c r="G354" t="s">
        <v>37</v>
      </c>
      <c r="H354" t="str">
        <f>_xlfn.XLOOKUP(Table6[[#This Row],[SKU]],tblProductMaster[SKU],tblProductMaster[Product])</f>
        <v>Body Wash</v>
      </c>
      <c r="I354">
        <v>545</v>
      </c>
      <c r="J354">
        <f>_xlfn.XLOOKUP(G354,[1]!tblProductMaster[SKU],[1]!tblProductMaster[List Price])</f>
        <v>5.49</v>
      </c>
      <c r="K354" t="s">
        <v>89</v>
      </c>
      <c r="L354" s="3">
        <v>0.3</v>
      </c>
      <c r="M354" s="9">
        <f t="shared" si="25"/>
        <v>3.843</v>
      </c>
      <c r="N354" s="8">
        <f t="shared" si="26"/>
        <v>2094.4349999999999</v>
      </c>
      <c r="O354" s="9">
        <f>_xlfn.XLOOKUP(G354,[1]!tblProductMaster[SKU],[1]!tblProductMaster[Unit Cost])</f>
        <v>2.2999999999999998</v>
      </c>
      <c r="P354" s="8">
        <f t="shared" si="27"/>
        <v>1253.5</v>
      </c>
      <c r="Q354" s="8">
        <f t="shared" si="28"/>
        <v>840.93499999999995</v>
      </c>
      <c r="R354" s="4">
        <f t="shared" si="29"/>
        <v>0.40150923757481133</v>
      </c>
      <c r="S354" t="s">
        <v>94</v>
      </c>
      <c r="T354">
        <f>Table6[[#This Row],[Discount]]*Table6[[#This Row],[List Price]]*Table6[[#This Row],[Units]]</f>
        <v>897.61500000000001</v>
      </c>
    </row>
    <row r="355" spans="1:20" x14ac:dyDescent="0.2">
      <c r="A355" t="s">
        <v>448</v>
      </c>
      <c r="B355" s="2">
        <v>46363.821566886894</v>
      </c>
      <c r="C355" t="s">
        <v>98</v>
      </c>
      <c r="D355" t="s">
        <v>85</v>
      </c>
      <c r="E355" t="s">
        <v>40</v>
      </c>
      <c r="F355" t="s">
        <v>18</v>
      </c>
      <c r="G355" t="s">
        <v>42</v>
      </c>
      <c r="H355" t="str">
        <f>_xlfn.XLOOKUP(Table6[[#This Row],[SKU]],tblProductMaster[SKU],tblProductMaster[Product])</f>
        <v>Detergent Capsules</v>
      </c>
      <c r="I355">
        <v>706</v>
      </c>
      <c r="J355">
        <f>_xlfn.XLOOKUP(G355,[1]!tblProductMaster[SKU],[1]!tblProductMaster[List Price])</f>
        <v>11.99</v>
      </c>
      <c r="K355" t="s">
        <v>89</v>
      </c>
      <c r="L355" s="3">
        <v>0.2</v>
      </c>
      <c r="M355" s="9">
        <f t="shared" si="25"/>
        <v>9.5920000000000005</v>
      </c>
      <c r="N355" s="8">
        <f t="shared" si="26"/>
        <v>6771.9520000000002</v>
      </c>
      <c r="O355" s="9">
        <f>_xlfn.XLOOKUP(G355,[1]!tblProductMaster[SKU],[1]!tblProductMaster[Unit Cost])</f>
        <v>5.2</v>
      </c>
      <c r="P355" s="8">
        <f t="shared" si="27"/>
        <v>3671.2000000000003</v>
      </c>
      <c r="Q355" s="8">
        <f t="shared" si="28"/>
        <v>3100.752</v>
      </c>
      <c r="R355" s="4">
        <f t="shared" si="29"/>
        <v>0.45788156797331109</v>
      </c>
      <c r="S355" t="s">
        <v>94</v>
      </c>
      <c r="T355">
        <f>Table6[[#This Row],[Discount]]*Table6[[#This Row],[List Price]]*Table6[[#This Row],[Units]]</f>
        <v>1692.9880000000001</v>
      </c>
    </row>
    <row r="356" spans="1:20" x14ac:dyDescent="0.2">
      <c r="A356" t="s">
        <v>449</v>
      </c>
      <c r="B356" s="2">
        <v>46312.925493503331</v>
      </c>
      <c r="C356" t="s">
        <v>93</v>
      </c>
      <c r="D356" t="s">
        <v>104</v>
      </c>
      <c r="E356" t="s">
        <v>40</v>
      </c>
      <c r="F356" t="s">
        <v>7</v>
      </c>
      <c r="G356" t="s">
        <v>44</v>
      </c>
      <c r="H356" t="str">
        <f>_xlfn.XLOOKUP(Table6[[#This Row],[SKU]],tblProductMaster[SKU],tblProductMaster[Product])</f>
        <v>Fabric Softener</v>
      </c>
      <c r="I356">
        <v>486</v>
      </c>
      <c r="J356">
        <f>_xlfn.XLOOKUP(G356,[1]!tblProductMaster[SKU],[1]!tblProductMaster[List Price])</f>
        <v>6.99</v>
      </c>
      <c r="K356" t="s">
        <v>89</v>
      </c>
      <c r="L356" s="3">
        <v>0.3</v>
      </c>
      <c r="M356" s="9">
        <f t="shared" si="25"/>
        <v>4.8929999999999998</v>
      </c>
      <c r="N356" s="8">
        <f t="shared" si="26"/>
        <v>2377.998</v>
      </c>
      <c r="O356" s="9">
        <f>_xlfn.XLOOKUP(G356,[1]!tblProductMaster[SKU],[1]!tblProductMaster[Unit Cost])</f>
        <v>2.9</v>
      </c>
      <c r="P356" s="8">
        <f t="shared" si="27"/>
        <v>1409.3999999999999</v>
      </c>
      <c r="Q356" s="8">
        <f t="shared" si="28"/>
        <v>968.59800000000018</v>
      </c>
      <c r="R356" s="4">
        <f t="shared" si="29"/>
        <v>0.40731657469854904</v>
      </c>
      <c r="S356" t="s">
        <v>99</v>
      </c>
      <c r="T356">
        <f>Table6[[#This Row],[Discount]]*Table6[[#This Row],[List Price]]*Table6[[#This Row],[Units]]</f>
        <v>1019.1419999999999</v>
      </c>
    </row>
    <row r="357" spans="1:20" x14ac:dyDescent="0.2">
      <c r="A357" t="s">
        <v>450</v>
      </c>
      <c r="B357" s="2">
        <v>46324.342639281509</v>
      </c>
      <c r="C357" t="s">
        <v>98</v>
      </c>
      <c r="D357" t="s">
        <v>104</v>
      </c>
      <c r="E357" t="s">
        <v>40</v>
      </c>
      <c r="F357" t="s">
        <v>18</v>
      </c>
      <c r="G357" t="s">
        <v>50</v>
      </c>
      <c r="H357" t="str">
        <f>_xlfn.XLOOKUP(Table6[[#This Row],[SKU]],tblProductMaster[SKU],tblProductMaster[Product])</f>
        <v>Sensitive Detergent</v>
      </c>
      <c r="I357">
        <v>650</v>
      </c>
      <c r="J357">
        <f>_xlfn.XLOOKUP(G357,[1]!tblProductMaster[SKU],[1]!tblProductMaster[List Price])</f>
        <v>8.99</v>
      </c>
      <c r="K357" t="s">
        <v>86</v>
      </c>
      <c r="L357" s="3">
        <v>0</v>
      </c>
      <c r="M357" s="9">
        <f t="shared" si="25"/>
        <v>8.99</v>
      </c>
      <c r="N357" s="8">
        <f t="shared" si="26"/>
        <v>5843.5</v>
      </c>
      <c r="O357" s="9">
        <f>_xlfn.XLOOKUP(G357,[1]!tblProductMaster[SKU],[1]!tblProductMaster[Unit Cost])</f>
        <v>4</v>
      </c>
      <c r="P357" s="8">
        <f t="shared" si="27"/>
        <v>2600</v>
      </c>
      <c r="Q357" s="8">
        <f t="shared" si="28"/>
        <v>3243.5</v>
      </c>
      <c r="R357" s="4">
        <f t="shared" si="29"/>
        <v>0.55506117908787544</v>
      </c>
      <c r="S357" t="s">
        <v>87</v>
      </c>
      <c r="T357">
        <f>Table6[[#This Row],[Discount]]*Table6[[#This Row],[List Price]]*Table6[[#This Row],[Units]]</f>
        <v>0</v>
      </c>
    </row>
    <row r="358" spans="1:20" x14ac:dyDescent="0.2">
      <c r="A358" t="s">
        <v>451</v>
      </c>
      <c r="B358" s="2">
        <v>46157.117112421227</v>
      </c>
      <c r="C358" t="s">
        <v>93</v>
      </c>
      <c r="D358" t="s">
        <v>104</v>
      </c>
      <c r="E358" t="s">
        <v>56</v>
      </c>
      <c r="F358" t="s">
        <v>15</v>
      </c>
      <c r="G358" t="s">
        <v>55</v>
      </c>
      <c r="H358" t="str">
        <f>_xlfn.XLOOKUP(Table6[[#This Row],[SKU]],tblProductMaster[SKU],tblProductMaster[Product])</f>
        <v>Toothpaste 75ml</v>
      </c>
      <c r="I358">
        <v>457</v>
      </c>
      <c r="J358">
        <f>_xlfn.XLOOKUP(G358,[1]!tblProductMaster[SKU],[1]!tblProductMaster[List Price])</f>
        <v>3.49</v>
      </c>
      <c r="K358" t="s">
        <v>86</v>
      </c>
      <c r="L358" s="3">
        <v>0</v>
      </c>
      <c r="M358" s="9">
        <f t="shared" si="25"/>
        <v>3.49</v>
      </c>
      <c r="N358" s="8">
        <f t="shared" si="26"/>
        <v>1594.93</v>
      </c>
      <c r="O358" s="9">
        <f>_xlfn.XLOOKUP(G358,[1]!tblProductMaster[SKU],[1]!tblProductMaster[Unit Cost])</f>
        <v>1.2</v>
      </c>
      <c r="P358" s="8">
        <f t="shared" si="27"/>
        <v>548.4</v>
      </c>
      <c r="Q358" s="8">
        <f t="shared" si="28"/>
        <v>1046.5300000000002</v>
      </c>
      <c r="R358" s="4">
        <f t="shared" si="29"/>
        <v>0.6561604584527222</v>
      </c>
      <c r="S358" t="s">
        <v>87</v>
      </c>
      <c r="T358">
        <f>Table6[[#This Row],[Discount]]*Table6[[#This Row],[List Price]]*Table6[[#This Row],[Units]]</f>
        <v>0</v>
      </c>
    </row>
    <row r="359" spans="1:20" x14ac:dyDescent="0.2">
      <c r="A359" t="s">
        <v>452</v>
      </c>
      <c r="B359" s="2">
        <v>46260.725605080159</v>
      </c>
      <c r="C359" t="s">
        <v>98</v>
      </c>
      <c r="D359" t="s">
        <v>104</v>
      </c>
      <c r="E359" t="s">
        <v>8</v>
      </c>
      <c r="F359" t="s">
        <v>7</v>
      </c>
      <c r="G359" t="s">
        <v>6</v>
      </c>
      <c r="H359" t="str">
        <f>_xlfn.XLOOKUP(Table6[[#This Row],[SKU]],tblProductMaster[SKU],tblProductMaster[Product])</f>
        <v>Shampoo 250ml</v>
      </c>
      <c r="I359">
        <v>498</v>
      </c>
      <c r="J359">
        <f>_xlfn.XLOOKUP(G359,[1]!tblProductMaster[SKU],[1]!tblProductMaster[List Price])</f>
        <v>5.99</v>
      </c>
      <c r="K359" t="s">
        <v>86</v>
      </c>
      <c r="L359" s="3">
        <v>0</v>
      </c>
      <c r="M359" s="9">
        <f t="shared" si="25"/>
        <v>5.99</v>
      </c>
      <c r="N359" s="8">
        <f t="shared" si="26"/>
        <v>2983.02</v>
      </c>
      <c r="O359" s="9">
        <f>_xlfn.XLOOKUP(G359,[1]!tblProductMaster[SKU],[1]!tblProductMaster[Unit Cost])</f>
        <v>2.4</v>
      </c>
      <c r="P359" s="8">
        <f t="shared" si="27"/>
        <v>1195.2</v>
      </c>
      <c r="Q359" s="8">
        <f t="shared" si="28"/>
        <v>1787.82</v>
      </c>
      <c r="R359" s="4">
        <f t="shared" si="29"/>
        <v>0.59933222036727873</v>
      </c>
      <c r="S359" t="s">
        <v>87</v>
      </c>
      <c r="T359">
        <f>Table6[[#This Row],[Discount]]*Table6[[#This Row],[List Price]]*Table6[[#This Row],[Units]]</f>
        <v>0</v>
      </c>
    </row>
    <row r="360" spans="1:20" x14ac:dyDescent="0.2">
      <c r="A360" t="s">
        <v>453</v>
      </c>
      <c r="B360" s="2">
        <v>46060.930141298857</v>
      </c>
      <c r="C360" t="s">
        <v>98</v>
      </c>
      <c r="D360" t="s">
        <v>96</v>
      </c>
      <c r="E360" t="s">
        <v>56</v>
      </c>
      <c r="F360" t="s">
        <v>7</v>
      </c>
      <c r="G360" t="s">
        <v>64</v>
      </c>
      <c r="H360" t="str">
        <f>_xlfn.XLOOKUP(Table6[[#This Row],[SKU]],tblProductMaster[SKU],tblProductMaster[Product])</f>
        <v>Toothbrush</v>
      </c>
      <c r="I360">
        <v>787</v>
      </c>
      <c r="J360">
        <f>_xlfn.XLOOKUP(G360,[1]!tblProductMaster[SKU],[1]!tblProductMaster[List Price])</f>
        <v>3.99</v>
      </c>
      <c r="K360" t="s">
        <v>86</v>
      </c>
      <c r="L360" s="3">
        <v>0</v>
      </c>
      <c r="M360" s="9">
        <f t="shared" si="25"/>
        <v>3.99</v>
      </c>
      <c r="N360" s="8">
        <f t="shared" si="26"/>
        <v>3140.13</v>
      </c>
      <c r="O360" s="9">
        <f>_xlfn.XLOOKUP(G360,[1]!tblProductMaster[SKU],[1]!tblProductMaster[Unit Cost])</f>
        <v>1.5</v>
      </c>
      <c r="P360" s="8">
        <f t="shared" si="27"/>
        <v>1180.5</v>
      </c>
      <c r="Q360" s="8">
        <f t="shared" si="28"/>
        <v>1959.63</v>
      </c>
      <c r="R360" s="4">
        <f t="shared" si="29"/>
        <v>0.62406015037593987</v>
      </c>
      <c r="S360" t="s">
        <v>87</v>
      </c>
      <c r="T360">
        <f>Table6[[#This Row],[Discount]]*Table6[[#This Row],[List Price]]*Table6[[#This Row],[Units]]</f>
        <v>0</v>
      </c>
    </row>
    <row r="361" spans="1:20" x14ac:dyDescent="0.2">
      <c r="A361" t="s">
        <v>454</v>
      </c>
      <c r="B361" s="2">
        <v>46187.598972774133</v>
      </c>
      <c r="C361" t="s">
        <v>84</v>
      </c>
      <c r="D361" t="s">
        <v>85</v>
      </c>
      <c r="E361" t="s">
        <v>8</v>
      </c>
      <c r="F361" t="s">
        <v>15</v>
      </c>
      <c r="G361" t="s">
        <v>16</v>
      </c>
      <c r="H361" t="str">
        <f>_xlfn.XLOOKUP(Table6[[#This Row],[SKU]],tblProductMaster[SKU],tblProductMaster[Product])</f>
        <v>Conditioner 250ml</v>
      </c>
      <c r="I361">
        <v>511</v>
      </c>
      <c r="J361">
        <f>_xlfn.XLOOKUP(G361,[1]!tblProductMaster[SKU],[1]!tblProductMaster[List Price])</f>
        <v>4.79</v>
      </c>
      <c r="K361" t="s">
        <v>89</v>
      </c>
      <c r="L361" s="3">
        <v>0.3</v>
      </c>
      <c r="M361" s="9">
        <f t="shared" si="25"/>
        <v>3.3529999999999998</v>
      </c>
      <c r="N361" s="8">
        <f t="shared" si="26"/>
        <v>1713.3829999999998</v>
      </c>
      <c r="O361" s="9">
        <f>_xlfn.XLOOKUP(G361,[1]!tblProductMaster[SKU],[1]!tblProductMaster[Unit Cost])</f>
        <v>2</v>
      </c>
      <c r="P361" s="8">
        <f t="shared" si="27"/>
        <v>1022</v>
      </c>
      <c r="Q361" s="8">
        <f t="shared" si="28"/>
        <v>691.38299999999981</v>
      </c>
      <c r="R361" s="4">
        <f t="shared" si="29"/>
        <v>0.40351923650462268</v>
      </c>
      <c r="S361" t="s">
        <v>99</v>
      </c>
      <c r="T361">
        <f>Table6[[#This Row],[Discount]]*Table6[[#This Row],[List Price]]*Table6[[#This Row],[Units]]</f>
        <v>734.30700000000002</v>
      </c>
    </row>
    <row r="362" spans="1:20" x14ac:dyDescent="0.2">
      <c r="A362" t="s">
        <v>455</v>
      </c>
      <c r="B362" s="2">
        <v>46048.111752726028</v>
      </c>
      <c r="C362" t="s">
        <v>93</v>
      </c>
      <c r="D362" t="s">
        <v>96</v>
      </c>
      <c r="E362" t="s">
        <v>25</v>
      </c>
      <c r="F362" t="s">
        <v>18</v>
      </c>
      <c r="G362" t="s">
        <v>37</v>
      </c>
      <c r="H362" t="str">
        <f>_xlfn.XLOOKUP(Table6[[#This Row],[SKU]],tblProductMaster[SKU],tblProductMaster[Product])</f>
        <v>Body Wash</v>
      </c>
      <c r="I362">
        <v>787</v>
      </c>
      <c r="J362">
        <f>_xlfn.XLOOKUP(G362,[1]!tblProductMaster[SKU],[1]!tblProductMaster[List Price])</f>
        <v>5.49</v>
      </c>
      <c r="K362" t="s">
        <v>86</v>
      </c>
      <c r="L362" s="3">
        <v>0</v>
      </c>
      <c r="M362" s="9">
        <f t="shared" si="25"/>
        <v>5.49</v>
      </c>
      <c r="N362" s="8">
        <f t="shared" si="26"/>
        <v>4320.63</v>
      </c>
      <c r="O362" s="9">
        <f>_xlfn.XLOOKUP(G362,[1]!tblProductMaster[SKU],[1]!tblProductMaster[Unit Cost])</f>
        <v>2.2999999999999998</v>
      </c>
      <c r="P362" s="8">
        <f t="shared" si="27"/>
        <v>1810.1</v>
      </c>
      <c r="Q362" s="8">
        <f t="shared" si="28"/>
        <v>2510.5300000000002</v>
      </c>
      <c r="R362" s="4">
        <f t="shared" si="29"/>
        <v>0.58105646630236796</v>
      </c>
      <c r="S362" t="s">
        <v>87</v>
      </c>
      <c r="T362">
        <f>Table6[[#This Row],[Discount]]*Table6[[#This Row],[List Price]]*Table6[[#This Row],[Units]]</f>
        <v>0</v>
      </c>
    </row>
    <row r="363" spans="1:20" x14ac:dyDescent="0.2">
      <c r="A363" t="s">
        <v>456</v>
      </c>
      <c r="B363" s="2">
        <v>46040.357591227752</v>
      </c>
      <c r="C363" t="s">
        <v>93</v>
      </c>
      <c r="D363" t="s">
        <v>85</v>
      </c>
      <c r="E363" t="s">
        <v>56</v>
      </c>
      <c r="F363" t="s">
        <v>15</v>
      </c>
      <c r="G363" t="s">
        <v>62</v>
      </c>
      <c r="H363" t="str">
        <f>_xlfn.XLOOKUP(Table6[[#This Row],[SKU]],tblProductMaster[SKU],tblProductMaster[Product])</f>
        <v>Mouthwash 500ml</v>
      </c>
      <c r="I363">
        <v>741</v>
      </c>
      <c r="J363">
        <f>_xlfn.XLOOKUP(G363,[1]!tblProductMaster[SKU],[1]!tblProductMaster[List Price])</f>
        <v>5.99</v>
      </c>
      <c r="K363" t="s">
        <v>86</v>
      </c>
      <c r="L363" s="3">
        <v>0</v>
      </c>
      <c r="M363" s="9">
        <f t="shared" si="25"/>
        <v>5.99</v>
      </c>
      <c r="N363" s="8">
        <f t="shared" si="26"/>
        <v>4438.59</v>
      </c>
      <c r="O363" s="9">
        <f>_xlfn.XLOOKUP(G363,[1]!tblProductMaster[SKU],[1]!tblProductMaster[Unit Cost])</f>
        <v>2.4</v>
      </c>
      <c r="P363" s="8">
        <f t="shared" si="27"/>
        <v>1778.3999999999999</v>
      </c>
      <c r="Q363" s="8">
        <f t="shared" si="28"/>
        <v>2660.1900000000005</v>
      </c>
      <c r="R363" s="4">
        <f t="shared" si="29"/>
        <v>0.59933222036727885</v>
      </c>
      <c r="S363" t="s">
        <v>87</v>
      </c>
      <c r="T363">
        <f>Table6[[#This Row],[Discount]]*Table6[[#This Row],[List Price]]*Table6[[#This Row],[Units]]</f>
        <v>0</v>
      </c>
    </row>
    <row r="364" spans="1:20" x14ac:dyDescent="0.2">
      <c r="A364" t="s">
        <v>457</v>
      </c>
      <c r="B364" s="2">
        <v>46035.174500641762</v>
      </c>
      <c r="C364" t="s">
        <v>93</v>
      </c>
      <c r="D364" t="s">
        <v>104</v>
      </c>
      <c r="E364" t="s">
        <v>25</v>
      </c>
      <c r="F364" t="s">
        <v>7</v>
      </c>
      <c r="G364" t="s">
        <v>24</v>
      </c>
      <c r="H364" t="str">
        <f>_xlfn.XLOOKUP(Table6[[#This Row],[SKU]],tblProductMaster[SKU],tblProductMaster[Product])</f>
        <v>Body Lotion 400ml</v>
      </c>
      <c r="I364">
        <v>760</v>
      </c>
      <c r="J364">
        <f>_xlfn.XLOOKUP(G364,[1]!tblProductMaster[SKU],[1]!tblProductMaster[List Price])</f>
        <v>7.99</v>
      </c>
      <c r="K364" t="s">
        <v>86</v>
      </c>
      <c r="L364" s="3">
        <v>0</v>
      </c>
      <c r="M364" s="9">
        <f t="shared" si="25"/>
        <v>7.99</v>
      </c>
      <c r="N364" s="8">
        <f t="shared" si="26"/>
        <v>6072.4000000000005</v>
      </c>
      <c r="O364" s="9">
        <f>_xlfn.XLOOKUP(G364,[1]!tblProductMaster[SKU],[1]!tblProductMaster[Unit Cost])</f>
        <v>3.1</v>
      </c>
      <c r="P364" s="8">
        <f t="shared" si="27"/>
        <v>2356</v>
      </c>
      <c r="Q364" s="8">
        <f t="shared" si="28"/>
        <v>3716.4000000000005</v>
      </c>
      <c r="R364" s="4">
        <f t="shared" si="29"/>
        <v>0.61201501877346687</v>
      </c>
      <c r="S364" t="s">
        <v>87</v>
      </c>
      <c r="T364">
        <f>Table6[[#This Row],[Discount]]*Table6[[#This Row],[List Price]]*Table6[[#This Row],[Units]]</f>
        <v>0</v>
      </c>
    </row>
    <row r="365" spans="1:20" x14ac:dyDescent="0.2">
      <c r="A365" t="s">
        <v>458</v>
      </c>
      <c r="B365" s="2">
        <v>46123.114212691864</v>
      </c>
      <c r="C365" t="s">
        <v>84</v>
      </c>
      <c r="D365" t="s">
        <v>104</v>
      </c>
      <c r="E365" t="s">
        <v>56</v>
      </c>
      <c r="F365" t="s">
        <v>7</v>
      </c>
      <c r="G365" t="s">
        <v>58</v>
      </c>
      <c r="H365" t="str">
        <f>_xlfn.XLOOKUP(Table6[[#This Row],[SKU]],tblProductMaster[SKU],tblProductMaster[Product])</f>
        <v>Whitening Toothpaste</v>
      </c>
      <c r="I365">
        <v>514</v>
      </c>
      <c r="J365">
        <f>_xlfn.XLOOKUP(G365,[1]!tblProductMaster[SKU],[1]!tblProductMaster[List Price])</f>
        <v>4.99</v>
      </c>
      <c r="K365" t="s">
        <v>86</v>
      </c>
      <c r="L365" s="3">
        <v>0</v>
      </c>
      <c r="M365" s="9">
        <f t="shared" si="25"/>
        <v>4.99</v>
      </c>
      <c r="N365" s="8">
        <f t="shared" si="26"/>
        <v>2564.86</v>
      </c>
      <c r="O365" s="9">
        <f>_xlfn.XLOOKUP(G365,[1]!tblProductMaster[SKU],[1]!tblProductMaster[Unit Cost])</f>
        <v>1.8</v>
      </c>
      <c r="P365" s="8">
        <f t="shared" si="27"/>
        <v>925.2</v>
      </c>
      <c r="Q365" s="8">
        <f t="shared" si="28"/>
        <v>1639.66</v>
      </c>
      <c r="R365" s="4">
        <f t="shared" si="29"/>
        <v>0.63927855711422843</v>
      </c>
      <c r="S365" t="s">
        <v>87</v>
      </c>
      <c r="T365">
        <f>Table6[[#This Row],[Discount]]*Table6[[#This Row],[List Price]]*Table6[[#This Row],[Units]]</f>
        <v>0</v>
      </c>
    </row>
    <row r="366" spans="1:20" x14ac:dyDescent="0.2">
      <c r="A366" t="s">
        <v>459</v>
      </c>
      <c r="B366" s="2">
        <v>46073.084945981631</v>
      </c>
      <c r="C366" t="s">
        <v>93</v>
      </c>
      <c r="D366" t="s">
        <v>85</v>
      </c>
      <c r="E366" t="s">
        <v>8</v>
      </c>
      <c r="F366" t="s">
        <v>7</v>
      </c>
      <c r="G366" t="s">
        <v>6</v>
      </c>
      <c r="H366" t="str">
        <f>_xlfn.XLOOKUP(Table6[[#This Row],[SKU]],tblProductMaster[SKU],tblProductMaster[Product])</f>
        <v>Shampoo 250ml</v>
      </c>
      <c r="I366">
        <v>473</v>
      </c>
      <c r="J366">
        <f>_xlfn.XLOOKUP(G366,[1]!tblProductMaster[SKU],[1]!tblProductMaster[List Price])</f>
        <v>5.99</v>
      </c>
      <c r="K366" t="s">
        <v>86</v>
      </c>
      <c r="L366" s="3">
        <v>0</v>
      </c>
      <c r="M366" s="9">
        <f t="shared" si="25"/>
        <v>5.99</v>
      </c>
      <c r="N366" s="8">
        <f t="shared" si="26"/>
        <v>2833.27</v>
      </c>
      <c r="O366" s="9">
        <f>_xlfn.XLOOKUP(G366,[1]!tblProductMaster[SKU],[1]!tblProductMaster[Unit Cost])</f>
        <v>2.4</v>
      </c>
      <c r="P366" s="8">
        <f t="shared" si="27"/>
        <v>1135.2</v>
      </c>
      <c r="Q366" s="8">
        <f t="shared" si="28"/>
        <v>1698.07</v>
      </c>
      <c r="R366" s="4">
        <f t="shared" si="29"/>
        <v>0.59933222036727873</v>
      </c>
      <c r="S366" t="s">
        <v>87</v>
      </c>
      <c r="T366">
        <f>Table6[[#This Row],[Discount]]*Table6[[#This Row],[List Price]]*Table6[[#This Row],[Units]]</f>
        <v>0</v>
      </c>
    </row>
    <row r="367" spans="1:20" x14ac:dyDescent="0.2">
      <c r="A367" t="s">
        <v>460</v>
      </c>
      <c r="B367" s="2">
        <v>46136.698200643506</v>
      </c>
      <c r="C367" t="s">
        <v>84</v>
      </c>
      <c r="D367" t="s">
        <v>85</v>
      </c>
      <c r="E367" t="s">
        <v>8</v>
      </c>
      <c r="F367" t="s">
        <v>18</v>
      </c>
      <c r="G367" t="s">
        <v>17</v>
      </c>
      <c r="H367" t="str">
        <f>_xlfn.XLOOKUP(Table6[[#This Row],[SKU]],tblProductMaster[SKU],tblProductMaster[Product])</f>
        <v>Anti-Dandruff Shampoo</v>
      </c>
      <c r="I367">
        <v>405</v>
      </c>
      <c r="J367">
        <f>_xlfn.XLOOKUP(G367,[1]!tblProductMaster[SKU],[1]!tblProductMaster[List Price])</f>
        <v>6.49</v>
      </c>
      <c r="K367" t="s">
        <v>86</v>
      </c>
      <c r="L367" s="3">
        <v>0</v>
      </c>
      <c r="M367" s="9">
        <f t="shared" si="25"/>
        <v>6.49</v>
      </c>
      <c r="N367" s="8">
        <f t="shared" si="26"/>
        <v>2628.4500000000003</v>
      </c>
      <c r="O367" s="9">
        <f>_xlfn.XLOOKUP(G367,[1]!tblProductMaster[SKU],[1]!tblProductMaster[Unit Cost])</f>
        <v>2.8</v>
      </c>
      <c r="P367" s="8">
        <f t="shared" si="27"/>
        <v>1134</v>
      </c>
      <c r="Q367" s="8">
        <f t="shared" si="28"/>
        <v>1494.4500000000003</v>
      </c>
      <c r="R367" s="4">
        <f t="shared" si="29"/>
        <v>0.5685670261941449</v>
      </c>
      <c r="S367" t="s">
        <v>87</v>
      </c>
      <c r="T367">
        <f>Table6[[#This Row],[Discount]]*Table6[[#This Row],[List Price]]*Table6[[#This Row],[Units]]</f>
        <v>0</v>
      </c>
    </row>
    <row r="368" spans="1:20" x14ac:dyDescent="0.2">
      <c r="A368" t="s">
        <v>461</v>
      </c>
      <c r="B368" s="2">
        <v>46324.599071535966</v>
      </c>
      <c r="C368" t="s">
        <v>98</v>
      </c>
      <c r="D368" t="s">
        <v>104</v>
      </c>
      <c r="E368" t="s">
        <v>25</v>
      </c>
      <c r="F368" t="s">
        <v>7</v>
      </c>
      <c r="G368" t="s">
        <v>33</v>
      </c>
      <c r="H368" t="str">
        <f>_xlfn.XLOOKUP(Table6[[#This Row],[SKU]],tblProductMaster[SKU],tblProductMaster[Product])</f>
        <v>Sunscreen 200ml</v>
      </c>
      <c r="I368">
        <v>530</v>
      </c>
      <c r="J368">
        <f>_xlfn.XLOOKUP(G368,[1]!tblProductMaster[SKU],[1]!tblProductMaster[List Price])</f>
        <v>10.99</v>
      </c>
      <c r="K368" t="s">
        <v>86</v>
      </c>
      <c r="L368" s="3">
        <v>0</v>
      </c>
      <c r="M368" s="9">
        <f t="shared" si="25"/>
        <v>10.99</v>
      </c>
      <c r="N368" s="8">
        <f t="shared" si="26"/>
        <v>5824.7</v>
      </c>
      <c r="O368" s="9">
        <f>_xlfn.XLOOKUP(G368,[1]!tblProductMaster[SKU],[1]!tblProductMaster[Unit Cost])</f>
        <v>4.5999999999999996</v>
      </c>
      <c r="P368" s="8">
        <f t="shared" si="27"/>
        <v>2438</v>
      </c>
      <c r="Q368" s="8">
        <f t="shared" si="28"/>
        <v>3386.7</v>
      </c>
      <c r="R368" s="4">
        <f t="shared" si="29"/>
        <v>0.58143767060964513</v>
      </c>
      <c r="S368" t="s">
        <v>87</v>
      </c>
      <c r="T368">
        <f>Table6[[#This Row],[Discount]]*Table6[[#This Row],[List Price]]*Table6[[#This Row],[Units]]</f>
        <v>0</v>
      </c>
    </row>
    <row r="369" spans="1:20" x14ac:dyDescent="0.2">
      <c r="A369" t="s">
        <v>462</v>
      </c>
      <c r="B369" s="2">
        <v>46037.150551825252</v>
      </c>
      <c r="C369" t="s">
        <v>93</v>
      </c>
      <c r="D369" t="s">
        <v>104</v>
      </c>
      <c r="E369" t="s">
        <v>56</v>
      </c>
      <c r="F369" t="s">
        <v>15</v>
      </c>
      <c r="G369" t="s">
        <v>55</v>
      </c>
      <c r="H369" t="str">
        <f>_xlfn.XLOOKUP(Table6[[#This Row],[SKU]],tblProductMaster[SKU],tblProductMaster[Product])</f>
        <v>Toothpaste 75ml</v>
      </c>
      <c r="I369">
        <v>364</v>
      </c>
      <c r="J369">
        <f>_xlfn.XLOOKUP(G369,[1]!tblProductMaster[SKU],[1]!tblProductMaster[List Price])</f>
        <v>3.49</v>
      </c>
      <c r="K369" t="s">
        <v>86</v>
      </c>
      <c r="L369" s="3">
        <v>0</v>
      </c>
      <c r="M369" s="9">
        <f t="shared" si="25"/>
        <v>3.49</v>
      </c>
      <c r="N369" s="8">
        <f t="shared" si="26"/>
        <v>1270.3600000000001</v>
      </c>
      <c r="O369" s="9">
        <f>_xlfn.XLOOKUP(G369,[1]!tblProductMaster[SKU],[1]!tblProductMaster[Unit Cost])</f>
        <v>1.2</v>
      </c>
      <c r="P369" s="8">
        <f t="shared" si="27"/>
        <v>436.8</v>
      </c>
      <c r="Q369" s="8">
        <f t="shared" si="28"/>
        <v>833.56000000000017</v>
      </c>
      <c r="R369" s="4">
        <f t="shared" si="29"/>
        <v>0.65616045845272208</v>
      </c>
      <c r="S369" t="s">
        <v>87</v>
      </c>
      <c r="T369">
        <f>Table6[[#This Row],[Discount]]*Table6[[#This Row],[List Price]]*Table6[[#This Row],[Units]]</f>
        <v>0</v>
      </c>
    </row>
    <row r="370" spans="1:20" x14ac:dyDescent="0.2">
      <c r="A370" t="s">
        <v>463</v>
      </c>
      <c r="B370" s="2">
        <v>46129.857626486089</v>
      </c>
      <c r="C370" t="s">
        <v>93</v>
      </c>
      <c r="D370" t="s">
        <v>104</v>
      </c>
      <c r="E370" t="s">
        <v>56</v>
      </c>
      <c r="F370" t="s">
        <v>15</v>
      </c>
      <c r="G370" t="s">
        <v>55</v>
      </c>
      <c r="H370" t="str">
        <f>_xlfn.XLOOKUP(Table6[[#This Row],[SKU]],tblProductMaster[SKU],tblProductMaster[Product])</f>
        <v>Toothpaste 75ml</v>
      </c>
      <c r="I370">
        <v>462</v>
      </c>
      <c r="J370">
        <f>_xlfn.XLOOKUP(G370,[1]!tblProductMaster[SKU],[1]!tblProductMaster[List Price])</f>
        <v>3.49</v>
      </c>
      <c r="K370" t="s">
        <v>86</v>
      </c>
      <c r="L370" s="3">
        <v>0</v>
      </c>
      <c r="M370" s="9">
        <f t="shared" si="25"/>
        <v>3.49</v>
      </c>
      <c r="N370" s="8">
        <f t="shared" si="26"/>
        <v>1612.38</v>
      </c>
      <c r="O370" s="9">
        <f>_xlfn.XLOOKUP(G370,[1]!tblProductMaster[SKU],[1]!tblProductMaster[Unit Cost])</f>
        <v>1.2</v>
      </c>
      <c r="P370" s="8">
        <f t="shared" si="27"/>
        <v>554.4</v>
      </c>
      <c r="Q370" s="8">
        <f t="shared" si="28"/>
        <v>1057.98</v>
      </c>
      <c r="R370" s="4">
        <f t="shared" si="29"/>
        <v>0.65616045845272208</v>
      </c>
      <c r="S370" t="s">
        <v>87</v>
      </c>
      <c r="T370">
        <f>Table6[[#This Row],[Discount]]*Table6[[#This Row],[List Price]]*Table6[[#This Row],[Units]]</f>
        <v>0</v>
      </c>
    </row>
    <row r="371" spans="1:20" x14ac:dyDescent="0.2">
      <c r="A371" t="s">
        <v>464</v>
      </c>
      <c r="B371" s="2">
        <v>46234.614217892966</v>
      </c>
      <c r="C371" t="s">
        <v>98</v>
      </c>
      <c r="D371" t="s">
        <v>85</v>
      </c>
      <c r="E371" t="s">
        <v>25</v>
      </c>
      <c r="F371" t="s">
        <v>7</v>
      </c>
      <c r="G371" t="s">
        <v>31</v>
      </c>
      <c r="H371" t="str">
        <f>_xlfn.XLOOKUP(Table6[[#This Row],[SKU]],tblProductMaster[SKU],tblProductMaster[Product])</f>
        <v>Facial Cleanser</v>
      </c>
      <c r="I371">
        <v>402</v>
      </c>
      <c r="J371">
        <f>_xlfn.XLOOKUP(G371,[1]!tblProductMaster[SKU],[1]!tblProductMaster[List Price])</f>
        <v>8.49</v>
      </c>
      <c r="K371" t="s">
        <v>86</v>
      </c>
      <c r="L371" s="3">
        <v>0</v>
      </c>
      <c r="M371" s="9">
        <f t="shared" si="25"/>
        <v>8.49</v>
      </c>
      <c r="N371" s="8">
        <f t="shared" si="26"/>
        <v>3412.98</v>
      </c>
      <c r="O371" s="9">
        <f>_xlfn.XLOOKUP(G371,[1]!tblProductMaster[SKU],[1]!tblProductMaster[Unit Cost])</f>
        <v>3.5</v>
      </c>
      <c r="P371" s="8">
        <f t="shared" si="27"/>
        <v>1407</v>
      </c>
      <c r="Q371" s="8">
        <f t="shared" si="28"/>
        <v>2005.98</v>
      </c>
      <c r="R371" s="4">
        <f t="shared" si="29"/>
        <v>0.58775029446407534</v>
      </c>
      <c r="S371" t="s">
        <v>87</v>
      </c>
      <c r="T371">
        <f>Table6[[#This Row],[Discount]]*Table6[[#This Row],[List Price]]*Table6[[#This Row],[Units]]</f>
        <v>0</v>
      </c>
    </row>
    <row r="372" spans="1:20" x14ac:dyDescent="0.2">
      <c r="A372" t="s">
        <v>465</v>
      </c>
      <c r="B372" s="2">
        <v>46288.072479344839</v>
      </c>
      <c r="C372" t="s">
        <v>84</v>
      </c>
      <c r="D372" t="s">
        <v>85</v>
      </c>
      <c r="E372" t="s">
        <v>56</v>
      </c>
      <c r="F372" t="s">
        <v>7</v>
      </c>
      <c r="G372" t="s">
        <v>64</v>
      </c>
      <c r="H372" t="str">
        <f>_xlfn.XLOOKUP(Table6[[#This Row],[SKU]],tblProductMaster[SKU],tblProductMaster[Product])</f>
        <v>Toothbrush</v>
      </c>
      <c r="I372">
        <v>429</v>
      </c>
      <c r="J372">
        <f>_xlfn.XLOOKUP(G372,[1]!tblProductMaster[SKU],[1]!tblProductMaster[List Price])</f>
        <v>3.99</v>
      </c>
      <c r="K372" t="s">
        <v>89</v>
      </c>
      <c r="L372" s="3">
        <v>0.1</v>
      </c>
      <c r="M372" s="9">
        <f t="shared" si="25"/>
        <v>3.5910000000000002</v>
      </c>
      <c r="N372" s="8">
        <f t="shared" si="26"/>
        <v>1540.539</v>
      </c>
      <c r="O372" s="9">
        <f>_xlfn.XLOOKUP(G372,[1]!tblProductMaster[SKU],[1]!tblProductMaster[Unit Cost])</f>
        <v>1.5</v>
      </c>
      <c r="P372" s="8">
        <f t="shared" si="27"/>
        <v>643.5</v>
      </c>
      <c r="Q372" s="8">
        <f t="shared" si="28"/>
        <v>897.03899999999999</v>
      </c>
      <c r="R372" s="4">
        <f t="shared" si="29"/>
        <v>0.58228905597326652</v>
      </c>
      <c r="S372" t="s">
        <v>94</v>
      </c>
      <c r="T372">
        <f>Table6[[#This Row],[Discount]]*Table6[[#This Row],[List Price]]*Table6[[#This Row],[Units]]</f>
        <v>171.17100000000002</v>
      </c>
    </row>
    <row r="373" spans="1:20" x14ac:dyDescent="0.2">
      <c r="A373" t="s">
        <v>466</v>
      </c>
      <c r="B373" s="2">
        <v>46262.06811276247</v>
      </c>
      <c r="C373" t="s">
        <v>84</v>
      </c>
      <c r="D373" t="s">
        <v>85</v>
      </c>
      <c r="E373" t="s">
        <v>40</v>
      </c>
      <c r="F373" t="s">
        <v>7</v>
      </c>
      <c r="G373" t="s">
        <v>48</v>
      </c>
      <c r="H373" t="str">
        <f>_xlfn.XLOOKUP(Table6[[#This Row],[SKU]],tblProductMaster[SKU],tblProductMaster[Product])</f>
        <v>Color Detergent</v>
      </c>
      <c r="I373">
        <v>489</v>
      </c>
      <c r="J373">
        <f>_xlfn.XLOOKUP(G373,[1]!tblProductMaster[SKU],[1]!tblProductMaster[List Price])</f>
        <v>9.49</v>
      </c>
      <c r="K373" t="s">
        <v>86</v>
      </c>
      <c r="L373" s="3">
        <v>0</v>
      </c>
      <c r="M373" s="9">
        <f t="shared" si="25"/>
        <v>9.49</v>
      </c>
      <c r="N373" s="8">
        <f t="shared" si="26"/>
        <v>4640.6099999999997</v>
      </c>
      <c r="O373" s="9">
        <f>_xlfn.XLOOKUP(G373,[1]!tblProductMaster[SKU],[1]!tblProductMaster[Unit Cost])</f>
        <v>4</v>
      </c>
      <c r="P373" s="8">
        <f t="shared" si="27"/>
        <v>1956</v>
      </c>
      <c r="Q373" s="8">
        <f t="shared" si="28"/>
        <v>2684.6099999999997</v>
      </c>
      <c r="R373" s="4">
        <f t="shared" si="29"/>
        <v>0.57850368809272912</v>
      </c>
      <c r="S373" t="s">
        <v>87</v>
      </c>
      <c r="T373">
        <f>Table6[[#This Row],[Discount]]*Table6[[#This Row],[List Price]]*Table6[[#This Row],[Units]]</f>
        <v>0</v>
      </c>
    </row>
    <row r="374" spans="1:20" x14ac:dyDescent="0.2">
      <c r="A374" t="s">
        <v>467</v>
      </c>
      <c r="B374" s="2">
        <v>46232.687378894065</v>
      </c>
      <c r="C374" t="s">
        <v>84</v>
      </c>
      <c r="D374" t="s">
        <v>96</v>
      </c>
      <c r="E374" t="s">
        <v>40</v>
      </c>
      <c r="F374" t="s">
        <v>18</v>
      </c>
      <c r="G374" t="s">
        <v>42</v>
      </c>
      <c r="H374" t="str">
        <f>_xlfn.XLOOKUP(Table6[[#This Row],[SKU]],tblProductMaster[SKU],tblProductMaster[Product])</f>
        <v>Detergent Capsules</v>
      </c>
      <c r="I374">
        <v>642</v>
      </c>
      <c r="J374">
        <f>_xlfn.XLOOKUP(G374,[1]!tblProductMaster[SKU],[1]!tblProductMaster[List Price])</f>
        <v>11.99</v>
      </c>
      <c r="K374" t="s">
        <v>86</v>
      </c>
      <c r="L374" s="3">
        <v>0</v>
      </c>
      <c r="M374" s="9">
        <f t="shared" si="25"/>
        <v>11.99</v>
      </c>
      <c r="N374" s="8">
        <f t="shared" si="26"/>
        <v>7697.58</v>
      </c>
      <c r="O374" s="9">
        <f>_xlfn.XLOOKUP(G374,[1]!tblProductMaster[SKU],[1]!tblProductMaster[Unit Cost])</f>
        <v>5.2</v>
      </c>
      <c r="P374" s="8">
        <f t="shared" si="27"/>
        <v>3338.4</v>
      </c>
      <c r="Q374" s="8">
        <f t="shared" si="28"/>
        <v>4359.18</v>
      </c>
      <c r="R374" s="4">
        <f t="shared" si="29"/>
        <v>0.56630525437864887</v>
      </c>
      <c r="S374" t="s">
        <v>87</v>
      </c>
      <c r="T374">
        <f>Table6[[#This Row],[Discount]]*Table6[[#This Row],[List Price]]*Table6[[#This Row],[Units]]</f>
        <v>0</v>
      </c>
    </row>
    <row r="375" spans="1:20" x14ac:dyDescent="0.2">
      <c r="A375" t="s">
        <v>468</v>
      </c>
      <c r="B375" s="2">
        <v>46369.115351548557</v>
      </c>
      <c r="C375" t="s">
        <v>84</v>
      </c>
      <c r="D375" t="s">
        <v>96</v>
      </c>
      <c r="E375" t="s">
        <v>40</v>
      </c>
      <c r="F375" t="s">
        <v>7</v>
      </c>
      <c r="G375" t="s">
        <v>48</v>
      </c>
      <c r="H375" t="str">
        <f>_xlfn.XLOOKUP(Table6[[#This Row],[SKU]],tblProductMaster[SKU],tblProductMaster[Product])</f>
        <v>Color Detergent</v>
      </c>
      <c r="I375">
        <v>449</v>
      </c>
      <c r="J375">
        <f>_xlfn.XLOOKUP(G375,[1]!tblProductMaster[SKU],[1]!tblProductMaster[List Price])</f>
        <v>9.49</v>
      </c>
      <c r="K375" t="s">
        <v>86</v>
      </c>
      <c r="L375" s="3">
        <v>0</v>
      </c>
      <c r="M375" s="9">
        <f t="shared" si="25"/>
        <v>9.49</v>
      </c>
      <c r="N375" s="8">
        <f t="shared" si="26"/>
        <v>4261.01</v>
      </c>
      <c r="O375" s="9">
        <f>_xlfn.XLOOKUP(G375,[1]!tblProductMaster[SKU],[1]!tblProductMaster[Unit Cost])</f>
        <v>4</v>
      </c>
      <c r="P375" s="8">
        <f t="shared" si="27"/>
        <v>1796</v>
      </c>
      <c r="Q375" s="8">
        <f t="shared" si="28"/>
        <v>2465.0100000000002</v>
      </c>
      <c r="R375" s="4">
        <f t="shared" si="29"/>
        <v>0.57850368809272923</v>
      </c>
      <c r="S375" t="s">
        <v>87</v>
      </c>
      <c r="T375">
        <f>Table6[[#This Row],[Discount]]*Table6[[#This Row],[List Price]]*Table6[[#This Row],[Units]]</f>
        <v>0</v>
      </c>
    </row>
    <row r="376" spans="1:20" x14ac:dyDescent="0.2">
      <c r="A376" t="s">
        <v>469</v>
      </c>
      <c r="B376" s="2">
        <v>46026.959792286274</v>
      </c>
      <c r="C376" t="s">
        <v>98</v>
      </c>
      <c r="D376" t="s">
        <v>96</v>
      </c>
      <c r="E376" t="s">
        <v>25</v>
      </c>
      <c r="F376" t="s">
        <v>7</v>
      </c>
      <c r="G376" t="s">
        <v>33</v>
      </c>
      <c r="H376" t="str">
        <f>_xlfn.XLOOKUP(Table6[[#This Row],[SKU]],tblProductMaster[SKU],tblProductMaster[Product])</f>
        <v>Sunscreen 200ml</v>
      </c>
      <c r="I376">
        <v>489</v>
      </c>
      <c r="J376">
        <f>_xlfn.XLOOKUP(G376,[1]!tblProductMaster[SKU],[1]!tblProductMaster[List Price])</f>
        <v>10.99</v>
      </c>
      <c r="K376" t="s">
        <v>86</v>
      </c>
      <c r="L376" s="3">
        <v>0</v>
      </c>
      <c r="M376" s="9">
        <f t="shared" si="25"/>
        <v>10.99</v>
      </c>
      <c r="N376" s="8">
        <f t="shared" si="26"/>
        <v>5374.11</v>
      </c>
      <c r="O376" s="9">
        <f>_xlfn.XLOOKUP(G376,[1]!tblProductMaster[SKU],[1]!tblProductMaster[Unit Cost])</f>
        <v>4.5999999999999996</v>
      </c>
      <c r="P376" s="8">
        <f t="shared" si="27"/>
        <v>2249.3999999999996</v>
      </c>
      <c r="Q376" s="8">
        <f t="shared" si="28"/>
        <v>3124.71</v>
      </c>
      <c r="R376" s="4">
        <f t="shared" si="29"/>
        <v>0.58143767060964513</v>
      </c>
      <c r="S376" t="s">
        <v>87</v>
      </c>
      <c r="T376">
        <f>Table6[[#This Row],[Discount]]*Table6[[#This Row],[List Price]]*Table6[[#This Row],[Units]]</f>
        <v>0</v>
      </c>
    </row>
    <row r="377" spans="1:20" x14ac:dyDescent="0.2">
      <c r="A377" t="s">
        <v>470</v>
      </c>
      <c r="B377" s="2">
        <v>46309.875466979945</v>
      </c>
      <c r="C377" t="s">
        <v>84</v>
      </c>
      <c r="D377" t="s">
        <v>96</v>
      </c>
      <c r="E377" t="s">
        <v>8</v>
      </c>
      <c r="F377" t="s">
        <v>18</v>
      </c>
      <c r="G377" t="s">
        <v>20</v>
      </c>
      <c r="H377" t="str">
        <f>_xlfn.XLOOKUP(Table6[[#This Row],[SKU]],tblProductMaster[SKU],tblProductMaster[Product])</f>
        <v>Hair Oil</v>
      </c>
      <c r="I377">
        <v>397</v>
      </c>
      <c r="J377">
        <f>_xlfn.XLOOKUP(G377,[1]!tblProductMaster[SKU],[1]!tblProductMaster[List Price])</f>
        <v>7.49</v>
      </c>
      <c r="K377" t="s">
        <v>86</v>
      </c>
      <c r="L377" s="3">
        <v>0</v>
      </c>
      <c r="M377" s="9">
        <f t="shared" si="25"/>
        <v>7.49</v>
      </c>
      <c r="N377" s="8">
        <f t="shared" si="26"/>
        <v>2973.53</v>
      </c>
      <c r="O377" s="9">
        <f>_xlfn.XLOOKUP(G377,[1]!tblProductMaster[SKU],[1]!tblProductMaster[Unit Cost])</f>
        <v>3.1</v>
      </c>
      <c r="P377" s="8">
        <f t="shared" si="27"/>
        <v>1230.7</v>
      </c>
      <c r="Q377" s="8">
        <f t="shared" si="28"/>
        <v>1742.8300000000002</v>
      </c>
      <c r="R377" s="4">
        <f t="shared" si="29"/>
        <v>0.58611481975967961</v>
      </c>
      <c r="S377" t="s">
        <v>87</v>
      </c>
      <c r="T377">
        <f>Table6[[#This Row],[Discount]]*Table6[[#This Row],[List Price]]*Table6[[#This Row],[Units]]</f>
        <v>0</v>
      </c>
    </row>
    <row r="378" spans="1:20" x14ac:dyDescent="0.2">
      <c r="A378" t="s">
        <v>471</v>
      </c>
      <c r="B378" s="2">
        <v>46169.324983713115</v>
      </c>
      <c r="C378" t="s">
        <v>93</v>
      </c>
      <c r="D378" t="s">
        <v>96</v>
      </c>
      <c r="E378" t="s">
        <v>56</v>
      </c>
      <c r="F378" t="s">
        <v>18</v>
      </c>
      <c r="G378" t="s">
        <v>60</v>
      </c>
      <c r="H378" t="str">
        <f>_xlfn.XLOOKUP(Table6[[#This Row],[SKU]],tblProductMaster[SKU],tblProductMaster[Product])</f>
        <v>Sensitive Toothpaste</v>
      </c>
      <c r="I378">
        <v>1093</v>
      </c>
      <c r="J378">
        <f>_xlfn.XLOOKUP(G378,[1]!tblProductMaster[SKU],[1]!tblProductMaster[List Price])</f>
        <v>4.49</v>
      </c>
      <c r="K378" t="s">
        <v>89</v>
      </c>
      <c r="L378" s="3">
        <v>0.1</v>
      </c>
      <c r="M378" s="9">
        <f t="shared" si="25"/>
        <v>4.0410000000000004</v>
      </c>
      <c r="N378" s="8">
        <f t="shared" si="26"/>
        <v>4416.8130000000001</v>
      </c>
      <c r="O378" s="9">
        <f>_xlfn.XLOOKUP(G378,[1]!tblProductMaster[SKU],[1]!tblProductMaster[Unit Cost])</f>
        <v>1.7</v>
      </c>
      <c r="P378" s="8">
        <f t="shared" si="27"/>
        <v>1858.1</v>
      </c>
      <c r="Q378" s="8">
        <f t="shared" si="28"/>
        <v>2558.7130000000002</v>
      </c>
      <c r="R378" s="4">
        <f t="shared" si="29"/>
        <v>0.57931205147240783</v>
      </c>
      <c r="S378" t="s">
        <v>94</v>
      </c>
      <c r="T378">
        <f>Table6[[#This Row],[Discount]]*Table6[[#This Row],[List Price]]*Table6[[#This Row],[Units]]</f>
        <v>490.75700000000006</v>
      </c>
    </row>
    <row r="379" spans="1:20" x14ac:dyDescent="0.2">
      <c r="A379" t="s">
        <v>472</v>
      </c>
      <c r="B379" s="2">
        <v>46233.66532392308</v>
      </c>
      <c r="C379" t="s">
        <v>93</v>
      </c>
      <c r="D379" t="s">
        <v>104</v>
      </c>
      <c r="E379" t="s">
        <v>56</v>
      </c>
      <c r="F379" t="s">
        <v>7</v>
      </c>
      <c r="G379" t="s">
        <v>64</v>
      </c>
      <c r="H379" t="str">
        <f>_xlfn.XLOOKUP(Table6[[#This Row],[SKU]],tblProductMaster[SKU],tblProductMaster[Product])</f>
        <v>Toothbrush</v>
      </c>
      <c r="I379">
        <v>236</v>
      </c>
      <c r="J379">
        <f>_xlfn.XLOOKUP(G379,[1]!tblProductMaster[SKU],[1]!tblProductMaster[List Price])</f>
        <v>3.99</v>
      </c>
      <c r="K379" t="s">
        <v>86</v>
      </c>
      <c r="L379" s="3">
        <v>0</v>
      </c>
      <c r="M379" s="9">
        <f t="shared" si="25"/>
        <v>3.99</v>
      </c>
      <c r="N379" s="8">
        <f t="shared" si="26"/>
        <v>941.6400000000001</v>
      </c>
      <c r="O379" s="9">
        <f>_xlfn.XLOOKUP(G379,[1]!tblProductMaster[SKU],[1]!tblProductMaster[Unit Cost])</f>
        <v>1.5</v>
      </c>
      <c r="P379" s="8">
        <f t="shared" si="27"/>
        <v>354</v>
      </c>
      <c r="Q379" s="8">
        <f t="shared" si="28"/>
        <v>587.6400000000001</v>
      </c>
      <c r="R379" s="4">
        <f t="shared" si="29"/>
        <v>0.62406015037593987</v>
      </c>
      <c r="S379" t="s">
        <v>87</v>
      </c>
      <c r="T379">
        <f>Table6[[#This Row],[Discount]]*Table6[[#This Row],[List Price]]*Table6[[#This Row],[Units]]</f>
        <v>0</v>
      </c>
    </row>
    <row r="380" spans="1:20" x14ac:dyDescent="0.2">
      <c r="A380" t="s">
        <v>473</v>
      </c>
      <c r="B380" s="2">
        <v>46199.31410815772</v>
      </c>
      <c r="C380" t="s">
        <v>98</v>
      </c>
      <c r="D380" t="s">
        <v>104</v>
      </c>
      <c r="E380" t="s">
        <v>25</v>
      </c>
      <c r="F380" t="s">
        <v>18</v>
      </c>
      <c r="G380" t="s">
        <v>27</v>
      </c>
      <c r="H380" t="str">
        <f>_xlfn.XLOOKUP(Table6[[#This Row],[SKU]],tblProductMaster[SKU],tblProductMaster[Product])</f>
        <v>Face Cream 50ml</v>
      </c>
      <c r="I380">
        <v>655</v>
      </c>
      <c r="J380">
        <f>_xlfn.XLOOKUP(G380,[1]!tblProductMaster[SKU],[1]!tblProductMaster[List Price])</f>
        <v>9.99</v>
      </c>
      <c r="K380" t="s">
        <v>89</v>
      </c>
      <c r="L380" s="3">
        <v>0.2</v>
      </c>
      <c r="M380" s="9">
        <f t="shared" si="25"/>
        <v>7.9920000000000009</v>
      </c>
      <c r="N380" s="8">
        <f t="shared" si="26"/>
        <v>5234.76</v>
      </c>
      <c r="O380" s="9">
        <f>_xlfn.XLOOKUP(G380,[1]!tblProductMaster[SKU],[1]!tblProductMaster[Unit Cost])</f>
        <v>4.2</v>
      </c>
      <c r="P380" s="8">
        <f t="shared" si="27"/>
        <v>2751</v>
      </c>
      <c r="Q380" s="8">
        <f t="shared" si="28"/>
        <v>2483.7600000000002</v>
      </c>
      <c r="R380" s="4">
        <f t="shared" si="29"/>
        <v>0.47447447447447449</v>
      </c>
      <c r="S380" t="s">
        <v>99</v>
      </c>
      <c r="T380">
        <f>Table6[[#This Row],[Discount]]*Table6[[#This Row],[List Price]]*Table6[[#This Row],[Units]]</f>
        <v>1308.69</v>
      </c>
    </row>
    <row r="381" spans="1:20" x14ac:dyDescent="0.2">
      <c r="A381" t="s">
        <v>474</v>
      </c>
      <c r="B381" s="2">
        <v>46296.769516322936</v>
      </c>
      <c r="C381" t="s">
        <v>93</v>
      </c>
      <c r="D381" t="s">
        <v>96</v>
      </c>
      <c r="E381" t="s">
        <v>56</v>
      </c>
      <c r="F381" t="s">
        <v>15</v>
      </c>
      <c r="G381" t="s">
        <v>62</v>
      </c>
      <c r="H381" t="str">
        <f>_xlfn.XLOOKUP(Table6[[#This Row],[SKU]],tblProductMaster[SKU],tblProductMaster[Product])</f>
        <v>Mouthwash 500ml</v>
      </c>
      <c r="I381">
        <v>722</v>
      </c>
      <c r="J381">
        <f>_xlfn.XLOOKUP(G381,[1]!tblProductMaster[SKU],[1]!tblProductMaster[List Price])</f>
        <v>5.99</v>
      </c>
      <c r="K381" t="s">
        <v>86</v>
      </c>
      <c r="L381" s="3">
        <v>0</v>
      </c>
      <c r="M381" s="9">
        <f t="shared" si="25"/>
        <v>5.99</v>
      </c>
      <c r="N381" s="8">
        <f t="shared" si="26"/>
        <v>4324.78</v>
      </c>
      <c r="O381" s="9">
        <f>_xlfn.XLOOKUP(G381,[1]!tblProductMaster[SKU],[1]!tblProductMaster[Unit Cost])</f>
        <v>2.4</v>
      </c>
      <c r="P381" s="8">
        <f t="shared" si="27"/>
        <v>1732.8</v>
      </c>
      <c r="Q381" s="8">
        <f t="shared" si="28"/>
        <v>2591.9799999999996</v>
      </c>
      <c r="R381" s="4">
        <f t="shared" si="29"/>
        <v>0.59933222036727873</v>
      </c>
      <c r="S381" t="s">
        <v>87</v>
      </c>
      <c r="T381">
        <f>Table6[[#This Row],[Discount]]*Table6[[#This Row],[List Price]]*Table6[[#This Row],[Units]]</f>
        <v>0</v>
      </c>
    </row>
    <row r="382" spans="1:20" x14ac:dyDescent="0.2">
      <c r="A382" t="s">
        <v>475</v>
      </c>
      <c r="B382" s="2">
        <v>46338.479323676736</v>
      </c>
      <c r="C382" t="s">
        <v>98</v>
      </c>
      <c r="D382" t="s">
        <v>104</v>
      </c>
      <c r="E382" t="s">
        <v>8</v>
      </c>
      <c r="F382" t="s">
        <v>15</v>
      </c>
      <c r="G382" t="s">
        <v>16</v>
      </c>
      <c r="H382" t="str">
        <f>_xlfn.XLOOKUP(Table6[[#This Row],[SKU]],tblProductMaster[SKU],tblProductMaster[Product])</f>
        <v>Conditioner 250ml</v>
      </c>
      <c r="I382">
        <v>551</v>
      </c>
      <c r="J382">
        <f>_xlfn.XLOOKUP(G382,[1]!tblProductMaster[SKU],[1]!tblProductMaster[List Price])</f>
        <v>4.79</v>
      </c>
      <c r="K382" t="s">
        <v>86</v>
      </c>
      <c r="L382" s="3">
        <v>0</v>
      </c>
      <c r="M382" s="9">
        <f t="shared" si="25"/>
        <v>4.79</v>
      </c>
      <c r="N382" s="8">
        <f t="shared" si="26"/>
        <v>2639.29</v>
      </c>
      <c r="O382" s="9">
        <f>_xlfn.XLOOKUP(G382,[1]!tblProductMaster[SKU],[1]!tblProductMaster[Unit Cost])</f>
        <v>2</v>
      </c>
      <c r="P382" s="8">
        <f t="shared" si="27"/>
        <v>1102</v>
      </c>
      <c r="Q382" s="8">
        <f t="shared" si="28"/>
        <v>1537.29</v>
      </c>
      <c r="R382" s="4">
        <f t="shared" si="29"/>
        <v>0.58246346555323592</v>
      </c>
      <c r="S382" t="s">
        <v>87</v>
      </c>
      <c r="T382">
        <f>Table6[[#This Row],[Discount]]*Table6[[#This Row],[List Price]]*Table6[[#This Row],[Units]]</f>
        <v>0</v>
      </c>
    </row>
    <row r="383" spans="1:20" x14ac:dyDescent="0.2">
      <c r="A383" t="s">
        <v>476</v>
      </c>
      <c r="B383" s="2">
        <v>46199.538509999198</v>
      </c>
      <c r="C383" t="s">
        <v>93</v>
      </c>
      <c r="D383" t="s">
        <v>85</v>
      </c>
      <c r="E383" t="s">
        <v>25</v>
      </c>
      <c r="F383" t="s">
        <v>7</v>
      </c>
      <c r="G383" t="s">
        <v>24</v>
      </c>
      <c r="H383" t="str">
        <f>_xlfn.XLOOKUP(Table6[[#This Row],[SKU]],tblProductMaster[SKU],tblProductMaster[Product])</f>
        <v>Body Lotion 400ml</v>
      </c>
      <c r="I383">
        <v>380</v>
      </c>
      <c r="J383">
        <f>_xlfn.XLOOKUP(G383,[1]!tblProductMaster[SKU],[1]!tblProductMaster[List Price])</f>
        <v>7.99</v>
      </c>
      <c r="K383" t="s">
        <v>86</v>
      </c>
      <c r="L383" s="3">
        <v>0</v>
      </c>
      <c r="M383" s="9">
        <f t="shared" si="25"/>
        <v>7.99</v>
      </c>
      <c r="N383" s="8">
        <f t="shared" si="26"/>
        <v>3036.2000000000003</v>
      </c>
      <c r="O383" s="9">
        <f>_xlfn.XLOOKUP(G383,[1]!tblProductMaster[SKU],[1]!tblProductMaster[Unit Cost])</f>
        <v>3.1</v>
      </c>
      <c r="P383" s="8">
        <f t="shared" si="27"/>
        <v>1178</v>
      </c>
      <c r="Q383" s="8">
        <f t="shared" si="28"/>
        <v>1858.2000000000003</v>
      </c>
      <c r="R383" s="4">
        <f t="shared" si="29"/>
        <v>0.61201501877346687</v>
      </c>
      <c r="S383" t="s">
        <v>87</v>
      </c>
      <c r="T383">
        <f>Table6[[#This Row],[Discount]]*Table6[[#This Row],[List Price]]*Table6[[#This Row],[Units]]</f>
        <v>0</v>
      </c>
    </row>
    <row r="384" spans="1:20" x14ac:dyDescent="0.2">
      <c r="A384" t="s">
        <v>477</v>
      </c>
      <c r="B384" s="2">
        <v>46186.959721560386</v>
      </c>
      <c r="C384" t="s">
        <v>98</v>
      </c>
      <c r="D384" t="s">
        <v>85</v>
      </c>
      <c r="E384" t="s">
        <v>8</v>
      </c>
      <c r="F384" t="s">
        <v>15</v>
      </c>
      <c r="G384" t="s">
        <v>22</v>
      </c>
      <c r="H384" t="str">
        <f>_xlfn.XLOOKUP(Table6[[#This Row],[SKU]],tblProductMaster[SKU],tblProductMaster[Product])</f>
        <v>Styling Gel</v>
      </c>
      <c r="I384">
        <v>636</v>
      </c>
      <c r="J384">
        <f>_xlfn.XLOOKUP(G384,[1]!tblProductMaster[SKU],[1]!tblProductMaster[List Price])</f>
        <v>4.49</v>
      </c>
      <c r="K384" t="s">
        <v>86</v>
      </c>
      <c r="L384" s="3">
        <v>0</v>
      </c>
      <c r="M384" s="9">
        <f t="shared" si="25"/>
        <v>4.49</v>
      </c>
      <c r="N384" s="8">
        <f t="shared" si="26"/>
        <v>2855.6400000000003</v>
      </c>
      <c r="O384" s="9">
        <f>_xlfn.XLOOKUP(G384,[1]!tblProductMaster[SKU],[1]!tblProductMaster[Unit Cost])</f>
        <v>1.9</v>
      </c>
      <c r="P384" s="8">
        <f t="shared" si="27"/>
        <v>1208.3999999999999</v>
      </c>
      <c r="Q384" s="8">
        <f t="shared" si="28"/>
        <v>1647.2400000000005</v>
      </c>
      <c r="R384" s="4">
        <f t="shared" si="29"/>
        <v>0.57683741648106912</v>
      </c>
      <c r="S384" t="s">
        <v>87</v>
      </c>
      <c r="T384">
        <f>Table6[[#This Row],[Discount]]*Table6[[#This Row],[List Price]]*Table6[[#This Row],[Units]]</f>
        <v>0</v>
      </c>
    </row>
    <row r="385" spans="1:20" x14ac:dyDescent="0.2">
      <c r="A385" t="s">
        <v>478</v>
      </c>
      <c r="B385" s="2">
        <v>46036.565025165422</v>
      </c>
      <c r="C385" t="s">
        <v>98</v>
      </c>
      <c r="D385" t="s">
        <v>104</v>
      </c>
      <c r="E385" t="s">
        <v>40</v>
      </c>
      <c r="F385" t="s">
        <v>7</v>
      </c>
      <c r="G385" t="s">
        <v>44</v>
      </c>
      <c r="H385" t="str">
        <f>_xlfn.XLOOKUP(Table6[[#This Row],[SKU]],tblProductMaster[SKU],tblProductMaster[Product])</f>
        <v>Fabric Softener</v>
      </c>
      <c r="I385">
        <v>665</v>
      </c>
      <c r="J385">
        <f>_xlfn.XLOOKUP(G385,[1]!tblProductMaster[SKU],[1]!tblProductMaster[List Price])</f>
        <v>6.99</v>
      </c>
      <c r="K385" t="s">
        <v>89</v>
      </c>
      <c r="L385" s="3">
        <v>0.2</v>
      </c>
      <c r="M385" s="9">
        <f t="shared" si="25"/>
        <v>5.5920000000000005</v>
      </c>
      <c r="N385" s="8">
        <f t="shared" si="26"/>
        <v>3718.6800000000003</v>
      </c>
      <c r="O385" s="9">
        <f>_xlfn.XLOOKUP(G385,[1]!tblProductMaster[SKU],[1]!tblProductMaster[Unit Cost])</f>
        <v>2.9</v>
      </c>
      <c r="P385" s="8">
        <f t="shared" si="27"/>
        <v>1928.5</v>
      </c>
      <c r="Q385" s="8">
        <f t="shared" si="28"/>
        <v>1790.1800000000003</v>
      </c>
      <c r="R385" s="4">
        <f t="shared" si="29"/>
        <v>0.48140200286123036</v>
      </c>
      <c r="S385" t="s">
        <v>94</v>
      </c>
      <c r="T385">
        <f>Table6[[#This Row],[Discount]]*Table6[[#This Row],[List Price]]*Table6[[#This Row],[Units]]</f>
        <v>929.67000000000007</v>
      </c>
    </row>
    <row r="386" spans="1:20" x14ac:dyDescent="0.2">
      <c r="A386" t="s">
        <v>479</v>
      </c>
      <c r="B386" s="2">
        <v>46068.479570722084</v>
      </c>
      <c r="C386" t="s">
        <v>93</v>
      </c>
      <c r="D386" t="s">
        <v>85</v>
      </c>
      <c r="E386" t="s">
        <v>40</v>
      </c>
      <c r="F386" t="s">
        <v>18</v>
      </c>
      <c r="G386" t="s">
        <v>54</v>
      </c>
      <c r="H386" t="str">
        <f>_xlfn.XLOOKUP(Table6[[#This Row],[SKU]],tblProductMaster[SKU],tblProductMaster[Product])</f>
        <v>Fabric Softener</v>
      </c>
      <c r="I386">
        <v>877</v>
      </c>
      <c r="J386">
        <f>_xlfn.XLOOKUP(G386,[1]!tblProductMaster[SKU],[1]!tblProductMaster[List Price])</f>
        <v>5.49</v>
      </c>
      <c r="K386" t="s">
        <v>89</v>
      </c>
      <c r="L386" s="3">
        <v>0.1</v>
      </c>
      <c r="M386" s="9">
        <f t="shared" si="25"/>
        <v>4.9410000000000007</v>
      </c>
      <c r="N386" s="8">
        <f t="shared" si="26"/>
        <v>4333.2570000000005</v>
      </c>
      <c r="O386" s="9">
        <f>_xlfn.XLOOKUP(G386,[1]!tblProductMaster[SKU],[1]!tblProductMaster[Unit Cost])</f>
        <v>2.4</v>
      </c>
      <c r="P386" s="8">
        <f t="shared" si="27"/>
        <v>2104.7999999999997</v>
      </c>
      <c r="Q386" s="8">
        <f t="shared" si="28"/>
        <v>2228.4570000000008</v>
      </c>
      <c r="R386" s="4">
        <f t="shared" si="29"/>
        <v>0.5142683667273833</v>
      </c>
      <c r="S386" t="s">
        <v>99</v>
      </c>
      <c r="T386">
        <f>Table6[[#This Row],[Discount]]*Table6[[#This Row],[List Price]]*Table6[[#This Row],[Units]]</f>
        <v>481.47300000000001</v>
      </c>
    </row>
    <row r="387" spans="1:20" x14ac:dyDescent="0.2">
      <c r="A387" t="s">
        <v>480</v>
      </c>
      <c r="B387" s="2">
        <v>46342.638760931899</v>
      </c>
      <c r="C387" t="s">
        <v>93</v>
      </c>
      <c r="D387" t="s">
        <v>96</v>
      </c>
      <c r="E387" t="s">
        <v>25</v>
      </c>
      <c r="F387" t="s">
        <v>7</v>
      </c>
      <c r="G387" t="s">
        <v>24</v>
      </c>
      <c r="H387" t="str">
        <f>_xlfn.XLOOKUP(Table6[[#This Row],[SKU]],tblProductMaster[SKU],tblProductMaster[Product])</f>
        <v>Body Lotion 400ml</v>
      </c>
      <c r="I387">
        <v>931</v>
      </c>
      <c r="J387">
        <f>_xlfn.XLOOKUP(G387,[1]!tblProductMaster[SKU],[1]!tblProductMaster[List Price])</f>
        <v>7.99</v>
      </c>
      <c r="K387" t="s">
        <v>89</v>
      </c>
      <c r="L387" s="3">
        <v>0.3</v>
      </c>
      <c r="M387" s="9">
        <f t="shared" ref="M387:M450" si="30">J387*(1-L387)</f>
        <v>5.593</v>
      </c>
      <c r="N387" s="8">
        <f t="shared" ref="N387:N450" si="31">M387*I387</f>
        <v>5207.0829999999996</v>
      </c>
      <c r="O387" s="9">
        <f>_xlfn.XLOOKUP(G387,[1]!tblProductMaster[SKU],[1]!tblProductMaster[Unit Cost])</f>
        <v>3.1</v>
      </c>
      <c r="P387" s="8">
        <f t="shared" ref="P387:P450" si="32">O387*I387</f>
        <v>2886.1</v>
      </c>
      <c r="Q387" s="8">
        <f t="shared" ref="Q387:Q450" si="33">N387-P387</f>
        <v>2320.9829999999997</v>
      </c>
      <c r="R387" s="4">
        <f t="shared" ref="R387:R450" si="34">Q387/N387</f>
        <v>0.44573574110495262</v>
      </c>
      <c r="S387" t="s">
        <v>99</v>
      </c>
      <c r="T387">
        <f>Table6[[#This Row],[Discount]]*Table6[[#This Row],[List Price]]*Table6[[#This Row],[Units]]</f>
        <v>2231.607</v>
      </c>
    </row>
    <row r="388" spans="1:20" x14ac:dyDescent="0.2">
      <c r="A388" t="s">
        <v>481</v>
      </c>
      <c r="B388" s="2">
        <v>46141.025902142268</v>
      </c>
      <c r="C388" t="s">
        <v>93</v>
      </c>
      <c r="D388" t="s">
        <v>85</v>
      </c>
      <c r="E388" t="s">
        <v>56</v>
      </c>
      <c r="F388" t="s">
        <v>15</v>
      </c>
      <c r="G388" t="s">
        <v>62</v>
      </c>
      <c r="H388" t="str">
        <f>_xlfn.XLOOKUP(Table6[[#This Row],[SKU]],tblProductMaster[SKU],tblProductMaster[Product])</f>
        <v>Mouthwash 500ml</v>
      </c>
      <c r="I388">
        <v>303</v>
      </c>
      <c r="J388">
        <f>_xlfn.XLOOKUP(G388,[1]!tblProductMaster[SKU],[1]!tblProductMaster[List Price])</f>
        <v>5.99</v>
      </c>
      <c r="K388" t="s">
        <v>86</v>
      </c>
      <c r="L388" s="3">
        <v>0</v>
      </c>
      <c r="M388" s="9">
        <f t="shared" si="30"/>
        <v>5.99</v>
      </c>
      <c r="N388" s="8">
        <f t="shared" si="31"/>
        <v>1814.97</v>
      </c>
      <c r="O388" s="9">
        <f>_xlfn.XLOOKUP(G388,[1]!tblProductMaster[SKU],[1]!tblProductMaster[Unit Cost])</f>
        <v>2.4</v>
      </c>
      <c r="P388" s="8">
        <f t="shared" si="32"/>
        <v>727.19999999999993</v>
      </c>
      <c r="Q388" s="8">
        <f t="shared" si="33"/>
        <v>1087.77</v>
      </c>
      <c r="R388" s="4">
        <f t="shared" si="34"/>
        <v>0.59933222036727873</v>
      </c>
      <c r="S388" t="s">
        <v>87</v>
      </c>
      <c r="T388">
        <f>Table6[[#This Row],[Discount]]*Table6[[#This Row],[List Price]]*Table6[[#This Row],[Units]]</f>
        <v>0</v>
      </c>
    </row>
    <row r="389" spans="1:20" x14ac:dyDescent="0.2">
      <c r="A389" t="s">
        <v>482</v>
      </c>
      <c r="B389" s="2">
        <v>46122.499167662041</v>
      </c>
      <c r="C389" t="s">
        <v>84</v>
      </c>
      <c r="D389" t="s">
        <v>85</v>
      </c>
      <c r="E389" t="s">
        <v>40</v>
      </c>
      <c r="F389" t="s">
        <v>18</v>
      </c>
      <c r="G389" t="s">
        <v>42</v>
      </c>
      <c r="H389" t="str">
        <f>_xlfn.XLOOKUP(Table6[[#This Row],[SKU]],tblProductMaster[SKU],tblProductMaster[Product])</f>
        <v>Detergent Capsules</v>
      </c>
      <c r="I389">
        <v>407</v>
      </c>
      <c r="J389">
        <f>_xlfn.XLOOKUP(G389,[1]!tblProductMaster[SKU],[1]!tblProductMaster[List Price])</f>
        <v>11.99</v>
      </c>
      <c r="K389" t="s">
        <v>86</v>
      </c>
      <c r="L389" s="3">
        <v>0</v>
      </c>
      <c r="M389" s="9">
        <f t="shared" si="30"/>
        <v>11.99</v>
      </c>
      <c r="N389" s="8">
        <f t="shared" si="31"/>
        <v>4879.93</v>
      </c>
      <c r="O389" s="9">
        <f>_xlfn.XLOOKUP(G389,[1]!tblProductMaster[SKU],[1]!tblProductMaster[Unit Cost])</f>
        <v>5.2</v>
      </c>
      <c r="P389" s="8">
        <f t="shared" si="32"/>
        <v>2116.4</v>
      </c>
      <c r="Q389" s="8">
        <f t="shared" si="33"/>
        <v>2763.53</v>
      </c>
      <c r="R389" s="4">
        <f t="shared" si="34"/>
        <v>0.56630525437864887</v>
      </c>
      <c r="S389" t="s">
        <v>87</v>
      </c>
      <c r="T389">
        <f>Table6[[#This Row],[Discount]]*Table6[[#This Row],[List Price]]*Table6[[#This Row],[Units]]</f>
        <v>0</v>
      </c>
    </row>
    <row r="390" spans="1:20" x14ac:dyDescent="0.2">
      <c r="A390" t="s">
        <v>483</v>
      </c>
      <c r="B390" s="2">
        <v>46111.836767868546</v>
      </c>
      <c r="C390" t="s">
        <v>98</v>
      </c>
      <c r="D390" t="s">
        <v>96</v>
      </c>
      <c r="E390" t="s">
        <v>25</v>
      </c>
      <c r="F390" t="s">
        <v>15</v>
      </c>
      <c r="G390" t="s">
        <v>35</v>
      </c>
      <c r="H390" t="str">
        <f>_xlfn.XLOOKUP(Table6[[#This Row],[SKU]],tblProductMaster[SKU],tblProductMaster[Product])</f>
        <v>Hand Cream</v>
      </c>
      <c r="I390">
        <v>268</v>
      </c>
      <c r="J390">
        <f>_xlfn.XLOOKUP(G390,[1]!tblProductMaster[SKU],[1]!tblProductMaster[List Price])</f>
        <v>4.99</v>
      </c>
      <c r="K390" t="s">
        <v>86</v>
      </c>
      <c r="L390" s="3">
        <v>0</v>
      </c>
      <c r="M390" s="9">
        <f t="shared" si="30"/>
        <v>4.99</v>
      </c>
      <c r="N390" s="8">
        <f t="shared" si="31"/>
        <v>1337.3200000000002</v>
      </c>
      <c r="O390" s="9">
        <f>_xlfn.XLOOKUP(G390,[1]!tblProductMaster[SKU],[1]!tblProductMaster[Unit Cost])</f>
        <v>2.1</v>
      </c>
      <c r="P390" s="8">
        <f t="shared" si="32"/>
        <v>562.80000000000007</v>
      </c>
      <c r="Q390" s="8">
        <f t="shared" si="33"/>
        <v>774.5200000000001</v>
      </c>
      <c r="R390" s="4">
        <f t="shared" si="34"/>
        <v>0.57915831663326656</v>
      </c>
      <c r="S390" t="s">
        <v>87</v>
      </c>
      <c r="T390">
        <f>Table6[[#This Row],[Discount]]*Table6[[#This Row],[List Price]]*Table6[[#This Row],[Units]]</f>
        <v>0</v>
      </c>
    </row>
    <row r="391" spans="1:20" x14ac:dyDescent="0.2">
      <c r="A391" t="s">
        <v>484</v>
      </c>
      <c r="B391" s="2">
        <v>46152.20403495575</v>
      </c>
      <c r="C391" t="s">
        <v>93</v>
      </c>
      <c r="D391" t="s">
        <v>96</v>
      </c>
      <c r="E391" t="s">
        <v>56</v>
      </c>
      <c r="F391" t="s">
        <v>15</v>
      </c>
      <c r="G391" t="s">
        <v>55</v>
      </c>
      <c r="H391" t="str">
        <f>_xlfn.XLOOKUP(Table6[[#This Row],[SKU]],tblProductMaster[SKU],tblProductMaster[Product])</f>
        <v>Toothpaste 75ml</v>
      </c>
      <c r="I391">
        <v>450</v>
      </c>
      <c r="J391">
        <f>_xlfn.XLOOKUP(G391,[1]!tblProductMaster[SKU],[1]!tblProductMaster[List Price])</f>
        <v>3.49</v>
      </c>
      <c r="K391" t="s">
        <v>86</v>
      </c>
      <c r="L391" s="3">
        <v>0</v>
      </c>
      <c r="M391" s="9">
        <f t="shared" si="30"/>
        <v>3.49</v>
      </c>
      <c r="N391" s="8">
        <f t="shared" si="31"/>
        <v>1570.5</v>
      </c>
      <c r="O391" s="9">
        <f>_xlfn.XLOOKUP(G391,[1]!tblProductMaster[SKU],[1]!tblProductMaster[Unit Cost])</f>
        <v>1.2</v>
      </c>
      <c r="P391" s="8">
        <f t="shared" si="32"/>
        <v>540</v>
      </c>
      <c r="Q391" s="8">
        <f t="shared" si="33"/>
        <v>1030.5</v>
      </c>
      <c r="R391" s="4">
        <f t="shared" si="34"/>
        <v>0.65616045845272208</v>
      </c>
      <c r="S391" t="s">
        <v>87</v>
      </c>
      <c r="T391">
        <f>Table6[[#This Row],[Discount]]*Table6[[#This Row],[List Price]]*Table6[[#This Row],[Units]]</f>
        <v>0</v>
      </c>
    </row>
    <row r="392" spans="1:20" x14ac:dyDescent="0.2">
      <c r="A392" t="s">
        <v>485</v>
      </c>
      <c r="B392" s="2">
        <v>46074.631416223216</v>
      </c>
      <c r="C392" t="s">
        <v>84</v>
      </c>
      <c r="D392" t="s">
        <v>104</v>
      </c>
      <c r="E392" t="s">
        <v>56</v>
      </c>
      <c r="F392" t="s">
        <v>18</v>
      </c>
      <c r="G392" t="s">
        <v>68</v>
      </c>
      <c r="H392" t="str">
        <f>_xlfn.XLOOKUP(Table6[[#This Row],[SKU]],tblProductMaster[SKU],tblProductMaster[Product])</f>
        <v>Kids Toothpaste</v>
      </c>
      <c r="I392">
        <v>1063</v>
      </c>
      <c r="J392">
        <f>_xlfn.XLOOKUP(G392,[1]!tblProductMaster[SKU],[1]!tblProductMaster[List Price])</f>
        <v>3.29</v>
      </c>
      <c r="K392" t="s">
        <v>89</v>
      </c>
      <c r="L392" s="3">
        <v>0.2</v>
      </c>
      <c r="M392" s="9">
        <f t="shared" si="30"/>
        <v>2.6320000000000001</v>
      </c>
      <c r="N392" s="8">
        <f t="shared" si="31"/>
        <v>2797.8160000000003</v>
      </c>
      <c r="O392" s="9">
        <f>_xlfn.XLOOKUP(G392,[1]!tblProductMaster[SKU],[1]!tblProductMaster[Unit Cost])</f>
        <v>1.1000000000000001</v>
      </c>
      <c r="P392" s="8">
        <f t="shared" si="32"/>
        <v>1169.3000000000002</v>
      </c>
      <c r="Q392" s="8">
        <f t="shared" si="33"/>
        <v>1628.5160000000001</v>
      </c>
      <c r="R392" s="4">
        <f t="shared" si="34"/>
        <v>0.58206686930091178</v>
      </c>
      <c r="S392" t="s">
        <v>94</v>
      </c>
      <c r="T392">
        <f>Table6[[#This Row],[Discount]]*Table6[[#This Row],[List Price]]*Table6[[#This Row],[Units]]</f>
        <v>699.45400000000006</v>
      </c>
    </row>
    <row r="393" spans="1:20" x14ac:dyDescent="0.2">
      <c r="A393" t="s">
        <v>486</v>
      </c>
      <c r="B393" s="2">
        <v>46123.88081264541</v>
      </c>
      <c r="C393" t="s">
        <v>98</v>
      </c>
      <c r="D393" t="s">
        <v>85</v>
      </c>
      <c r="E393" t="s">
        <v>40</v>
      </c>
      <c r="F393" t="s">
        <v>15</v>
      </c>
      <c r="G393" t="s">
        <v>39</v>
      </c>
      <c r="H393" t="str">
        <f>_xlfn.XLOOKUP(Table6[[#This Row],[SKU]],tblProductMaster[SKU],tblProductMaster[Product])</f>
        <v>Detergent 1L</v>
      </c>
      <c r="I393">
        <v>363</v>
      </c>
      <c r="J393">
        <f>_xlfn.XLOOKUP(G393,[1]!tblProductMaster[SKU],[1]!tblProductMaster[List Price])</f>
        <v>8.49</v>
      </c>
      <c r="K393" t="s">
        <v>86</v>
      </c>
      <c r="L393" s="3">
        <v>0</v>
      </c>
      <c r="M393" s="9">
        <f t="shared" si="30"/>
        <v>8.49</v>
      </c>
      <c r="N393" s="8">
        <f t="shared" si="31"/>
        <v>3081.87</v>
      </c>
      <c r="O393" s="9">
        <f>_xlfn.XLOOKUP(G393,[1]!tblProductMaster[SKU],[1]!tblProductMaster[Unit Cost])</f>
        <v>3.8</v>
      </c>
      <c r="P393" s="8">
        <f t="shared" si="32"/>
        <v>1379.3999999999999</v>
      </c>
      <c r="Q393" s="8">
        <f t="shared" si="33"/>
        <v>1702.47</v>
      </c>
      <c r="R393" s="4">
        <f t="shared" si="34"/>
        <v>0.55241460541813903</v>
      </c>
      <c r="S393" t="s">
        <v>87</v>
      </c>
      <c r="T393">
        <f>Table6[[#This Row],[Discount]]*Table6[[#This Row],[List Price]]*Table6[[#This Row],[Units]]</f>
        <v>0</v>
      </c>
    </row>
    <row r="394" spans="1:20" x14ac:dyDescent="0.2">
      <c r="A394" t="s">
        <v>487</v>
      </c>
      <c r="B394" s="2">
        <v>46073.420730128673</v>
      </c>
      <c r="C394" t="s">
        <v>84</v>
      </c>
      <c r="D394" t="s">
        <v>104</v>
      </c>
      <c r="E394" t="s">
        <v>8</v>
      </c>
      <c r="F394" t="s">
        <v>18</v>
      </c>
      <c r="G394" t="s">
        <v>17</v>
      </c>
      <c r="H394" t="str">
        <f>_xlfn.XLOOKUP(Table6[[#This Row],[SKU]],tblProductMaster[SKU],tblProductMaster[Product])</f>
        <v>Anti-Dandruff Shampoo</v>
      </c>
      <c r="I394">
        <v>528</v>
      </c>
      <c r="J394">
        <f>_xlfn.XLOOKUP(G394,[1]!tblProductMaster[SKU],[1]!tblProductMaster[List Price])</f>
        <v>6.49</v>
      </c>
      <c r="K394" t="s">
        <v>86</v>
      </c>
      <c r="L394" s="3">
        <v>0</v>
      </c>
      <c r="M394" s="9">
        <f t="shared" si="30"/>
        <v>6.49</v>
      </c>
      <c r="N394" s="8">
        <f t="shared" si="31"/>
        <v>3426.7200000000003</v>
      </c>
      <c r="O394" s="9">
        <f>_xlfn.XLOOKUP(G394,[1]!tblProductMaster[SKU],[1]!tblProductMaster[Unit Cost])</f>
        <v>2.8</v>
      </c>
      <c r="P394" s="8">
        <f t="shared" si="32"/>
        <v>1478.3999999999999</v>
      </c>
      <c r="Q394" s="8">
        <f t="shared" si="33"/>
        <v>1948.3200000000004</v>
      </c>
      <c r="R394" s="4">
        <f t="shared" si="34"/>
        <v>0.5685670261941449</v>
      </c>
      <c r="S394" t="s">
        <v>87</v>
      </c>
      <c r="T394">
        <f>Table6[[#This Row],[Discount]]*Table6[[#This Row],[List Price]]*Table6[[#This Row],[Units]]</f>
        <v>0</v>
      </c>
    </row>
    <row r="395" spans="1:20" x14ac:dyDescent="0.2">
      <c r="A395" t="s">
        <v>488</v>
      </c>
      <c r="B395" s="2">
        <v>46111.929098472698</v>
      </c>
      <c r="C395" t="s">
        <v>84</v>
      </c>
      <c r="D395" t="s">
        <v>104</v>
      </c>
      <c r="E395" t="s">
        <v>40</v>
      </c>
      <c r="F395" t="s">
        <v>7</v>
      </c>
      <c r="G395" t="s">
        <v>48</v>
      </c>
      <c r="H395" t="str">
        <f>_xlfn.XLOOKUP(Table6[[#This Row],[SKU]],tblProductMaster[SKU],tblProductMaster[Product])</f>
        <v>Color Detergent</v>
      </c>
      <c r="I395">
        <v>675</v>
      </c>
      <c r="J395">
        <f>_xlfn.XLOOKUP(G395,[1]!tblProductMaster[SKU],[1]!tblProductMaster[List Price])</f>
        <v>9.49</v>
      </c>
      <c r="K395" t="s">
        <v>86</v>
      </c>
      <c r="L395" s="3">
        <v>0</v>
      </c>
      <c r="M395" s="9">
        <f t="shared" si="30"/>
        <v>9.49</v>
      </c>
      <c r="N395" s="8">
        <f t="shared" si="31"/>
        <v>6405.75</v>
      </c>
      <c r="O395" s="9">
        <f>_xlfn.XLOOKUP(G395,[1]!tblProductMaster[SKU],[1]!tblProductMaster[Unit Cost])</f>
        <v>4</v>
      </c>
      <c r="P395" s="8">
        <f t="shared" si="32"/>
        <v>2700</v>
      </c>
      <c r="Q395" s="8">
        <f t="shared" si="33"/>
        <v>3705.75</v>
      </c>
      <c r="R395" s="4">
        <f t="shared" si="34"/>
        <v>0.57850368809272923</v>
      </c>
      <c r="S395" t="s">
        <v>87</v>
      </c>
      <c r="T395">
        <f>Table6[[#This Row],[Discount]]*Table6[[#This Row],[List Price]]*Table6[[#This Row],[Units]]</f>
        <v>0</v>
      </c>
    </row>
    <row r="396" spans="1:20" x14ac:dyDescent="0.2">
      <c r="A396" t="s">
        <v>489</v>
      </c>
      <c r="B396" s="2">
        <v>46112.814439952439</v>
      </c>
      <c r="C396" t="s">
        <v>93</v>
      </c>
      <c r="D396" t="s">
        <v>96</v>
      </c>
      <c r="E396" t="s">
        <v>40</v>
      </c>
      <c r="F396" t="s">
        <v>7</v>
      </c>
      <c r="G396" t="s">
        <v>48</v>
      </c>
      <c r="H396" t="str">
        <f>_xlfn.XLOOKUP(Table6[[#This Row],[SKU]],tblProductMaster[SKU],tblProductMaster[Product])</f>
        <v>Color Detergent</v>
      </c>
      <c r="I396">
        <v>932</v>
      </c>
      <c r="J396">
        <f>_xlfn.XLOOKUP(G396,[1]!tblProductMaster[SKU],[1]!tblProductMaster[List Price])</f>
        <v>9.49</v>
      </c>
      <c r="K396" t="s">
        <v>89</v>
      </c>
      <c r="L396" s="3">
        <v>0.3</v>
      </c>
      <c r="M396" s="9">
        <f t="shared" si="30"/>
        <v>6.6429999999999998</v>
      </c>
      <c r="N396" s="8">
        <f t="shared" si="31"/>
        <v>6191.2759999999998</v>
      </c>
      <c r="O396" s="9">
        <f>_xlfn.XLOOKUP(G396,[1]!tblProductMaster[SKU],[1]!tblProductMaster[Unit Cost])</f>
        <v>4</v>
      </c>
      <c r="P396" s="8">
        <f t="shared" si="32"/>
        <v>3728</v>
      </c>
      <c r="Q396" s="8">
        <f t="shared" si="33"/>
        <v>2463.2759999999998</v>
      </c>
      <c r="R396" s="4">
        <f t="shared" si="34"/>
        <v>0.39786241156104168</v>
      </c>
      <c r="S396" t="s">
        <v>90</v>
      </c>
      <c r="T396">
        <f>Table6[[#This Row],[Discount]]*Table6[[#This Row],[List Price]]*Table6[[#This Row],[Units]]</f>
        <v>2653.404</v>
      </c>
    </row>
    <row r="397" spans="1:20" x14ac:dyDescent="0.2">
      <c r="A397" t="s">
        <v>490</v>
      </c>
      <c r="B397" s="2">
        <v>46251.27815509012</v>
      </c>
      <c r="C397" t="s">
        <v>84</v>
      </c>
      <c r="D397" t="s">
        <v>104</v>
      </c>
      <c r="E397" t="s">
        <v>25</v>
      </c>
      <c r="F397" t="s">
        <v>18</v>
      </c>
      <c r="G397" t="s">
        <v>37</v>
      </c>
      <c r="H397" t="str">
        <f>_xlfn.XLOOKUP(Table6[[#This Row],[SKU]],tblProductMaster[SKU],tblProductMaster[Product])</f>
        <v>Body Wash</v>
      </c>
      <c r="I397">
        <v>210</v>
      </c>
      <c r="J397">
        <f>_xlfn.XLOOKUP(G397,[1]!tblProductMaster[SKU],[1]!tblProductMaster[List Price])</f>
        <v>5.49</v>
      </c>
      <c r="K397" t="s">
        <v>86</v>
      </c>
      <c r="L397" s="3">
        <v>0</v>
      </c>
      <c r="M397" s="9">
        <f t="shared" si="30"/>
        <v>5.49</v>
      </c>
      <c r="N397" s="8">
        <f t="shared" si="31"/>
        <v>1152.9000000000001</v>
      </c>
      <c r="O397" s="9">
        <f>_xlfn.XLOOKUP(G397,[1]!tblProductMaster[SKU],[1]!tblProductMaster[Unit Cost])</f>
        <v>2.2999999999999998</v>
      </c>
      <c r="P397" s="8">
        <f t="shared" si="32"/>
        <v>482.99999999999994</v>
      </c>
      <c r="Q397" s="8">
        <f t="shared" si="33"/>
        <v>669.90000000000009</v>
      </c>
      <c r="R397" s="4">
        <f t="shared" si="34"/>
        <v>0.58105646630236796</v>
      </c>
      <c r="S397" t="s">
        <v>87</v>
      </c>
      <c r="T397">
        <f>Table6[[#This Row],[Discount]]*Table6[[#This Row],[List Price]]*Table6[[#This Row],[Units]]</f>
        <v>0</v>
      </c>
    </row>
    <row r="398" spans="1:20" x14ac:dyDescent="0.2">
      <c r="A398" t="s">
        <v>491</v>
      </c>
      <c r="B398" s="2">
        <v>46332.965253119226</v>
      </c>
      <c r="C398" t="s">
        <v>98</v>
      </c>
      <c r="D398" t="s">
        <v>104</v>
      </c>
      <c r="E398" t="s">
        <v>56</v>
      </c>
      <c r="F398" t="s">
        <v>15</v>
      </c>
      <c r="G398" t="s">
        <v>55</v>
      </c>
      <c r="H398" t="str">
        <f>_xlfn.XLOOKUP(Table6[[#This Row],[SKU]],tblProductMaster[SKU],tblProductMaster[Product])</f>
        <v>Toothpaste 75ml</v>
      </c>
      <c r="I398">
        <v>633</v>
      </c>
      <c r="J398">
        <f>_xlfn.XLOOKUP(G398,[1]!tblProductMaster[SKU],[1]!tblProductMaster[List Price])</f>
        <v>3.49</v>
      </c>
      <c r="K398" t="s">
        <v>86</v>
      </c>
      <c r="L398" s="3">
        <v>0</v>
      </c>
      <c r="M398" s="9">
        <f t="shared" si="30"/>
        <v>3.49</v>
      </c>
      <c r="N398" s="8">
        <f t="shared" si="31"/>
        <v>2209.17</v>
      </c>
      <c r="O398" s="9">
        <f>_xlfn.XLOOKUP(G398,[1]!tblProductMaster[SKU],[1]!tblProductMaster[Unit Cost])</f>
        <v>1.2</v>
      </c>
      <c r="P398" s="8">
        <f t="shared" si="32"/>
        <v>759.6</v>
      </c>
      <c r="Q398" s="8">
        <f t="shared" si="33"/>
        <v>1449.5700000000002</v>
      </c>
      <c r="R398" s="4">
        <f t="shared" si="34"/>
        <v>0.65616045845272208</v>
      </c>
      <c r="S398" t="s">
        <v>87</v>
      </c>
      <c r="T398">
        <f>Table6[[#This Row],[Discount]]*Table6[[#This Row],[List Price]]*Table6[[#This Row],[Units]]</f>
        <v>0</v>
      </c>
    </row>
    <row r="399" spans="1:20" x14ac:dyDescent="0.2">
      <c r="A399" t="s">
        <v>492</v>
      </c>
      <c r="B399" s="2">
        <v>46237.845941553598</v>
      </c>
      <c r="C399" t="s">
        <v>98</v>
      </c>
      <c r="D399" t="s">
        <v>85</v>
      </c>
      <c r="E399" t="s">
        <v>40</v>
      </c>
      <c r="F399" t="s">
        <v>18</v>
      </c>
      <c r="G399" t="s">
        <v>50</v>
      </c>
      <c r="H399" t="str">
        <f>_xlfn.XLOOKUP(Table6[[#This Row],[SKU]],tblProductMaster[SKU],tblProductMaster[Product])</f>
        <v>Sensitive Detergent</v>
      </c>
      <c r="I399">
        <v>326</v>
      </c>
      <c r="J399">
        <f>_xlfn.XLOOKUP(G399,[1]!tblProductMaster[SKU],[1]!tblProductMaster[List Price])</f>
        <v>8.99</v>
      </c>
      <c r="K399" t="s">
        <v>86</v>
      </c>
      <c r="L399" s="3">
        <v>0</v>
      </c>
      <c r="M399" s="9">
        <f t="shared" si="30"/>
        <v>8.99</v>
      </c>
      <c r="N399" s="8">
        <f t="shared" si="31"/>
        <v>2930.7400000000002</v>
      </c>
      <c r="O399" s="9">
        <f>_xlfn.XLOOKUP(G399,[1]!tblProductMaster[SKU],[1]!tblProductMaster[Unit Cost])</f>
        <v>4</v>
      </c>
      <c r="P399" s="8">
        <f t="shared" si="32"/>
        <v>1304</v>
      </c>
      <c r="Q399" s="8">
        <f t="shared" si="33"/>
        <v>1626.7400000000002</v>
      </c>
      <c r="R399" s="4">
        <f t="shared" si="34"/>
        <v>0.55506117908787544</v>
      </c>
      <c r="S399" t="s">
        <v>87</v>
      </c>
      <c r="T399">
        <f>Table6[[#This Row],[Discount]]*Table6[[#This Row],[List Price]]*Table6[[#This Row],[Units]]</f>
        <v>0</v>
      </c>
    </row>
    <row r="400" spans="1:20" x14ac:dyDescent="0.2">
      <c r="A400" t="s">
        <v>493</v>
      </c>
      <c r="B400" s="2">
        <v>46214.420398935683</v>
      </c>
      <c r="C400" t="s">
        <v>84</v>
      </c>
      <c r="D400" t="s">
        <v>104</v>
      </c>
      <c r="E400" t="s">
        <v>25</v>
      </c>
      <c r="F400" t="s">
        <v>7</v>
      </c>
      <c r="G400" t="s">
        <v>33</v>
      </c>
      <c r="H400" t="str">
        <f>_xlfn.XLOOKUP(Table6[[#This Row],[SKU]],tblProductMaster[SKU],tblProductMaster[Product])</f>
        <v>Sunscreen 200ml</v>
      </c>
      <c r="I400">
        <v>293</v>
      </c>
      <c r="J400">
        <f>_xlfn.XLOOKUP(G400,[1]!tblProductMaster[SKU],[1]!tblProductMaster[List Price])</f>
        <v>10.99</v>
      </c>
      <c r="K400" t="s">
        <v>86</v>
      </c>
      <c r="L400" s="3">
        <v>0</v>
      </c>
      <c r="M400" s="9">
        <f t="shared" si="30"/>
        <v>10.99</v>
      </c>
      <c r="N400" s="8">
        <f t="shared" si="31"/>
        <v>3220.07</v>
      </c>
      <c r="O400" s="9">
        <f>_xlfn.XLOOKUP(G400,[1]!tblProductMaster[SKU],[1]!tblProductMaster[Unit Cost])</f>
        <v>4.5999999999999996</v>
      </c>
      <c r="P400" s="8">
        <f t="shared" si="32"/>
        <v>1347.8</v>
      </c>
      <c r="Q400" s="8">
        <f t="shared" si="33"/>
        <v>1872.2700000000002</v>
      </c>
      <c r="R400" s="4">
        <f t="shared" si="34"/>
        <v>0.58143767060964513</v>
      </c>
      <c r="S400" t="s">
        <v>87</v>
      </c>
      <c r="T400">
        <f>Table6[[#This Row],[Discount]]*Table6[[#This Row],[List Price]]*Table6[[#This Row],[Units]]</f>
        <v>0</v>
      </c>
    </row>
    <row r="401" spans="1:20" x14ac:dyDescent="0.2">
      <c r="A401" t="s">
        <v>494</v>
      </c>
      <c r="B401" s="2">
        <v>46065.4081911295</v>
      </c>
      <c r="C401" t="s">
        <v>84</v>
      </c>
      <c r="D401" t="s">
        <v>104</v>
      </c>
      <c r="E401" t="s">
        <v>25</v>
      </c>
      <c r="F401" t="s">
        <v>15</v>
      </c>
      <c r="G401" t="s">
        <v>29</v>
      </c>
      <c r="H401" t="str">
        <f>_xlfn.XLOOKUP(Table6[[#This Row],[SKU]],tblProductMaster[SKU],tblProductMaster[Product])</f>
        <v>Shower Gel 250ml</v>
      </c>
      <c r="I401">
        <v>408</v>
      </c>
      <c r="J401">
        <f>_xlfn.XLOOKUP(G401,[1]!tblProductMaster[SKU],[1]!tblProductMaster[List Price])</f>
        <v>4.49</v>
      </c>
      <c r="K401" t="s">
        <v>86</v>
      </c>
      <c r="L401" s="3">
        <v>0</v>
      </c>
      <c r="M401" s="9">
        <f t="shared" si="30"/>
        <v>4.49</v>
      </c>
      <c r="N401" s="8">
        <f t="shared" si="31"/>
        <v>1831.92</v>
      </c>
      <c r="O401" s="9">
        <f>_xlfn.XLOOKUP(G401,[1]!tblProductMaster[SKU],[1]!tblProductMaster[Unit Cost])</f>
        <v>1.9</v>
      </c>
      <c r="P401" s="8">
        <f t="shared" si="32"/>
        <v>775.19999999999993</v>
      </c>
      <c r="Q401" s="8">
        <f t="shared" si="33"/>
        <v>1056.7200000000003</v>
      </c>
      <c r="R401" s="4">
        <f t="shared" si="34"/>
        <v>0.57683741648106912</v>
      </c>
      <c r="S401" t="s">
        <v>87</v>
      </c>
      <c r="T401">
        <f>Table6[[#This Row],[Discount]]*Table6[[#This Row],[List Price]]*Table6[[#This Row],[Units]]</f>
        <v>0</v>
      </c>
    </row>
    <row r="402" spans="1:20" x14ac:dyDescent="0.2">
      <c r="A402" t="s">
        <v>495</v>
      </c>
      <c r="B402" s="2">
        <v>46094.923971770164</v>
      </c>
      <c r="C402" t="s">
        <v>98</v>
      </c>
      <c r="D402" t="s">
        <v>96</v>
      </c>
      <c r="E402" t="s">
        <v>25</v>
      </c>
      <c r="F402" t="s">
        <v>7</v>
      </c>
      <c r="G402" t="s">
        <v>33</v>
      </c>
      <c r="H402" t="str">
        <f>_xlfn.XLOOKUP(Table6[[#This Row],[SKU]],tblProductMaster[SKU],tblProductMaster[Product])</f>
        <v>Sunscreen 200ml</v>
      </c>
      <c r="I402">
        <v>458</v>
      </c>
      <c r="J402">
        <f>_xlfn.XLOOKUP(G402,[1]!tblProductMaster[SKU],[1]!tblProductMaster[List Price])</f>
        <v>10.99</v>
      </c>
      <c r="K402" t="s">
        <v>86</v>
      </c>
      <c r="L402" s="3">
        <v>0</v>
      </c>
      <c r="M402" s="9">
        <f t="shared" si="30"/>
        <v>10.99</v>
      </c>
      <c r="N402" s="8">
        <f t="shared" si="31"/>
        <v>5033.42</v>
      </c>
      <c r="O402" s="9">
        <f>_xlfn.XLOOKUP(G402,[1]!tblProductMaster[SKU],[1]!tblProductMaster[Unit Cost])</f>
        <v>4.5999999999999996</v>
      </c>
      <c r="P402" s="8">
        <f t="shared" si="32"/>
        <v>2106.7999999999997</v>
      </c>
      <c r="Q402" s="8">
        <f t="shared" si="33"/>
        <v>2926.6200000000003</v>
      </c>
      <c r="R402" s="4">
        <f t="shared" si="34"/>
        <v>0.58143767060964524</v>
      </c>
      <c r="S402" t="s">
        <v>87</v>
      </c>
      <c r="T402">
        <f>Table6[[#This Row],[Discount]]*Table6[[#This Row],[List Price]]*Table6[[#This Row],[Units]]</f>
        <v>0</v>
      </c>
    </row>
    <row r="403" spans="1:20" x14ac:dyDescent="0.2">
      <c r="A403" t="s">
        <v>496</v>
      </c>
      <c r="B403" s="2">
        <v>46042.847447856162</v>
      </c>
      <c r="C403" t="s">
        <v>84</v>
      </c>
      <c r="D403" t="s">
        <v>96</v>
      </c>
      <c r="E403" t="s">
        <v>40</v>
      </c>
      <c r="F403" t="s">
        <v>18</v>
      </c>
      <c r="G403" t="s">
        <v>42</v>
      </c>
      <c r="H403" t="str">
        <f>_xlfn.XLOOKUP(Table6[[#This Row],[SKU]],tblProductMaster[SKU],tblProductMaster[Product])</f>
        <v>Detergent Capsules</v>
      </c>
      <c r="I403">
        <v>857</v>
      </c>
      <c r="J403">
        <f>_xlfn.XLOOKUP(G403,[1]!tblProductMaster[SKU],[1]!tblProductMaster[List Price])</f>
        <v>11.99</v>
      </c>
      <c r="K403" t="s">
        <v>89</v>
      </c>
      <c r="L403" s="3">
        <v>0.3</v>
      </c>
      <c r="M403" s="9">
        <f t="shared" si="30"/>
        <v>8.3929999999999989</v>
      </c>
      <c r="N403" s="8">
        <f t="shared" si="31"/>
        <v>7192.8009999999995</v>
      </c>
      <c r="O403" s="9">
        <f>_xlfn.XLOOKUP(G403,[1]!tblProductMaster[SKU],[1]!tblProductMaster[Unit Cost])</f>
        <v>5.2</v>
      </c>
      <c r="P403" s="8">
        <f t="shared" si="32"/>
        <v>4456.4000000000005</v>
      </c>
      <c r="Q403" s="8">
        <f t="shared" si="33"/>
        <v>2736.4009999999989</v>
      </c>
      <c r="R403" s="4">
        <f t="shared" si="34"/>
        <v>0.38043607768378396</v>
      </c>
      <c r="S403" t="s">
        <v>94</v>
      </c>
      <c r="T403">
        <f>Table6[[#This Row],[Discount]]*Table6[[#This Row],[List Price]]*Table6[[#This Row],[Units]]</f>
        <v>3082.6289999999999</v>
      </c>
    </row>
    <row r="404" spans="1:20" x14ac:dyDescent="0.2">
      <c r="A404" t="s">
        <v>497</v>
      </c>
      <c r="B404" s="2">
        <v>46294.223415809822</v>
      </c>
      <c r="C404" t="s">
        <v>98</v>
      </c>
      <c r="D404" t="s">
        <v>85</v>
      </c>
      <c r="E404" t="s">
        <v>8</v>
      </c>
      <c r="F404" t="s">
        <v>15</v>
      </c>
      <c r="G404" t="s">
        <v>14</v>
      </c>
      <c r="H404" t="str">
        <f>_xlfn.XLOOKUP(Table6[[#This Row],[SKU]],tblProductMaster[SKU],tblProductMaster[Product])</f>
        <v>Shampoo 250ml</v>
      </c>
      <c r="I404">
        <v>374</v>
      </c>
      <c r="J404">
        <f>_xlfn.XLOOKUP(G404,[1]!tblProductMaster[SKU],[1]!tblProductMaster[List Price])</f>
        <v>4.99</v>
      </c>
      <c r="K404" t="s">
        <v>86</v>
      </c>
      <c r="L404" s="3">
        <v>0</v>
      </c>
      <c r="M404" s="9">
        <f t="shared" si="30"/>
        <v>4.99</v>
      </c>
      <c r="N404" s="8">
        <f t="shared" si="31"/>
        <v>1866.26</v>
      </c>
      <c r="O404" s="9">
        <f>_xlfn.XLOOKUP(G404,[1]!tblProductMaster[SKU],[1]!tblProductMaster[Unit Cost])</f>
        <v>2.1</v>
      </c>
      <c r="P404" s="8">
        <f t="shared" si="32"/>
        <v>785.4</v>
      </c>
      <c r="Q404" s="8">
        <f t="shared" si="33"/>
        <v>1080.8600000000001</v>
      </c>
      <c r="R404" s="4">
        <f t="shared" si="34"/>
        <v>0.57915831663326656</v>
      </c>
      <c r="S404" t="s">
        <v>87</v>
      </c>
      <c r="T404">
        <f>Table6[[#This Row],[Discount]]*Table6[[#This Row],[List Price]]*Table6[[#This Row],[Units]]</f>
        <v>0</v>
      </c>
    </row>
    <row r="405" spans="1:20" x14ac:dyDescent="0.2">
      <c r="A405" t="s">
        <v>498</v>
      </c>
      <c r="B405" s="2">
        <v>46249.768182402986</v>
      </c>
      <c r="C405" t="s">
        <v>84</v>
      </c>
      <c r="D405" t="s">
        <v>96</v>
      </c>
      <c r="E405" t="s">
        <v>25</v>
      </c>
      <c r="F405" t="s">
        <v>15</v>
      </c>
      <c r="G405" t="s">
        <v>35</v>
      </c>
      <c r="H405" t="str">
        <f>_xlfn.XLOOKUP(Table6[[#This Row],[SKU]],tblProductMaster[SKU],tblProductMaster[Product])</f>
        <v>Hand Cream</v>
      </c>
      <c r="I405">
        <v>942</v>
      </c>
      <c r="J405">
        <f>_xlfn.XLOOKUP(G405,[1]!tblProductMaster[SKU],[1]!tblProductMaster[List Price])</f>
        <v>4.99</v>
      </c>
      <c r="K405" t="s">
        <v>89</v>
      </c>
      <c r="L405" s="3">
        <v>0.3</v>
      </c>
      <c r="M405" s="9">
        <f t="shared" si="30"/>
        <v>3.4929999999999999</v>
      </c>
      <c r="N405" s="8">
        <f t="shared" si="31"/>
        <v>3290.4059999999999</v>
      </c>
      <c r="O405" s="9">
        <f>_xlfn.XLOOKUP(G405,[1]!tblProductMaster[SKU],[1]!tblProductMaster[Unit Cost])</f>
        <v>2.1</v>
      </c>
      <c r="P405" s="8">
        <f t="shared" si="32"/>
        <v>1978.2</v>
      </c>
      <c r="Q405" s="8">
        <f t="shared" si="33"/>
        <v>1312.2059999999999</v>
      </c>
      <c r="R405" s="4">
        <f t="shared" si="34"/>
        <v>0.39879759519038072</v>
      </c>
      <c r="S405" t="s">
        <v>94</v>
      </c>
      <c r="T405">
        <f>Table6[[#This Row],[Discount]]*Table6[[#This Row],[List Price]]*Table6[[#This Row],[Units]]</f>
        <v>1410.1740000000002</v>
      </c>
    </row>
    <row r="406" spans="1:20" x14ac:dyDescent="0.2">
      <c r="A406" t="s">
        <v>499</v>
      </c>
      <c r="B406" s="2">
        <v>46061.898074131452</v>
      </c>
      <c r="C406" t="s">
        <v>93</v>
      </c>
      <c r="D406" t="s">
        <v>104</v>
      </c>
      <c r="E406" t="s">
        <v>8</v>
      </c>
      <c r="F406" t="s">
        <v>15</v>
      </c>
      <c r="G406" t="s">
        <v>22</v>
      </c>
      <c r="H406" t="str">
        <f>_xlfn.XLOOKUP(Table6[[#This Row],[SKU]],tblProductMaster[SKU],tblProductMaster[Product])</f>
        <v>Styling Gel</v>
      </c>
      <c r="I406">
        <v>649</v>
      </c>
      <c r="J406">
        <f>_xlfn.XLOOKUP(G406,[1]!tblProductMaster[SKU],[1]!tblProductMaster[List Price])</f>
        <v>4.49</v>
      </c>
      <c r="K406" t="s">
        <v>89</v>
      </c>
      <c r="L406" s="3">
        <v>0.3</v>
      </c>
      <c r="M406" s="9">
        <f t="shared" si="30"/>
        <v>3.1429999999999998</v>
      </c>
      <c r="N406" s="8">
        <f t="shared" si="31"/>
        <v>2039.8069999999998</v>
      </c>
      <c r="O406" s="9">
        <f>_xlfn.XLOOKUP(G406,[1]!tblProductMaster[SKU],[1]!tblProductMaster[Unit Cost])</f>
        <v>1.9</v>
      </c>
      <c r="P406" s="8">
        <f t="shared" si="32"/>
        <v>1233.0999999999999</v>
      </c>
      <c r="Q406" s="8">
        <f t="shared" si="33"/>
        <v>806.70699999999988</v>
      </c>
      <c r="R406" s="4">
        <f t="shared" si="34"/>
        <v>0.39548202354438433</v>
      </c>
      <c r="S406" t="s">
        <v>99</v>
      </c>
      <c r="T406">
        <f>Table6[[#This Row],[Discount]]*Table6[[#This Row],[List Price]]*Table6[[#This Row],[Units]]</f>
        <v>874.20299999999997</v>
      </c>
    </row>
    <row r="407" spans="1:20" x14ac:dyDescent="0.2">
      <c r="A407" t="s">
        <v>500</v>
      </c>
      <c r="B407" s="2">
        <v>46315.102971189503</v>
      </c>
      <c r="C407" t="s">
        <v>84</v>
      </c>
      <c r="D407" t="s">
        <v>85</v>
      </c>
      <c r="E407" t="s">
        <v>40</v>
      </c>
      <c r="F407" t="s">
        <v>15</v>
      </c>
      <c r="G407" t="s">
        <v>39</v>
      </c>
      <c r="H407" t="str">
        <f>_xlfn.XLOOKUP(Table6[[#This Row],[SKU]],tblProductMaster[SKU],tblProductMaster[Product])</f>
        <v>Detergent 1L</v>
      </c>
      <c r="I407">
        <v>797</v>
      </c>
      <c r="J407">
        <f>_xlfn.XLOOKUP(G407,[1]!tblProductMaster[SKU],[1]!tblProductMaster[List Price])</f>
        <v>8.49</v>
      </c>
      <c r="K407" t="s">
        <v>86</v>
      </c>
      <c r="L407" s="3">
        <v>0</v>
      </c>
      <c r="M407" s="9">
        <f t="shared" si="30"/>
        <v>8.49</v>
      </c>
      <c r="N407" s="8">
        <f t="shared" si="31"/>
        <v>6766.53</v>
      </c>
      <c r="O407" s="9">
        <f>_xlfn.XLOOKUP(G407,[1]!tblProductMaster[SKU],[1]!tblProductMaster[Unit Cost])</f>
        <v>3.8</v>
      </c>
      <c r="P407" s="8">
        <f t="shared" si="32"/>
        <v>3028.6</v>
      </c>
      <c r="Q407" s="8">
        <f t="shared" si="33"/>
        <v>3737.93</v>
      </c>
      <c r="R407" s="4">
        <f t="shared" si="34"/>
        <v>0.55241460541813903</v>
      </c>
      <c r="S407" t="s">
        <v>87</v>
      </c>
      <c r="T407">
        <f>Table6[[#This Row],[Discount]]*Table6[[#This Row],[List Price]]*Table6[[#This Row],[Units]]</f>
        <v>0</v>
      </c>
    </row>
    <row r="408" spans="1:20" x14ac:dyDescent="0.2">
      <c r="A408" t="s">
        <v>501</v>
      </c>
      <c r="B408" s="2">
        <v>46317.681131479359</v>
      </c>
      <c r="C408" t="s">
        <v>84</v>
      </c>
      <c r="D408" t="s">
        <v>85</v>
      </c>
      <c r="E408" t="s">
        <v>8</v>
      </c>
      <c r="F408" t="s">
        <v>7</v>
      </c>
      <c r="G408" t="s">
        <v>10</v>
      </c>
      <c r="H408" t="str">
        <f>_xlfn.XLOOKUP(Table6[[#This Row],[SKU]],tblProductMaster[SKU],tblProductMaster[Product])</f>
        <v>Shampoo 500ml</v>
      </c>
      <c r="I408">
        <v>841</v>
      </c>
      <c r="J408">
        <f>_xlfn.XLOOKUP(G408,[1]!tblProductMaster[SKU],[1]!tblProductMaster[List Price])</f>
        <v>8.99</v>
      </c>
      <c r="K408" t="s">
        <v>89</v>
      </c>
      <c r="L408" s="3">
        <v>0.2</v>
      </c>
      <c r="M408" s="9">
        <f t="shared" si="30"/>
        <v>7.1920000000000002</v>
      </c>
      <c r="N408" s="8">
        <f t="shared" si="31"/>
        <v>6048.4719999999998</v>
      </c>
      <c r="O408" s="9">
        <f>_xlfn.XLOOKUP(G408,[1]!tblProductMaster[SKU],[1]!tblProductMaster[Unit Cost])</f>
        <v>3.6</v>
      </c>
      <c r="P408" s="8">
        <f t="shared" si="32"/>
        <v>3027.6</v>
      </c>
      <c r="Q408" s="8">
        <f t="shared" si="33"/>
        <v>3020.8719999999998</v>
      </c>
      <c r="R408" s="4">
        <f t="shared" si="34"/>
        <v>0.49944382647385982</v>
      </c>
      <c r="S408" t="s">
        <v>90</v>
      </c>
      <c r="T408">
        <f>Table6[[#This Row],[Discount]]*Table6[[#This Row],[List Price]]*Table6[[#This Row],[Units]]</f>
        <v>1512.1179999999999</v>
      </c>
    </row>
    <row r="409" spans="1:20" x14ac:dyDescent="0.2">
      <c r="A409" t="s">
        <v>502</v>
      </c>
      <c r="B409" s="2">
        <v>46344.595145331703</v>
      </c>
      <c r="C409" t="s">
        <v>98</v>
      </c>
      <c r="D409" t="s">
        <v>104</v>
      </c>
      <c r="E409" t="s">
        <v>25</v>
      </c>
      <c r="F409" t="s">
        <v>18</v>
      </c>
      <c r="G409" t="s">
        <v>37</v>
      </c>
      <c r="H409" t="str">
        <f>_xlfn.XLOOKUP(Table6[[#This Row],[SKU]],tblProductMaster[SKU],tblProductMaster[Product])</f>
        <v>Body Wash</v>
      </c>
      <c r="I409">
        <v>1161</v>
      </c>
      <c r="J409">
        <f>_xlfn.XLOOKUP(G409,[1]!tblProductMaster[SKU],[1]!tblProductMaster[List Price])</f>
        <v>5.49</v>
      </c>
      <c r="K409" t="s">
        <v>89</v>
      </c>
      <c r="L409" s="3">
        <v>0.1</v>
      </c>
      <c r="M409" s="9">
        <f t="shared" si="30"/>
        <v>4.9410000000000007</v>
      </c>
      <c r="N409" s="8">
        <f t="shared" si="31"/>
        <v>5736.5010000000011</v>
      </c>
      <c r="O409" s="9">
        <f>_xlfn.XLOOKUP(G409,[1]!tblProductMaster[SKU],[1]!tblProductMaster[Unit Cost])</f>
        <v>2.2999999999999998</v>
      </c>
      <c r="P409" s="8">
        <f t="shared" si="32"/>
        <v>2670.2999999999997</v>
      </c>
      <c r="Q409" s="8">
        <f t="shared" si="33"/>
        <v>3066.2010000000014</v>
      </c>
      <c r="R409" s="4">
        <f t="shared" si="34"/>
        <v>0.53450718478040893</v>
      </c>
      <c r="S409" t="s">
        <v>99</v>
      </c>
      <c r="T409">
        <f>Table6[[#This Row],[Discount]]*Table6[[#This Row],[List Price]]*Table6[[#This Row],[Units]]</f>
        <v>637.38900000000001</v>
      </c>
    </row>
    <row r="410" spans="1:20" x14ac:dyDescent="0.2">
      <c r="A410" t="s">
        <v>503</v>
      </c>
      <c r="B410" s="2">
        <v>46338.896399792924</v>
      </c>
      <c r="C410" t="s">
        <v>84</v>
      </c>
      <c r="D410" t="s">
        <v>96</v>
      </c>
      <c r="E410" t="s">
        <v>56</v>
      </c>
      <c r="F410" t="s">
        <v>18</v>
      </c>
      <c r="G410" t="s">
        <v>60</v>
      </c>
      <c r="H410" t="str">
        <f>_xlfn.XLOOKUP(Table6[[#This Row],[SKU]],tblProductMaster[SKU],tblProductMaster[Product])</f>
        <v>Sensitive Toothpaste</v>
      </c>
      <c r="I410">
        <v>312</v>
      </c>
      <c r="J410">
        <f>_xlfn.XLOOKUP(G410,[1]!tblProductMaster[SKU],[1]!tblProductMaster[List Price])</f>
        <v>4.49</v>
      </c>
      <c r="K410" t="s">
        <v>86</v>
      </c>
      <c r="L410" s="3">
        <v>0</v>
      </c>
      <c r="M410" s="9">
        <f t="shared" si="30"/>
        <v>4.49</v>
      </c>
      <c r="N410" s="8">
        <f t="shared" si="31"/>
        <v>1400.88</v>
      </c>
      <c r="O410" s="9">
        <f>_xlfn.XLOOKUP(G410,[1]!tblProductMaster[SKU],[1]!tblProductMaster[Unit Cost])</f>
        <v>1.7</v>
      </c>
      <c r="P410" s="8">
        <f t="shared" si="32"/>
        <v>530.4</v>
      </c>
      <c r="Q410" s="8">
        <f t="shared" si="33"/>
        <v>870.48000000000013</v>
      </c>
      <c r="R410" s="4">
        <f t="shared" si="34"/>
        <v>0.6213808463251671</v>
      </c>
      <c r="S410" t="s">
        <v>87</v>
      </c>
      <c r="T410">
        <f>Table6[[#This Row],[Discount]]*Table6[[#This Row],[List Price]]*Table6[[#This Row],[Units]]</f>
        <v>0</v>
      </c>
    </row>
    <row r="411" spans="1:20" x14ac:dyDescent="0.2">
      <c r="A411" t="s">
        <v>504</v>
      </c>
      <c r="B411" s="2">
        <v>46122.110230829006</v>
      </c>
      <c r="C411" t="s">
        <v>98</v>
      </c>
      <c r="D411" t="s">
        <v>104</v>
      </c>
      <c r="E411" t="s">
        <v>56</v>
      </c>
      <c r="F411" t="s">
        <v>15</v>
      </c>
      <c r="G411" t="s">
        <v>62</v>
      </c>
      <c r="H411" t="str">
        <f>_xlfn.XLOOKUP(Table6[[#This Row],[SKU]],tblProductMaster[SKU],tblProductMaster[Product])</f>
        <v>Mouthwash 500ml</v>
      </c>
      <c r="I411">
        <v>668</v>
      </c>
      <c r="J411">
        <f>_xlfn.XLOOKUP(G411,[1]!tblProductMaster[SKU],[1]!tblProductMaster[List Price])</f>
        <v>5.99</v>
      </c>
      <c r="K411" t="s">
        <v>86</v>
      </c>
      <c r="L411" s="3">
        <v>0</v>
      </c>
      <c r="M411" s="9">
        <f t="shared" si="30"/>
        <v>5.99</v>
      </c>
      <c r="N411" s="8">
        <f t="shared" si="31"/>
        <v>4001.32</v>
      </c>
      <c r="O411" s="9">
        <f>_xlfn.XLOOKUP(G411,[1]!tblProductMaster[SKU],[1]!tblProductMaster[Unit Cost])</f>
        <v>2.4</v>
      </c>
      <c r="P411" s="8">
        <f t="shared" si="32"/>
        <v>1603.2</v>
      </c>
      <c r="Q411" s="8">
        <f t="shared" si="33"/>
        <v>2398.12</v>
      </c>
      <c r="R411" s="4">
        <f t="shared" si="34"/>
        <v>0.59933222036727873</v>
      </c>
      <c r="S411" t="s">
        <v>87</v>
      </c>
      <c r="T411">
        <f>Table6[[#This Row],[Discount]]*Table6[[#This Row],[List Price]]*Table6[[#This Row],[Units]]</f>
        <v>0</v>
      </c>
    </row>
    <row r="412" spans="1:20" x14ac:dyDescent="0.2">
      <c r="A412" t="s">
        <v>505</v>
      </c>
      <c r="B412" s="2">
        <v>46279.832785182865</v>
      </c>
      <c r="C412" t="s">
        <v>98</v>
      </c>
      <c r="D412" t="s">
        <v>96</v>
      </c>
      <c r="E412" t="s">
        <v>25</v>
      </c>
      <c r="F412" t="s">
        <v>7</v>
      </c>
      <c r="G412" t="s">
        <v>33</v>
      </c>
      <c r="H412" t="str">
        <f>_xlfn.XLOOKUP(Table6[[#This Row],[SKU]],tblProductMaster[SKU],tblProductMaster[Product])</f>
        <v>Sunscreen 200ml</v>
      </c>
      <c r="I412">
        <v>514</v>
      </c>
      <c r="J412">
        <f>_xlfn.XLOOKUP(G412,[1]!tblProductMaster[SKU],[1]!tblProductMaster[List Price])</f>
        <v>10.99</v>
      </c>
      <c r="K412" t="s">
        <v>86</v>
      </c>
      <c r="L412" s="3">
        <v>0</v>
      </c>
      <c r="M412" s="9">
        <f t="shared" si="30"/>
        <v>10.99</v>
      </c>
      <c r="N412" s="8">
        <f t="shared" si="31"/>
        <v>5648.86</v>
      </c>
      <c r="O412" s="9">
        <f>_xlfn.XLOOKUP(G412,[1]!tblProductMaster[SKU],[1]!tblProductMaster[Unit Cost])</f>
        <v>4.5999999999999996</v>
      </c>
      <c r="P412" s="8">
        <f t="shared" si="32"/>
        <v>2364.3999999999996</v>
      </c>
      <c r="Q412" s="8">
        <f t="shared" si="33"/>
        <v>3284.46</v>
      </c>
      <c r="R412" s="4">
        <f t="shared" si="34"/>
        <v>0.58143767060964513</v>
      </c>
      <c r="S412" t="s">
        <v>87</v>
      </c>
      <c r="T412">
        <f>Table6[[#This Row],[Discount]]*Table6[[#This Row],[List Price]]*Table6[[#This Row],[Units]]</f>
        <v>0</v>
      </c>
    </row>
    <row r="413" spans="1:20" x14ac:dyDescent="0.2">
      <c r="A413" t="s">
        <v>506</v>
      </c>
      <c r="B413" s="2">
        <v>46321.621818496402</v>
      </c>
      <c r="C413" t="s">
        <v>93</v>
      </c>
      <c r="D413" t="s">
        <v>85</v>
      </c>
      <c r="E413" t="s">
        <v>25</v>
      </c>
      <c r="F413" t="s">
        <v>18</v>
      </c>
      <c r="G413" t="s">
        <v>37</v>
      </c>
      <c r="H413" t="str">
        <f>_xlfn.XLOOKUP(Table6[[#This Row],[SKU]],tblProductMaster[SKU],tblProductMaster[Product])</f>
        <v>Body Wash</v>
      </c>
      <c r="I413">
        <v>574</v>
      </c>
      <c r="J413">
        <f>_xlfn.XLOOKUP(G413,[1]!tblProductMaster[SKU],[1]!tblProductMaster[List Price])</f>
        <v>5.49</v>
      </c>
      <c r="K413" t="s">
        <v>86</v>
      </c>
      <c r="L413" s="3">
        <v>0</v>
      </c>
      <c r="M413" s="9">
        <f t="shared" si="30"/>
        <v>5.49</v>
      </c>
      <c r="N413" s="8">
        <f t="shared" si="31"/>
        <v>3151.26</v>
      </c>
      <c r="O413" s="9">
        <f>_xlfn.XLOOKUP(G413,[1]!tblProductMaster[SKU],[1]!tblProductMaster[Unit Cost])</f>
        <v>2.2999999999999998</v>
      </c>
      <c r="P413" s="8">
        <f t="shared" si="32"/>
        <v>1320.1999999999998</v>
      </c>
      <c r="Q413" s="8">
        <f t="shared" si="33"/>
        <v>1831.0600000000004</v>
      </c>
      <c r="R413" s="4">
        <f t="shared" si="34"/>
        <v>0.58105646630236807</v>
      </c>
      <c r="S413" t="s">
        <v>87</v>
      </c>
      <c r="T413">
        <f>Table6[[#This Row],[Discount]]*Table6[[#This Row],[List Price]]*Table6[[#This Row],[Units]]</f>
        <v>0</v>
      </c>
    </row>
    <row r="414" spans="1:20" x14ac:dyDescent="0.2">
      <c r="A414" t="s">
        <v>507</v>
      </c>
      <c r="B414" s="2">
        <v>46036.594487413939</v>
      </c>
      <c r="C414" t="s">
        <v>93</v>
      </c>
      <c r="D414" t="s">
        <v>96</v>
      </c>
      <c r="E414" t="s">
        <v>40</v>
      </c>
      <c r="F414" t="s">
        <v>7</v>
      </c>
      <c r="G414" t="s">
        <v>44</v>
      </c>
      <c r="H414" t="str">
        <f>_xlfn.XLOOKUP(Table6[[#This Row],[SKU]],tblProductMaster[SKU],tblProductMaster[Product])</f>
        <v>Fabric Softener</v>
      </c>
      <c r="I414">
        <v>759</v>
      </c>
      <c r="J414">
        <f>_xlfn.XLOOKUP(G414,[1]!tblProductMaster[SKU],[1]!tblProductMaster[List Price])</f>
        <v>6.99</v>
      </c>
      <c r="K414" t="s">
        <v>86</v>
      </c>
      <c r="L414" s="3">
        <v>0</v>
      </c>
      <c r="M414" s="9">
        <f t="shared" si="30"/>
        <v>6.99</v>
      </c>
      <c r="N414" s="8">
        <f t="shared" si="31"/>
        <v>5305.41</v>
      </c>
      <c r="O414" s="9">
        <f>_xlfn.XLOOKUP(G414,[1]!tblProductMaster[SKU],[1]!tblProductMaster[Unit Cost])</f>
        <v>2.9</v>
      </c>
      <c r="P414" s="8">
        <f t="shared" si="32"/>
        <v>2201.1</v>
      </c>
      <c r="Q414" s="8">
        <f t="shared" si="33"/>
        <v>3104.31</v>
      </c>
      <c r="R414" s="4">
        <f t="shared" si="34"/>
        <v>0.58512160228898424</v>
      </c>
      <c r="S414" t="s">
        <v>87</v>
      </c>
      <c r="T414">
        <f>Table6[[#This Row],[Discount]]*Table6[[#This Row],[List Price]]*Table6[[#This Row],[Units]]</f>
        <v>0</v>
      </c>
    </row>
    <row r="415" spans="1:20" x14ac:dyDescent="0.2">
      <c r="A415" t="s">
        <v>508</v>
      </c>
      <c r="B415" s="2">
        <v>46356.648495137983</v>
      </c>
      <c r="C415" t="s">
        <v>93</v>
      </c>
      <c r="D415" t="s">
        <v>85</v>
      </c>
      <c r="E415" t="s">
        <v>56</v>
      </c>
      <c r="F415" t="s">
        <v>15</v>
      </c>
      <c r="G415" t="s">
        <v>62</v>
      </c>
      <c r="H415" t="str">
        <f>_xlfn.XLOOKUP(Table6[[#This Row],[SKU]],tblProductMaster[SKU],tblProductMaster[Product])</f>
        <v>Mouthwash 500ml</v>
      </c>
      <c r="I415">
        <v>359</v>
      </c>
      <c r="J415">
        <f>_xlfn.XLOOKUP(G415,[1]!tblProductMaster[SKU],[1]!tblProductMaster[List Price])</f>
        <v>5.99</v>
      </c>
      <c r="K415" t="s">
        <v>86</v>
      </c>
      <c r="L415" s="3">
        <v>0</v>
      </c>
      <c r="M415" s="9">
        <f t="shared" si="30"/>
        <v>5.99</v>
      </c>
      <c r="N415" s="8">
        <f t="shared" si="31"/>
        <v>2150.41</v>
      </c>
      <c r="O415" s="9">
        <f>_xlfn.XLOOKUP(G415,[1]!tblProductMaster[SKU],[1]!tblProductMaster[Unit Cost])</f>
        <v>2.4</v>
      </c>
      <c r="P415" s="8">
        <f t="shared" si="32"/>
        <v>861.6</v>
      </c>
      <c r="Q415" s="8">
        <f t="shared" si="33"/>
        <v>1288.81</v>
      </c>
      <c r="R415" s="4">
        <f t="shared" si="34"/>
        <v>0.59933222036727885</v>
      </c>
      <c r="S415" t="s">
        <v>87</v>
      </c>
      <c r="T415">
        <f>Table6[[#This Row],[Discount]]*Table6[[#This Row],[List Price]]*Table6[[#This Row],[Units]]</f>
        <v>0</v>
      </c>
    </row>
    <row r="416" spans="1:20" x14ac:dyDescent="0.2">
      <c r="A416" t="s">
        <v>509</v>
      </c>
      <c r="B416" s="2">
        <v>46059.014917465312</v>
      </c>
      <c r="C416" t="s">
        <v>84</v>
      </c>
      <c r="D416" t="s">
        <v>104</v>
      </c>
      <c r="E416" t="s">
        <v>56</v>
      </c>
      <c r="F416" t="s">
        <v>18</v>
      </c>
      <c r="G416" t="s">
        <v>68</v>
      </c>
      <c r="H416" t="str">
        <f>_xlfn.XLOOKUP(Table6[[#This Row],[SKU]],tblProductMaster[SKU],tblProductMaster[Product])</f>
        <v>Kids Toothpaste</v>
      </c>
      <c r="I416">
        <v>434</v>
      </c>
      <c r="J416">
        <f>_xlfn.XLOOKUP(G416,[1]!tblProductMaster[SKU],[1]!tblProductMaster[List Price])</f>
        <v>3.29</v>
      </c>
      <c r="K416" t="s">
        <v>86</v>
      </c>
      <c r="L416" s="3">
        <v>0</v>
      </c>
      <c r="M416" s="9">
        <f t="shared" si="30"/>
        <v>3.29</v>
      </c>
      <c r="N416" s="8">
        <f t="shared" si="31"/>
        <v>1427.8600000000001</v>
      </c>
      <c r="O416" s="9">
        <f>_xlfn.XLOOKUP(G416,[1]!tblProductMaster[SKU],[1]!tblProductMaster[Unit Cost])</f>
        <v>1.1000000000000001</v>
      </c>
      <c r="P416" s="8">
        <f t="shared" si="32"/>
        <v>477.40000000000003</v>
      </c>
      <c r="Q416" s="8">
        <f t="shared" si="33"/>
        <v>950.46</v>
      </c>
      <c r="R416" s="4">
        <f t="shared" si="34"/>
        <v>0.66565349544072949</v>
      </c>
      <c r="S416" t="s">
        <v>87</v>
      </c>
      <c r="T416">
        <f>Table6[[#This Row],[Discount]]*Table6[[#This Row],[List Price]]*Table6[[#This Row],[Units]]</f>
        <v>0</v>
      </c>
    </row>
    <row r="417" spans="1:20" x14ac:dyDescent="0.2">
      <c r="A417" t="s">
        <v>510</v>
      </c>
      <c r="B417" s="2">
        <v>46280.617053356153</v>
      </c>
      <c r="C417" t="s">
        <v>98</v>
      </c>
      <c r="D417" t="s">
        <v>96</v>
      </c>
      <c r="E417" t="s">
        <v>25</v>
      </c>
      <c r="F417" t="s">
        <v>15</v>
      </c>
      <c r="G417" t="s">
        <v>29</v>
      </c>
      <c r="H417" t="str">
        <f>_xlfn.XLOOKUP(Table6[[#This Row],[SKU]],tblProductMaster[SKU],tblProductMaster[Product])</f>
        <v>Shower Gel 250ml</v>
      </c>
      <c r="I417">
        <v>247</v>
      </c>
      <c r="J417">
        <f>_xlfn.XLOOKUP(G417,[1]!tblProductMaster[SKU],[1]!tblProductMaster[List Price])</f>
        <v>4.49</v>
      </c>
      <c r="K417" t="s">
        <v>86</v>
      </c>
      <c r="L417" s="3">
        <v>0</v>
      </c>
      <c r="M417" s="9">
        <f t="shared" si="30"/>
        <v>4.49</v>
      </c>
      <c r="N417" s="8">
        <f t="shared" si="31"/>
        <v>1109.03</v>
      </c>
      <c r="O417" s="9">
        <f>_xlfn.XLOOKUP(G417,[1]!tblProductMaster[SKU],[1]!tblProductMaster[Unit Cost])</f>
        <v>1.9</v>
      </c>
      <c r="P417" s="8">
        <f t="shared" si="32"/>
        <v>469.29999999999995</v>
      </c>
      <c r="Q417" s="8">
        <f t="shared" si="33"/>
        <v>639.73</v>
      </c>
      <c r="R417" s="4">
        <f t="shared" si="34"/>
        <v>0.57683741648106912</v>
      </c>
      <c r="S417" t="s">
        <v>87</v>
      </c>
      <c r="T417">
        <f>Table6[[#This Row],[Discount]]*Table6[[#This Row],[List Price]]*Table6[[#This Row],[Units]]</f>
        <v>0</v>
      </c>
    </row>
    <row r="418" spans="1:20" x14ac:dyDescent="0.2">
      <c r="A418" t="s">
        <v>511</v>
      </c>
      <c r="B418" s="2">
        <v>46320.878318213152</v>
      </c>
      <c r="C418" t="s">
        <v>93</v>
      </c>
      <c r="D418" t="s">
        <v>85</v>
      </c>
      <c r="E418" t="s">
        <v>25</v>
      </c>
      <c r="F418" t="s">
        <v>18</v>
      </c>
      <c r="G418" t="s">
        <v>37</v>
      </c>
      <c r="H418" t="str">
        <f>_xlfn.XLOOKUP(Table6[[#This Row],[SKU]],tblProductMaster[SKU],tblProductMaster[Product])</f>
        <v>Body Wash</v>
      </c>
      <c r="I418">
        <v>739</v>
      </c>
      <c r="J418">
        <f>_xlfn.XLOOKUP(G418,[1]!tblProductMaster[SKU],[1]!tblProductMaster[List Price])</f>
        <v>5.49</v>
      </c>
      <c r="K418" t="s">
        <v>86</v>
      </c>
      <c r="L418" s="3">
        <v>0</v>
      </c>
      <c r="M418" s="9">
        <f t="shared" si="30"/>
        <v>5.49</v>
      </c>
      <c r="N418" s="8">
        <f t="shared" si="31"/>
        <v>4057.11</v>
      </c>
      <c r="O418" s="9">
        <f>_xlfn.XLOOKUP(G418,[1]!tblProductMaster[SKU],[1]!tblProductMaster[Unit Cost])</f>
        <v>2.2999999999999998</v>
      </c>
      <c r="P418" s="8">
        <f t="shared" si="32"/>
        <v>1699.6999999999998</v>
      </c>
      <c r="Q418" s="8">
        <f t="shared" si="33"/>
        <v>2357.4100000000003</v>
      </c>
      <c r="R418" s="4">
        <f t="shared" si="34"/>
        <v>0.58105646630236796</v>
      </c>
      <c r="S418" t="s">
        <v>87</v>
      </c>
      <c r="T418">
        <f>Table6[[#This Row],[Discount]]*Table6[[#This Row],[List Price]]*Table6[[#This Row],[Units]]</f>
        <v>0</v>
      </c>
    </row>
    <row r="419" spans="1:20" x14ac:dyDescent="0.2">
      <c r="A419" t="s">
        <v>512</v>
      </c>
      <c r="B419" s="2">
        <v>46371.297004586486</v>
      </c>
      <c r="C419" t="s">
        <v>93</v>
      </c>
      <c r="D419" t="s">
        <v>96</v>
      </c>
      <c r="E419" t="s">
        <v>8</v>
      </c>
      <c r="F419" t="s">
        <v>7</v>
      </c>
      <c r="G419" t="s">
        <v>6</v>
      </c>
      <c r="H419" t="str">
        <f>_xlfn.XLOOKUP(Table6[[#This Row],[SKU]],tblProductMaster[SKU],tblProductMaster[Product])</f>
        <v>Shampoo 250ml</v>
      </c>
      <c r="I419">
        <v>284</v>
      </c>
      <c r="J419">
        <f>_xlfn.XLOOKUP(G419,[1]!tblProductMaster[SKU],[1]!tblProductMaster[List Price])</f>
        <v>5.99</v>
      </c>
      <c r="K419" t="s">
        <v>86</v>
      </c>
      <c r="L419" s="3">
        <v>0</v>
      </c>
      <c r="M419" s="9">
        <f t="shared" si="30"/>
        <v>5.99</v>
      </c>
      <c r="N419" s="8">
        <f t="shared" si="31"/>
        <v>1701.16</v>
      </c>
      <c r="O419" s="9">
        <f>_xlfn.XLOOKUP(G419,[1]!tblProductMaster[SKU],[1]!tblProductMaster[Unit Cost])</f>
        <v>2.4</v>
      </c>
      <c r="P419" s="8">
        <f t="shared" si="32"/>
        <v>681.6</v>
      </c>
      <c r="Q419" s="8">
        <f t="shared" si="33"/>
        <v>1019.5600000000001</v>
      </c>
      <c r="R419" s="4">
        <f t="shared" si="34"/>
        <v>0.59933222036727885</v>
      </c>
      <c r="S419" t="s">
        <v>87</v>
      </c>
      <c r="T419">
        <f>Table6[[#This Row],[Discount]]*Table6[[#This Row],[List Price]]*Table6[[#This Row],[Units]]</f>
        <v>0</v>
      </c>
    </row>
    <row r="420" spans="1:20" x14ac:dyDescent="0.2">
      <c r="A420" t="s">
        <v>513</v>
      </c>
      <c r="B420" s="2">
        <v>46196.750726215469</v>
      </c>
      <c r="C420" t="s">
        <v>84</v>
      </c>
      <c r="D420" t="s">
        <v>96</v>
      </c>
      <c r="E420" t="s">
        <v>56</v>
      </c>
      <c r="F420" t="s">
        <v>15</v>
      </c>
      <c r="G420" t="s">
        <v>62</v>
      </c>
      <c r="H420" t="str">
        <f>_xlfn.XLOOKUP(Table6[[#This Row],[SKU]],tblProductMaster[SKU],tblProductMaster[Product])</f>
        <v>Mouthwash 500ml</v>
      </c>
      <c r="I420">
        <v>1044</v>
      </c>
      <c r="J420">
        <f>_xlfn.XLOOKUP(G420,[1]!tblProductMaster[SKU],[1]!tblProductMaster[List Price])</f>
        <v>5.99</v>
      </c>
      <c r="K420" t="s">
        <v>89</v>
      </c>
      <c r="L420" s="3">
        <v>0.1</v>
      </c>
      <c r="M420" s="9">
        <f t="shared" si="30"/>
        <v>5.391</v>
      </c>
      <c r="N420" s="8">
        <f t="shared" si="31"/>
        <v>5628.2039999999997</v>
      </c>
      <c r="O420" s="9">
        <f>_xlfn.XLOOKUP(G420,[1]!tblProductMaster[SKU],[1]!tblProductMaster[Unit Cost])</f>
        <v>2.4</v>
      </c>
      <c r="P420" s="8">
        <f t="shared" si="32"/>
        <v>2505.6</v>
      </c>
      <c r="Q420" s="8">
        <f t="shared" si="33"/>
        <v>3122.6039999999998</v>
      </c>
      <c r="R420" s="4">
        <f t="shared" si="34"/>
        <v>0.5548135781858653</v>
      </c>
      <c r="S420" t="s">
        <v>99</v>
      </c>
      <c r="T420">
        <f>Table6[[#This Row],[Discount]]*Table6[[#This Row],[List Price]]*Table6[[#This Row],[Units]]</f>
        <v>625.35600000000011</v>
      </c>
    </row>
    <row r="421" spans="1:20" x14ac:dyDescent="0.2">
      <c r="A421" t="s">
        <v>514</v>
      </c>
      <c r="B421" s="2">
        <v>46304.242466976648</v>
      </c>
      <c r="C421" t="s">
        <v>93</v>
      </c>
      <c r="D421" t="s">
        <v>96</v>
      </c>
      <c r="E421" t="s">
        <v>40</v>
      </c>
      <c r="F421" t="s">
        <v>15</v>
      </c>
      <c r="G421" t="s">
        <v>46</v>
      </c>
      <c r="H421" t="str">
        <f>_xlfn.XLOOKUP(Table6[[#This Row],[SKU]],tblProductMaster[SKU],tblProductMaster[Product])</f>
        <v>Stain Remover</v>
      </c>
      <c r="I421">
        <v>1179</v>
      </c>
      <c r="J421">
        <f>_xlfn.XLOOKUP(G421,[1]!tblProductMaster[SKU],[1]!tblProductMaster[List Price])</f>
        <v>5.99</v>
      </c>
      <c r="K421" t="s">
        <v>89</v>
      </c>
      <c r="L421" s="3">
        <v>0.2</v>
      </c>
      <c r="M421" s="9">
        <f t="shared" si="30"/>
        <v>4.7920000000000007</v>
      </c>
      <c r="N421" s="8">
        <f t="shared" si="31"/>
        <v>5649.7680000000009</v>
      </c>
      <c r="O421" s="9">
        <f>_xlfn.XLOOKUP(G421,[1]!tblProductMaster[SKU],[1]!tblProductMaster[Unit Cost])</f>
        <v>2.5</v>
      </c>
      <c r="P421" s="8">
        <f t="shared" si="32"/>
        <v>2947.5</v>
      </c>
      <c r="Q421" s="8">
        <f t="shared" si="33"/>
        <v>2702.2680000000009</v>
      </c>
      <c r="R421" s="4">
        <f t="shared" si="34"/>
        <v>0.47829716193656102</v>
      </c>
      <c r="S421" t="s">
        <v>90</v>
      </c>
      <c r="T421">
        <f>Table6[[#This Row],[Discount]]*Table6[[#This Row],[List Price]]*Table6[[#This Row],[Units]]</f>
        <v>1412.4420000000002</v>
      </c>
    </row>
    <row r="422" spans="1:20" x14ac:dyDescent="0.2">
      <c r="A422" t="s">
        <v>515</v>
      </c>
      <c r="B422" s="2">
        <v>46034.173591365034</v>
      </c>
      <c r="C422" t="s">
        <v>84</v>
      </c>
      <c r="D422" t="s">
        <v>104</v>
      </c>
      <c r="E422" t="s">
        <v>40</v>
      </c>
      <c r="F422" t="s">
        <v>7</v>
      </c>
      <c r="G422" t="s">
        <v>44</v>
      </c>
      <c r="H422" t="str">
        <f>_xlfn.XLOOKUP(Table6[[#This Row],[SKU]],tblProductMaster[SKU],tblProductMaster[Product])</f>
        <v>Fabric Softener</v>
      </c>
      <c r="I422">
        <v>488</v>
      </c>
      <c r="J422">
        <f>_xlfn.XLOOKUP(G422,[1]!tblProductMaster[SKU],[1]!tblProductMaster[List Price])</f>
        <v>6.99</v>
      </c>
      <c r="K422" t="s">
        <v>86</v>
      </c>
      <c r="L422" s="3">
        <v>0</v>
      </c>
      <c r="M422" s="9">
        <f t="shared" si="30"/>
        <v>6.99</v>
      </c>
      <c r="N422" s="8">
        <f t="shared" si="31"/>
        <v>3411.12</v>
      </c>
      <c r="O422" s="9">
        <f>_xlfn.XLOOKUP(G422,[1]!tblProductMaster[SKU],[1]!tblProductMaster[Unit Cost])</f>
        <v>2.9</v>
      </c>
      <c r="P422" s="8">
        <f t="shared" si="32"/>
        <v>1415.2</v>
      </c>
      <c r="Q422" s="8">
        <f t="shared" si="33"/>
        <v>1995.9199999999998</v>
      </c>
      <c r="R422" s="4">
        <f t="shared" si="34"/>
        <v>0.58512160228898424</v>
      </c>
      <c r="S422" t="s">
        <v>87</v>
      </c>
      <c r="T422">
        <f>Table6[[#This Row],[Discount]]*Table6[[#This Row],[List Price]]*Table6[[#This Row],[Units]]</f>
        <v>0</v>
      </c>
    </row>
    <row r="423" spans="1:20" x14ac:dyDescent="0.2">
      <c r="A423" t="s">
        <v>516</v>
      </c>
      <c r="B423" s="2">
        <v>46034.5997254869</v>
      </c>
      <c r="C423" t="s">
        <v>84</v>
      </c>
      <c r="D423" t="s">
        <v>96</v>
      </c>
      <c r="E423" t="s">
        <v>40</v>
      </c>
      <c r="F423" t="s">
        <v>7</v>
      </c>
      <c r="G423" t="s">
        <v>44</v>
      </c>
      <c r="H423" t="str">
        <f>_xlfn.XLOOKUP(Table6[[#This Row],[SKU]],tblProductMaster[SKU],tblProductMaster[Product])</f>
        <v>Fabric Softener</v>
      </c>
      <c r="I423">
        <v>1196</v>
      </c>
      <c r="J423">
        <f>_xlfn.XLOOKUP(G423,[1]!tblProductMaster[SKU],[1]!tblProductMaster[List Price])</f>
        <v>6.99</v>
      </c>
      <c r="K423" t="s">
        <v>89</v>
      </c>
      <c r="L423" s="3">
        <v>0.1</v>
      </c>
      <c r="M423" s="9">
        <f t="shared" si="30"/>
        <v>6.2910000000000004</v>
      </c>
      <c r="N423" s="8">
        <f t="shared" si="31"/>
        <v>7524.0360000000001</v>
      </c>
      <c r="O423" s="9">
        <f>_xlfn.XLOOKUP(G423,[1]!tblProductMaster[SKU],[1]!tblProductMaster[Unit Cost])</f>
        <v>2.9</v>
      </c>
      <c r="P423" s="8">
        <f t="shared" si="32"/>
        <v>3468.4</v>
      </c>
      <c r="Q423" s="8">
        <f t="shared" si="33"/>
        <v>4055.636</v>
      </c>
      <c r="R423" s="4">
        <f t="shared" si="34"/>
        <v>0.53902400254331584</v>
      </c>
      <c r="S423" t="s">
        <v>99</v>
      </c>
      <c r="T423">
        <f>Table6[[#This Row],[Discount]]*Table6[[#This Row],[List Price]]*Table6[[#This Row],[Units]]</f>
        <v>836.00400000000013</v>
      </c>
    </row>
    <row r="424" spans="1:20" x14ac:dyDescent="0.2">
      <c r="A424" t="s">
        <v>517</v>
      </c>
      <c r="B424" s="2">
        <v>46184.239037850777</v>
      </c>
      <c r="C424" t="s">
        <v>84</v>
      </c>
      <c r="D424" t="s">
        <v>104</v>
      </c>
      <c r="E424" t="s">
        <v>25</v>
      </c>
      <c r="F424" t="s">
        <v>15</v>
      </c>
      <c r="G424" t="s">
        <v>35</v>
      </c>
      <c r="H424" t="str">
        <f>_xlfn.XLOOKUP(Table6[[#This Row],[SKU]],tblProductMaster[SKU],tblProductMaster[Product])</f>
        <v>Hand Cream</v>
      </c>
      <c r="I424">
        <v>813</v>
      </c>
      <c r="J424">
        <f>_xlfn.XLOOKUP(G424,[1]!tblProductMaster[SKU],[1]!tblProductMaster[List Price])</f>
        <v>4.99</v>
      </c>
      <c r="K424" t="s">
        <v>89</v>
      </c>
      <c r="L424" s="3">
        <v>0.1</v>
      </c>
      <c r="M424" s="9">
        <f t="shared" si="30"/>
        <v>4.4910000000000005</v>
      </c>
      <c r="N424" s="8">
        <f t="shared" si="31"/>
        <v>3651.1830000000004</v>
      </c>
      <c r="O424" s="9">
        <f>_xlfn.XLOOKUP(G424,[1]!tblProductMaster[SKU],[1]!tblProductMaster[Unit Cost])</f>
        <v>2.1</v>
      </c>
      <c r="P424" s="8">
        <f t="shared" si="32"/>
        <v>1707.3000000000002</v>
      </c>
      <c r="Q424" s="8">
        <f t="shared" si="33"/>
        <v>1943.8830000000003</v>
      </c>
      <c r="R424" s="4">
        <f t="shared" si="34"/>
        <v>0.53239812959251842</v>
      </c>
      <c r="S424" t="s">
        <v>90</v>
      </c>
      <c r="T424">
        <f>Table6[[#This Row],[Discount]]*Table6[[#This Row],[List Price]]*Table6[[#This Row],[Units]]</f>
        <v>405.68700000000007</v>
      </c>
    </row>
    <row r="425" spans="1:20" x14ac:dyDescent="0.2">
      <c r="A425" t="s">
        <v>518</v>
      </c>
      <c r="B425" s="2">
        <v>46075.057312254539</v>
      </c>
      <c r="C425" t="s">
        <v>84</v>
      </c>
      <c r="D425" t="s">
        <v>104</v>
      </c>
      <c r="E425" t="s">
        <v>56</v>
      </c>
      <c r="F425" t="s">
        <v>7</v>
      </c>
      <c r="G425" t="s">
        <v>64</v>
      </c>
      <c r="H425" t="str">
        <f>_xlfn.XLOOKUP(Table6[[#This Row],[SKU]],tblProductMaster[SKU],tblProductMaster[Product])</f>
        <v>Toothbrush</v>
      </c>
      <c r="I425">
        <v>767</v>
      </c>
      <c r="J425">
        <f>_xlfn.XLOOKUP(G425,[1]!tblProductMaster[SKU],[1]!tblProductMaster[List Price])</f>
        <v>3.99</v>
      </c>
      <c r="K425" t="s">
        <v>86</v>
      </c>
      <c r="L425" s="3">
        <v>0</v>
      </c>
      <c r="M425" s="9">
        <f t="shared" si="30"/>
        <v>3.99</v>
      </c>
      <c r="N425" s="8">
        <f t="shared" si="31"/>
        <v>3060.3300000000004</v>
      </c>
      <c r="O425" s="9">
        <f>_xlfn.XLOOKUP(G425,[1]!tblProductMaster[SKU],[1]!tblProductMaster[Unit Cost])</f>
        <v>1.5</v>
      </c>
      <c r="P425" s="8">
        <f t="shared" si="32"/>
        <v>1150.5</v>
      </c>
      <c r="Q425" s="8">
        <f t="shared" si="33"/>
        <v>1909.8300000000004</v>
      </c>
      <c r="R425" s="4">
        <f t="shared" si="34"/>
        <v>0.62406015037593987</v>
      </c>
      <c r="S425" t="s">
        <v>87</v>
      </c>
      <c r="T425">
        <f>Table6[[#This Row],[Discount]]*Table6[[#This Row],[List Price]]*Table6[[#This Row],[Units]]</f>
        <v>0</v>
      </c>
    </row>
    <row r="426" spans="1:20" x14ac:dyDescent="0.2">
      <c r="A426" t="s">
        <v>519</v>
      </c>
      <c r="B426" s="2">
        <v>46369.790023308618</v>
      </c>
      <c r="C426" t="s">
        <v>93</v>
      </c>
      <c r="D426" t="s">
        <v>104</v>
      </c>
      <c r="E426" t="s">
        <v>8</v>
      </c>
      <c r="F426" t="s">
        <v>15</v>
      </c>
      <c r="G426" t="s">
        <v>16</v>
      </c>
      <c r="H426" t="str">
        <f>_xlfn.XLOOKUP(Table6[[#This Row],[SKU]],tblProductMaster[SKU],tblProductMaster[Product])</f>
        <v>Conditioner 250ml</v>
      </c>
      <c r="I426">
        <v>622</v>
      </c>
      <c r="J426">
        <f>_xlfn.XLOOKUP(G426,[1]!tblProductMaster[SKU],[1]!tblProductMaster[List Price])</f>
        <v>4.79</v>
      </c>
      <c r="K426" t="s">
        <v>86</v>
      </c>
      <c r="L426" s="3">
        <v>0</v>
      </c>
      <c r="M426" s="9">
        <f t="shared" si="30"/>
        <v>4.79</v>
      </c>
      <c r="N426" s="8">
        <f t="shared" si="31"/>
        <v>2979.38</v>
      </c>
      <c r="O426" s="9">
        <f>_xlfn.XLOOKUP(G426,[1]!tblProductMaster[SKU],[1]!tblProductMaster[Unit Cost])</f>
        <v>2</v>
      </c>
      <c r="P426" s="8">
        <f t="shared" si="32"/>
        <v>1244</v>
      </c>
      <c r="Q426" s="8">
        <f t="shared" si="33"/>
        <v>1735.38</v>
      </c>
      <c r="R426" s="4">
        <f t="shared" si="34"/>
        <v>0.58246346555323592</v>
      </c>
      <c r="S426" t="s">
        <v>87</v>
      </c>
      <c r="T426">
        <f>Table6[[#This Row],[Discount]]*Table6[[#This Row],[List Price]]*Table6[[#This Row],[Units]]</f>
        <v>0</v>
      </c>
    </row>
    <row r="427" spans="1:20" x14ac:dyDescent="0.2">
      <c r="A427" t="s">
        <v>520</v>
      </c>
      <c r="B427" s="2">
        <v>46025.870158315556</v>
      </c>
      <c r="C427" t="s">
        <v>93</v>
      </c>
      <c r="D427" t="s">
        <v>85</v>
      </c>
      <c r="E427" t="s">
        <v>8</v>
      </c>
      <c r="F427" t="s">
        <v>15</v>
      </c>
      <c r="G427" t="s">
        <v>14</v>
      </c>
      <c r="H427" t="str">
        <f>_xlfn.XLOOKUP(Table6[[#This Row],[SKU]],tblProductMaster[SKU],tblProductMaster[Product])</f>
        <v>Shampoo 250ml</v>
      </c>
      <c r="I427">
        <v>986</v>
      </c>
      <c r="J427">
        <f>_xlfn.XLOOKUP(G427,[1]!tblProductMaster[SKU],[1]!tblProductMaster[List Price])</f>
        <v>4.99</v>
      </c>
      <c r="K427" t="s">
        <v>89</v>
      </c>
      <c r="L427" s="3">
        <v>0.1</v>
      </c>
      <c r="M427" s="9">
        <f t="shared" si="30"/>
        <v>4.4910000000000005</v>
      </c>
      <c r="N427" s="8">
        <f t="shared" si="31"/>
        <v>4428.1260000000002</v>
      </c>
      <c r="O427" s="9">
        <f>_xlfn.XLOOKUP(G427,[1]!tblProductMaster[SKU],[1]!tblProductMaster[Unit Cost])</f>
        <v>2.1</v>
      </c>
      <c r="P427" s="8">
        <f t="shared" si="32"/>
        <v>2070.6</v>
      </c>
      <c r="Q427" s="8">
        <f t="shared" si="33"/>
        <v>2357.5260000000003</v>
      </c>
      <c r="R427" s="4">
        <f t="shared" si="34"/>
        <v>0.53239812959251842</v>
      </c>
      <c r="S427" t="s">
        <v>94</v>
      </c>
      <c r="T427">
        <f>Table6[[#This Row],[Discount]]*Table6[[#This Row],[List Price]]*Table6[[#This Row],[Units]]</f>
        <v>492.01400000000007</v>
      </c>
    </row>
    <row r="428" spans="1:20" x14ac:dyDescent="0.2">
      <c r="A428" t="s">
        <v>521</v>
      </c>
      <c r="B428" s="2">
        <v>46382.564068874271</v>
      </c>
      <c r="C428" t="s">
        <v>84</v>
      </c>
      <c r="D428" t="s">
        <v>85</v>
      </c>
      <c r="E428" t="s">
        <v>8</v>
      </c>
      <c r="F428" t="s">
        <v>15</v>
      </c>
      <c r="G428" t="s">
        <v>14</v>
      </c>
      <c r="H428" t="str">
        <f>_xlfn.XLOOKUP(Table6[[#This Row],[SKU]],tblProductMaster[SKU],tblProductMaster[Product])</f>
        <v>Shampoo 250ml</v>
      </c>
      <c r="I428">
        <v>367</v>
      </c>
      <c r="J428">
        <f>_xlfn.XLOOKUP(G428,[1]!tblProductMaster[SKU],[1]!tblProductMaster[List Price])</f>
        <v>4.99</v>
      </c>
      <c r="K428" t="s">
        <v>86</v>
      </c>
      <c r="L428" s="3">
        <v>0</v>
      </c>
      <c r="M428" s="9">
        <f t="shared" si="30"/>
        <v>4.99</v>
      </c>
      <c r="N428" s="8">
        <f t="shared" si="31"/>
        <v>1831.3300000000002</v>
      </c>
      <c r="O428" s="9">
        <f>_xlfn.XLOOKUP(G428,[1]!tblProductMaster[SKU],[1]!tblProductMaster[Unit Cost])</f>
        <v>2.1</v>
      </c>
      <c r="P428" s="8">
        <f t="shared" si="32"/>
        <v>770.7</v>
      </c>
      <c r="Q428" s="8">
        <f t="shared" si="33"/>
        <v>1060.6300000000001</v>
      </c>
      <c r="R428" s="4">
        <f t="shared" si="34"/>
        <v>0.57915831663326656</v>
      </c>
      <c r="S428" t="s">
        <v>87</v>
      </c>
      <c r="T428">
        <f>Table6[[#This Row],[Discount]]*Table6[[#This Row],[List Price]]*Table6[[#This Row],[Units]]</f>
        <v>0</v>
      </c>
    </row>
    <row r="429" spans="1:20" x14ac:dyDescent="0.2">
      <c r="A429" t="s">
        <v>522</v>
      </c>
      <c r="B429" s="2">
        <v>46227.322725268634</v>
      </c>
      <c r="C429" t="s">
        <v>84</v>
      </c>
      <c r="D429" t="s">
        <v>104</v>
      </c>
      <c r="E429" t="s">
        <v>56</v>
      </c>
      <c r="F429" t="s">
        <v>18</v>
      </c>
      <c r="G429" t="s">
        <v>60</v>
      </c>
      <c r="H429" t="str">
        <f>_xlfn.XLOOKUP(Table6[[#This Row],[SKU]],tblProductMaster[SKU],tblProductMaster[Product])</f>
        <v>Sensitive Toothpaste</v>
      </c>
      <c r="I429">
        <v>655</v>
      </c>
      <c r="J429">
        <f>_xlfn.XLOOKUP(G429,[1]!tblProductMaster[SKU],[1]!tblProductMaster[List Price])</f>
        <v>4.49</v>
      </c>
      <c r="K429" t="s">
        <v>86</v>
      </c>
      <c r="L429" s="3">
        <v>0</v>
      </c>
      <c r="M429" s="9">
        <f t="shared" si="30"/>
        <v>4.49</v>
      </c>
      <c r="N429" s="8">
        <f t="shared" si="31"/>
        <v>2940.9500000000003</v>
      </c>
      <c r="O429" s="9">
        <f>_xlfn.XLOOKUP(G429,[1]!tblProductMaster[SKU],[1]!tblProductMaster[Unit Cost])</f>
        <v>1.7</v>
      </c>
      <c r="P429" s="8">
        <f t="shared" si="32"/>
        <v>1113.5</v>
      </c>
      <c r="Q429" s="8">
        <f t="shared" si="33"/>
        <v>1827.4500000000003</v>
      </c>
      <c r="R429" s="4">
        <f t="shared" si="34"/>
        <v>0.6213808463251671</v>
      </c>
      <c r="S429" t="s">
        <v>87</v>
      </c>
      <c r="T429">
        <f>Table6[[#This Row],[Discount]]*Table6[[#This Row],[List Price]]*Table6[[#This Row],[Units]]</f>
        <v>0</v>
      </c>
    </row>
    <row r="430" spans="1:20" x14ac:dyDescent="0.2">
      <c r="A430" t="s">
        <v>523</v>
      </c>
      <c r="B430" s="2">
        <v>46205.827177366868</v>
      </c>
      <c r="C430" t="s">
        <v>98</v>
      </c>
      <c r="D430" t="s">
        <v>104</v>
      </c>
      <c r="E430" t="s">
        <v>40</v>
      </c>
      <c r="F430" t="s">
        <v>7</v>
      </c>
      <c r="G430" t="s">
        <v>48</v>
      </c>
      <c r="H430" t="str">
        <f>_xlfn.XLOOKUP(Table6[[#This Row],[SKU]],tblProductMaster[SKU],tblProductMaster[Product])</f>
        <v>Color Detergent</v>
      </c>
      <c r="I430">
        <v>705</v>
      </c>
      <c r="J430">
        <f>_xlfn.XLOOKUP(G430,[1]!tblProductMaster[SKU],[1]!tblProductMaster[List Price])</f>
        <v>9.49</v>
      </c>
      <c r="K430" t="s">
        <v>86</v>
      </c>
      <c r="L430" s="3">
        <v>0</v>
      </c>
      <c r="M430" s="9">
        <f t="shared" si="30"/>
        <v>9.49</v>
      </c>
      <c r="N430" s="8">
        <f t="shared" si="31"/>
        <v>6690.45</v>
      </c>
      <c r="O430" s="9">
        <f>_xlfn.XLOOKUP(G430,[1]!tblProductMaster[SKU],[1]!tblProductMaster[Unit Cost])</f>
        <v>4</v>
      </c>
      <c r="P430" s="8">
        <f t="shared" si="32"/>
        <v>2820</v>
      </c>
      <c r="Q430" s="8">
        <f t="shared" si="33"/>
        <v>3870.45</v>
      </c>
      <c r="R430" s="4">
        <f t="shared" si="34"/>
        <v>0.57850368809272923</v>
      </c>
      <c r="S430" t="s">
        <v>87</v>
      </c>
      <c r="T430">
        <f>Table6[[#This Row],[Discount]]*Table6[[#This Row],[List Price]]*Table6[[#This Row],[Units]]</f>
        <v>0</v>
      </c>
    </row>
    <row r="431" spans="1:20" x14ac:dyDescent="0.2">
      <c r="A431" t="s">
        <v>524</v>
      </c>
      <c r="B431" s="2">
        <v>46092.820859965454</v>
      </c>
      <c r="C431" t="s">
        <v>98</v>
      </c>
      <c r="D431" t="s">
        <v>104</v>
      </c>
      <c r="E431" t="s">
        <v>25</v>
      </c>
      <c r="F431" t="s">
        <v>18</v>
      </c>
      <c r="G431" t="s">
        <v>27</v>
      </c>
      <c r="H431" t="str">
        <f>_xlfn.XLOOKUP(Table6[[#This Row],[SKU]],tblProductMaster[SKU],tblProductMaster[Product])</f>
        <v>Face Cream 50ml</v>
      </c>
      <c r="I431">
        <v>381</v>
      </c>
      <c r="J431">
        <f>_xlfn.XLOOKUP(G431,[1]!tblProductMaster[SKU],[1]!tblProductMaster[List Price])</f>
        <v>9.99</v>
      </c>
      <c r="K431" t="s">
        <v>86</v>
      </c>
      <c r="L431" s="3">
        <v>0</v>
      </c>
      <c r="M431" s="9">
        <f t="shared" si="30"/>
        <v>9.99</v>
      </c>
      <c r="N431" s="8">
        <f t="shared" si="31"/>
        <v>3806.19</v>
      </c>
      <c r="O431" s="9">
        <f>_xlfn.XLOOKUP(G431,[1]!tblProductMaster[SKU],[1]!tblProductMaster[Unit Cost])</f>
        <v>4.2</v>
      </c>
      <c r="P431" s="8">
        <f t="shared" si="32"/>
        <v>1600.2</v>
      </c>
      <c r="Q431" s="8">
        <f t="shared" si="33"/>
        <v>2205.9899999999998</v>
      </c>
      <c r="R431" s="4">
        <f t="shared" si="34"/>
        <v>0.57957957957957951</v>
      </c>
      <c r="S431" t="s">
        <v>87</v>
      </c>
      <c r="T431">
        <f>Table6[[#This Row],[Discount]]*Table6[[#This Row],[List Price]]*Table6[[#This Row],[Units]]</f>
        <v>0</v>
      </c>
    </row>
    <row r="432" spans="1:20" x14ac:dyDescent="0.2">
      <c r="A432" t="s">
        <v>525</v>
      </c>
      <c r="B432" s="2">
        <v>46237.736657736779</v>
      </c>
      <c r="C432" t="s">
        <v>93</v>
      </c>
      <c r="D432" t="s">
        <v>96</v>
      </c>
      <c r="E432" t="s">
        <v>25</v>
      </c>
      <c r="F432" t="s">
        <v>18</v>
      </c>
      <c r="G432" t="s">
        <v>27</v>
      </c>
      <c r="H432" t="str">
        <f>_xlfn.XLOOKUP(Table6[[#This Row],[SKU]],tblProductMaster[SKU],tblProductMaster[Product])</f>
        <v>Face Cream 50ml</v>
      </c>
      <c r="I432">
        <v>724</v>
      </c>
      <c r="J432">
        <f>_xlfn.XLOOKUP(G432,[1]!tblProductMaster[SKU],[1]!tblProductMaster[List Price])</f>
        <v>9.99</v>
      </c>
      <c r="K432" t="s">
        <v>86</v>
      </c>
      <c r="L432" s="3">
        <v>0</v>
      </c>
      <c r="M432" s="9">
        <f t="shared" si="30"/>
        <v>9.99</v>
      </c>
      <c r="N432" s="8">
        <f t="shared" si="31"/>
        <v>7232.76</v>
      </c>
      <c r="O432" s="9">
        <f>_xlfn.XLOOKUP(G432,[1]!tblProductMaster[SKU],[1]!tblProductMaster[Unit Cost])</f>
        <v>4.2</v>
      </c>
      <c r="P432" s="8">
        <f t="shared" si="32"/>
        <v>3040.8</v>
      </c>
      <c r="Q432" s="8">
        <f t="shared" si="33"/>
        <v>4191.96</v>
      </c>
      <c r="R432" s="4">
        <f t="shared" si="34"/>
        <v>0.57957957957957962</v>
      </c>
      <c r="S432" t="s">
        <v>87</v>
      </c>
      <c r="T432">
        <f>Table6[[#This Row],[Discount]]*Table6[[#This Row],[List Price]]*Table6[[#This Row],[Units]]</f>
        <v>0</v>
      </c>
    </row>
    <row r="433" spans="1:20" x14ac:dyDescent="0.2">
      <c r="A433" t="s">
        <v>526</v>
      </c>
      <c r="B433" s="2">
        <v>46352.308699196023</v>
      </c>
      <c r="C433" t="s">
        <v>93</v>
      </c>
      <c r="D433" t="s">
        <v>96</v>
      </c>
      <c r="E433" t="s">
        <v>40</v>
      </c>
      <c r="F433" t="s">
        <v>15</v>
      </c>
      <c r="G433" t="s">
        <v>46</v>
      </c>
      <c r="H433" t="str">
        <f>_xlfn.XLOOKUP(Table6[[#This Row],[SKU]],tblProductMaster[SKU],tblProductMaster[Product])</f>
        <v>Stain Remover</v>
      </c>
      <c r="I433">
        <v>413</v>
      </c>
      <c r="J433">
        <f>_xlfn.XLOOKUP(G433,[1]!tblProductMaster[SKU],[1]!tblProductMaster[List Price])</f>
        <v>5.99</v>
      </c>
      <c r="K433" t="s">
        <v>89</v>
      </c>
      <c r="L433" s="3">
        <v>0.3</v>
      </c>
      <c r="M433" s="9">
        <f t="shared" si="30"/>
        <v>4.1929999999999996</v>
      </c>
      <c r="N433" s="8">
        <f t="shared" si="31"/>
        <v>1731.7089999999998</v>
      </c>
      <c r="O433" s="9">
        <f>_xlfn.XLOOKUP(G433,[1]!tblProductMaster[SKU],[1]!tblProductMaster[Unit Cost])</f>
        <v>2.5</v>
      </c>
      <c r="P433" s="8">
        <f t="shared" si="32"/>
        <v>1032.5</v>
      </c>
      <c r="Q433" s="8">
        <f t="shared" si="33"/>
        <v>699.20899999999983</v>
      </c>
      <c r="R433" s="4">
        <f t="shared" si="34"/>
        <v>0.40376818507035528</v>
      </c>
      <c r="S433" t="s">
        <v>90</v>
      </c>
      <c r="T433">
        <f>Table6[[#This Row],[Discount]]*Table6[[#This Row],[List Price]]*Table6[[#This Row],[Units]]</f>
        <v>742.16099999999994</v>
      </c>
    </row>
    <row r="434" spans="1:20" x14ac:dyDescent="0.2">
      <c r="A434" t="s">
        <v>527</v>
      </c>
      <c r="B434" s="2">
        <v>46114.910700034932</v>
      </c>
      <c r="C434" t="s">
        <v>93</v>
      </c>
      <c r="D434" t="s">
        <v>96</v>
      </c>
      <c r="E434" t="s">
        <v>56</v>
      </c>
      <c r="F434" t="s">
        <v>7</v>
      </c>
      <c r="G434" t="s">
        <v>58</v>
      </c>
      <c r="H434" t="str">
        <f>_xlfn.XLOOKUP(Table6[[#This Row],[SKU]],tblProductMaster[SKU],tblProductMaster[Product])</f>
        <v>Whitening Toothpaste</v>
      </c>
      <c r="I434">
        <v>770</v>
      </c>
      <c r="J434">
        <f>_xlfn.XLOOKUP(G434,[1]!tblProductMaster[SKU],[1]!tblProductMaster[List Price])</f>
        <v>4.99</v>
      </c>
      <c r="K434" t="s">
        <v>86</v>
      </c>
      <c r="L434" s="3">
        <v>0</v>
      </c>
      <c r="M434" s="9">
        <f t="shared" si="30"/>
        <v>4.99</v>
      </c>
      <c r="N434" s="8">
        <f t="shared" si="31"/>
        <v>3842.3</v>
      </c>
      <c r="O434" s="9">
        <f>_xlfn.XLOOKUP(G434,[1]!tblProductMaster[SKU],[1]!tblProductMaster[Unit Cost])</f>
        <v>1.8</v>
      </c>
      <c r="P434" s="8">
        <f t="shared" si="32"/>
        <v>1386</v>
      </c>
      <c r="Q434" s="8">
        <f t="shared" si="33"/>
        <v>2456.3000000000002</v>
      </c>
      <c r="R434" s="4">
        <f t="shared" si="34"/>
        <v>0.63927855711422843</v>
      </c>
      <c r="S434" t="s">
        <v>87</v>
      </c>
      <c r="T434">
        <f>Table6[[#This Row],[Discount]]*Table6[[#This Row],[List Price]]*Table6[[#This Row],[Units]]</f>
        <v>0</v>
      </c>
    </row>
    <row r="435" spans="1:20" x14ac:dyDescent="0.2">
      <c r="A435" t="s">
        <v>528</v>
      </c>
      <c r="B435" s="2">
        <v>46077.721105154029</v>
      </c>
      <c r="C435" t="s">
        <v>93</v>
      </c>
      <c r="D435" t="s">
        <v>85</v>
      </c>
      <c r="E435" t="s">
        <v>40</v>
      </c>
      <c r="F435" t="s">
        <v>18</v>
      </c>
      <c r="G435" t="s">
        <v>42</v>
      </c>
      <c r="H435" t="str">
        <f>_xlfn.XLOOKUP(Table6[[#This Row],[SKU]],tblProductMaster[SKU],tblProductMaster[Product])</f>
        <v>Detergent Capsules</v>
      </c>
      <c r="I435">
        <v>221</v>
      </c>
      <c r="J435">
        <f>_xlfn.XLOOKUP(G435,[1]!tblProductMaster[SKU],[1]!tblProductMaster[List Price])</f>
        <v>11.99</v>
      </c>
      <c r="K435" t="s">
        <v>86</v>
      </c>
      <c r="L435" s="3">
        <v>0</v>
      </c>
      <c r="M435" s="9">
        <f t="shared" si="30"/>
        <v>11.99</v>
      </c>
      <c r="N435" s="8">
        <f t="shared" si="31"/>
        <v>2649.79</v>
      </c>
      <c r="O435" s="9">
        <f>_xlfn.XLOOKUP(G435,[1]!tblProductMaster[SKU],[1]!tblProductMaster[Unit Cost])</f>
        <v>5.2</v>
      </c>
      <c r="P435" s="8">
        <f t="shared" si="32"/>
        <v>1149.2</v>
      </c>
      <c r="Q435" s="8">
        <f t="shared" si="33"/>
        <v>1500.59</v>
      </c>
      <c r="R435" s="4">
        <f t="shared" si="34"/>
        <v>0.56630525437864887</v>
      </c>
      <c r="S435" t="s">
        <v>87</v>
      </c>
      <c r="T435">
        <f>Table6[[#This Row],[Discount]]*Table6[[#This Row],[List Price]]*Table6[[#This Row],[Units]]</f>
        <v>0</v>
      </c>
    </row>
    <row r="436" spans="1:20" x14ac:dyDescent="0.2">
      <c r="A436" t="s">
        <v>529</v>
      </c>
      <c r="B436" s="2">
        <v>46155.966330932381</v>
      </c>
      <c r="C436" t="s">
        <v>93</v>
      </c>
      <c r="D436" t="s">
        <v>104</v>
      </c>
      <c r="E436" t="s">
        <v>8</v>
      </c>
      <c r="F436" t="s">
        <v>18</v>
      </c>
      <c r="G436" t="s">
        <v>17</v>
      </c>
      <c r="H436" t="str">
        <f>_xlfn.XLOOKUP(Table6[[#This Row],[SKU]],tblProductMaster[SKU],tblProductMaster[Product])</f>
        <v>Anti-Dandruff Shampoo</v>
      </c>
      <c r="I436">
        <v>279</v>
      </c>
      <c r="J436">
        <f>_xlfn.XLOOKUP(G436,[1]!tblProductMaster[SKU],[1]!tblProductMaster[List Price])</f>
        <v>6.49</v>
      </c>
      <c r="K436" t="s">
        <v>86</v>
      </c>
      <c r="L436" s="3">
        <v>0</v>
      </c>
      <c r="M436" s="9">
        <f t="shared" si="30"/>
        <v>6.49</v>
      </c>
      <c r="N436" s="8">
        <f t="shared" si="31"/>
        <v>1810.71</v>
      </c>
      <c r="O436" s="9">
        <f>_xlfn.XLOOKUP(G436,[1]!tblProductMaster[SKU],[1]!tblProductMaster[Unit Cost])</f>
        <v>2.8</v>
      </c>
      <c r="P436" s="8">
        <f t="shared" si="32"/>
        <v>781.19999999999993</v>
      </c>
      <c r="Q436" s="8">
        <f t="shared" si="33"/>
        <v>1029.5100000000002</v>
      </c>
      <c r="R436" s="4">
        <f t="shared" si="34"/>
        <v>0.5685670261941449</v>
      </c>
      <c r="S436" t="s">
        <v>87</v>
      </c>
      <c r="T436">
        <f>Table6[[#This Row],[Discount]]*Table6[[#This Row],[List Price]]*Table6[[#This Row],[Units]]</f>
        <v>0</v>
      </c>
    </row>
    <row r="437" spans="1:20" x14ac:dyDescent="0.2">
      <c r="A437" t="s">
        <v>530</v>
      </c>
      <c r="B437" s="2">
        <v>46365.454526160254</v>
      </c>
      <c r="C437" t="s">
        <v>98</v>
      </c>
      <c r="D437" t="s">
        <v>85</v>
      </c>
      <c r="E437" t="s">
        <v>40</v>
      </c>
      <c r="F437" t="s">
        <v>18</v>
      </c>
      <c r="G437" t="s">
        <v>54</v>
      </c>
      <c r="H437" t="str">
        <f>_xlfn.XLOOKUP(Table6[[#This Row],[SKU]],tblProductMaster[SKU],tblProductMaster[Product])</f>
        <v>Fabric Softener</v>
      </c>
      <c r="I437">
        <v>244</v>
      </c>
      <c r="J437">
        <f>_xlfn.XLOOKUP(G437,[1]!tblProductMaster[SKU],[1]!tblProductMaster[List Price])</f>
        <v>5.49</v>
      </c>
      <c r="K437" t="s">
        <v>86</v>
      </c>
      <c r="L437" s="3">
        <v>0</v>
      </c>
      <c r="M437" s="9">
        <f t="shared" si="30"/>
        <v>5.49</v>
      </c>
      <c r="N437" s="8">
        <f t="shared" si="31"/>
        <v>1339.56</v>
      </c>
      <c r="O437" s="9">
        <f>_xlfn.XLOOKUP(G437,[1]!tblProductMaster[SKU],[1]!tblProductMaster[Unit Cost])</f>
        <v>2.4</v>
      </c>
      <c r="P437" s="8">
        <f t="shared" si="32"/>
        <v>585.6</v>
      </c>
      <c r="Q437" s="8">
        <f t="shared" si="33"/>
        <v>753.95999999999992</v>
      </c>
      <c r="R437" s="4">
        <f t="shared" si="34"/>
        <v>0.56284153005464477</v>
      </c>
      <c r="S437" t="s">
        <v>87</v>
      </c>
      <c r="T437">
        <f>Table6[[#This Row],[Discount]]*Table6[[#This Row],[List Price]]*Table6[[#This Row],[Units]]</f>
        <v>0</v>
      </c>
    </row>
    <row r="438" spans="1:20" x14ac:dyDescent="0.2">
      <c r="A438" t="s">
        <v>531</v>
      </c>
      <c r="B438" s="2">
        <v>46230.964441095923</v>
      </c>
      <c r="C438" t="s">
        <v>84</v>
      </c>
      <c r="D438" t="s">
        <v>85</v>
      </c>
      <c r="E438" t="s">
        <v>40</v>
      </c>
      <c r="F438" t="s">
        <v>18</v>
      </c>
      <c r="G438" t="s">
        <v>54</v>
      </c>
      <c r="H438" t="str">
        <f>_xlfn.XLOOKUP(Table6[[#This Row],[SKU]],tblProductMaster[SKU],tblProductMaster[Product])</f>
        <v>Fabric Softener</v>
      </c>
      <c r="I438">
        <v>606</v>
      </c>
      <c r="J438">
        <f>_xlfn.XLOOKUP(G438,[1]!tblProductMaster[SKU],[1]!tblProductMaster[List Price])</f>
        <v>5.49</v>
      </c>
      <c r="K438" t="s">
        <v>89</v>
      </c>
      <c r="L438" s="3">
        <v>0.1</v>
      </c>
      <c r="M438" s="9">
        <f t="shared" si="30"/>
        <v>4.9410000000000007</v>
      </c>
      <c r="N438" s="8">
        <f t="shared" si="31"/>
        <v>2994.2460000000005</v>
      </c>
      <c r="O438" s="9">
        <f>_xlfn.XLOOKUP(G438,[1]!tblProductMaster[SKU],[1]!tblProductMaster[Unit Cost])</f>
        <v>2.4</v>
      </c>
      <c r="P438" s="8">
        <f t="shared" si="32"/>
        <v>1454.3999999999999</v>
      </c>
      <c r="Q438" s="8">
        <f t="shared" si="33"/>
        <v>1539.8460000000007</v>
      </c>
      <c r="R438" s="4">
        <f t="shared" si="34"/>
        <v>0.5142683667273833</v>
      </c>
      <c r="S438" t="s">
        <v>94</v>
      </c>
      <c r="T438">
        <f>Table6[[#This Row],[Discount]]*Table6[[#This Row],[List Price]]*Table6[[#This Row],[Units]]</f>
        <v>332.69400000000002</v>
      </c>
    </row>
    <row r="439" spans="1:20" x14ac:dyDescent="0.2">
      <c r="A439" t="s">
        <v>532</v>
      </c>
      <c r="B439" s="2">
        <v>46072.371433852379</v>
      </c>
      <c r="C439" t="s">
        <v>98</v>
      </c>
      <c r="D439" t="s">
        <v>96</v>
      </c>
      <c r="E439" t="s">
        <v>40</v>
      </c>
      <c r="F439" t="s">
        <v>18</v>
      </c>
      <c r="G439" t="s">
        <v>54</v>
      </c>
      <c r="H439" t="str">
        <f>_xlfn.XLOOKUP(Table6[[#This Row],[SKU]],tblProductMaster[SKU],tblProductMaster[Product])</f>
        <v>Fabric Softener</v>
      </c>
      <c r="I439">
        <v>388</v>
      </c>
      <c r="J439">
        <f>_xlfn.XLOOKUP(G439,[1]!tblProductMaster[SKU],[1]!tblProductMaster[List Price])</f>
        <v>5.49</v>
      </c>
      <c r="K439" t="s">
        <v>86</v>
      </c>
      <c r="L439" s="3">
        <v>0</v>
      </c>
      <c r="M439" s="9">
        <f t="shared" si="30"/>
        <v>5.49</v>
      </c>
      <c r="N439" s="8">
        <f t="shared" si="31"/>
        <v>2130.12</v>
      </c>
      <c r="O439" s="9">
        <f>_xlfn.XLOOKUP(G439,[1]!tblProductMaster[SKU],[1]!tblProductMaster[Unit Cost])</f>
        <v>2.4</v>
      </c>
      <c r="P439" s="8">
        <f t="shared" si="32"/>
        <v>931.19999999999993</v>
      </c>
      <c r="Q439" s="8">
        <f t="shared" si="33"/>
        <v>1198.92</v>
      </c>
      <c r="R439" s="4">
        <f t="shared" si="34"/>
        <v>0.56284153005464488</v>
      </c>
      <c r="S439" t="s">
        <v>87</v>
      </c>
      <c r="T439">
        <f>Table6[[#This Row],[Discount]]*Table6[[#This Row],[List Price]]*Table6[[#This Row],[Units]]</f>
        <v>0</v>
      </c>
    </row>
    <row r="440" spans="1:20" x14ac:dyDescent="0.2">
      <c r="A440" t="s">
        <v>533</v>
      </c>
      <c r="B440" s="2">
        <v>46102.392618959973</v>
      </c>
      <c r="C440" t="s">
        <v>84</v>
      </c>
      <c r="D440" t="s">
        <v>104</v>
      </c>
      <c r="E440" t="s">
        <v>40</v>
      </c>
      <c r="F440" t="s">
        <v>7</v>
      </c>
      <c r="G440" t="s">
        <v>48</v>
      </c>
      <c r="H440" t="str">
        <f>_xlfn.XLOOKUP(Table6[[#This Row],[SKU]],tblProductMaster[SKU],tblProductMaster[Product])</f>
        <v>Color Detergent</v>
      </c>
      <c r="I440">
        <v>1160</v>
      </c>
      <c r="J440">
        <f>_xlfn.XLOOKUP(G440,[1]!tblProductMaster[SKU],[1]!tblProductMaster[List Price])</f>
        <v>9.49</v>
      </c>
      <c r="K440" t="s">
        <v>89</v>
      </c>
      <c r="L440" s="3">
        <v>0.1</v>
      </c>
      <c r="M440" s="9">
        <f t="shared" si="30"/>
        <v>8.5410000000000004</v>
      </c>
      <c r="N440" s="8">
        <f t="shared" si="31"/>
        <v>9907.5600000000013</v>
      </c>
      <c r="O440" s="9">
        <f>_xlfn.XLOOKUP(G440,[1]!tblProductMaster[SKU],[1]!tblProductMaster[Unit Cost])</f>
        <v>4</v>
      </c>
      <c r="P440" s="8">
        <f t="shared" si="32"/>
        <v>4640</v>
      </c>
      <c r="Q440" s="8">
        <f t="shared" si="33"/>
        <v>5267.5600000000013</v>
      </c>
      <c r="R440" s="4">
        <f t="shared" si="34"/>
        <v>0.53167076454747697</v>
      </c>
      <c r="S440" t="s">
        <v>99</v>
      </c>
      <c r="T440">
        <f>Table6[[#This Row],[Discount]]*Table6[[#This Row],[List Price]]*Table6[[#This Row],[Units]]</f>
        <v>1100.8400000000001</v>
      </c>
    </row>
    <row r="441" spans="1:20" x14ac:dyDescent="0.2">
      <c r="A441" t="s">
        <v>534</v>
      </c>
      <c r="B441" s="2">
        <v>46024.008398849764</v>
      </c>
      <c r="C441" t="s">
        <v>93</v>
      </c>
      <c r="D441" t="s">
        <v>96</v>
      </c>
      <c r="E441" t="s">
        <v>56</v>
      </c>
      <c r="F441" t="s">
        <v>15</v>
      </c>
      <c r="G441" t="s">
        <v>55</v>
      </c>
      <c r="H441" t="str">
        <f>_xlfn.XLOOKUP(Table6[[#This Row],[SKU]],tblProductMaster[SKU],tblProductMaster[Product])</f>
        <v>Toothpaste 75ml</v>
      </c>
      <c r="I441">
        <v>371</v>
      </c>
      <c r="J441">
        <f>_xlfn.XLOOKUP(G441,[1]!tblProductMaster[SKU],[1]!tblProductMaster[List Price])</f>
        <v>3.49</v>
      </c>
      <c r="K441" t="s">
        <v>86</v>
      </c>
      <c r="L441" s="3">
        <v>0</v>
      </c>
      <c r="M441" s="9">
        <f t="shared" si="30"/>
        <v>3.49</v>
      </c>
      <c r="N441" s="8">
        <f t="shared" si="31"/>
        <v>1294.7900000000002</v>
      </c>
      <c r="O441" s="9">
        <f>_xlfn.XLOOKUP(G441,[1]!tblProductMaster[SKU],[1]!tblProductMaster[Unit Cost])</f>
        <v>1.2</v>
      </c>
      <c r="P441" s="8">
        <f t="shared" si="32"/>
        <v>445.2</v>
      </c>
      <c r="Q441" s="8">
        <f t="shared" si="33"/>
        <v>849.59000000000015</v>
      </c>
      <c r="R441" s="4">
        <f t="shared" si="34"/>
        <v>0.65616045845272208</v>
      </c>
      <c r="S441" t="s">
        <v>87</v>
      </c>
      <c r="T441">
        <f>Table6[[#This Row],[Discount]]*Table6[[#This Row],[List Price]]*Table6[[#This Row],[Units]]</f>
        <v>0</v>
      </c>
    </row>
    <row r="442" spans="1:20" x14ac:dyDescent="0.2">
      <c r="A442" t="s">
        <v>535</v>
      </c>
      <c r="B442" s="2">
        <v>46141.842210466726</v>
      </c>
      <c r="C442" t="s">
        <v>98</v>
      </c>
      <c r="D442" t="s">
        <v>104</v>
      </c>
      <c r="E442" t="s">
        <v>56</v>
      </c>
      <c r="F442" t="s">
        <v>7</v>
      </c>
      <c r="G442" t="s">
        <v>66</v>
      </c>
      <c r="H442" t="str">
        <f>_xlfn.XLOOKUP(Table6[[#This Row],[SKU]],tblProductMaster[SKU],tblProductMaster[Product])</f>
        <v>Electric Brush Heads</v>
      </c>
      <c r="I442">
        <v>562</v>
      </c>
      <c r="J442">
        <f>_xlfn.XLOOKUP(G442,[1]!tblProductMaster[SKU],[1]!tblProductMaster[List Price])</f>
        <v>12.99</v>
      </c>
      <c r="K442" t="s">
        <v>89</v>
      </c>
      <c r="L442" s="3">
        <v>0.1</v>
      </c>
      <c r="M442" s="9">
        <f t="shared" si="30"/>
        <v>11.691000000000001</v>
      </c>
      <c r="N442" s="8">
        <f t="shared" si="31"/>
        <v>6570.3420000000006</v>
      </c>
      <c r="O442" s="9">
        <f>_xlfn.XLOOKUP(G442,[1]!tblProductMaster[SKU],[1]!tblProductMaster[Unit Cost])</f>
        <v>5.2</v>
      </c>
      <c r="P442" s="8">
        <f t="shared" si="32"/>
        <v>2922.4</v>
      </c>
      <c r="Q442" s="8">
        <f t="shared" si="33"/>
        <v>3647.9420000000005</v>
      </c>
      <c r="R442" s="4">
        <f t="shared" si="34"/>
        <v>0.55521341202634511</v>
      </c>
      <c r="S442" t="s">
        <v>90</v>
      </c>
      <c r="T442">
        <f>Table6[[#This Row],[Discount]]*Table6[[#This Row],[List Price]]*Table6[[#This Row],[Units]]</f>
        <v>730.03800000000012</v>
      </c>
    </row>
    <row r="443" spans="1:20" x14ac:dyDescent="0.2">
      <c r="A443" t="s">
        <v>536</v>
      </c>
      <c r="B443" s="2">
        <v>46320.969695633918</v>
      </c>
      <c r="C443" t="s">
        <v>93</v>
      </c>
      <c r="D443" t="s">
        <v>85</v>
      </c>
      <c r="E443" t="s">
        <v>40</v>
      </c>
      <c r="F443" t="s">
        <v>7</v>
      </c>
      <c r="G443" t="s">
        <v>48</v>
      </c>
      <c r="H443" t="str">
        <f>_xlfn.XLOOKUP(Table6[[#This Row],[SKU]],tblProductMaster[SKU],tblProductMaster[Product])</f>
        <v>Color Detergent</v>
      </c>
      <c r="I443">
        <v>255</v>
      </c>
      <c r="J443">
        <f>_xlfn.XLOOKUP(G443,[1]!tblProductMaster[SKU],[1]!tblProductMaster[List Price])</f>
        <v>9.49</v>
      </c>
      <c r="K443" t="s">
        <v>86</v>
      </c>
      <c r="L443" s="3">
        <v>0</v>
      </c>
      <c r="M443" s="9">
        <f t="shared" si="30"/>
        <v>9.49</v>
      </c>
      <c r="N443" s="8">
        <f t="shared" si="31"/>
        <v>2419.9500000000003</v>
      </c>
      <c r="O443" s="9">
        <f>_xlfn.XLOOKUP(G443,[1]!tblProductMaster[SKU],[1]!tblProductMaster[Unit Cost])</f>
        <v>4</v>
      </c>
      <c r="P443" s="8">
        <f t="shared" si="32"/>
        <v>1020</v>
      </c>
      <c r="Q443" s="8">
        <f t="shared" si="33"/>
        <v>1399.9500000000003</v>
      </c>
      <c r="R443" s="4">
        <f t="shared" si="34"/>
        <v>0.57850368809272923</v>
      </c>
      <c r="S443" t="s">
        <v>87</v>
      </c>
      <c r="T443">
        <f>Table6[[#This Row],[Discount]]*Table6[[#This Row],[List Price]]*Table6[[#This Row],[Units]]</f>
        <v>0</v>
      </c>
    </row>
    <row r="444" spans="1:20" x14ac:dyDescent="0.2">
      <c r="A444" t="s">
        <v>537</v>
      </c>
      <c r="B444" s="2">
        <v>46350.742451261278</v>
      </c>
      <c r="C444" t="s">
        <v>84</v>
      </c>
      <c r="D444" t="s">
        <v>96</v>
      </c>
      <c r="E444" t="s">
        <v>40</v>
      </c>
      <c r="F444" t="s">
        <v>18</v>
      </c>
      <c r="G444" t="s">
        <v>54</v>
      </c>
      <c r="H444" t="str">
        <f>_xlfn.XLOOKUP(Table6[[#This Row],[SKU]],tblProductMaster[SKU],tblProductMaster[Product])</f>
        <v>Fabric Softener</v>
      </c>
      <c r="I444">
        <v>576</v>
      </c>
      <c r="J444">
        <f>_xlfn.XLOOKUP(G444,[1]!tblProductMaster[SKU],[1]!tblProductMaster[List Price])</f>
        <v>5.49</v>
      </c>
      <c r="K444" t="s">
        <v>86</v>
      </c>
      <c r="L444" s="3">
        <v>0</v>
      </c>
      <c r="M444" s="9">
        <f t="shared" si="30"/>
        <v>5.49</v>
      </c>
      <c r="N444" s="8">
        <f t="shared" si="31"/>
        <v>3162.2400000000002</v>
      </c>
      <c r="O444" s="9">
        <f>_xlfn.XLOOKUP(G444,[1]!tblProductMaster[SKU],[1]!tblProductMaster[Unit Cost])</f>
        <v>2.4</v>
      </c>
      <c r="P444" s="8">
        <f t="shared" si="32"/>
        <v>1382.3999999999999</v>
      </c>
      <c r="Q444" s="8">
        <f t="shared" si="33"/>
        <v>1779.8400000000004</v>
      </c>
      <c r="R444" s="4">
        <f t="shared" si="34"/>
        <v>0.56284153005464488</v>
      </c>
      <c r="S444" t="s">
        <v>87</v>
      </c>
      <c r="T444">
        <f>Table6[[#This Row],[Discount]]*Table6[[#This Row],[List Price]]*Table6[[#This Row],[Units]]</f>
        <v>0</v>
      </c>
    </row>
    <row r="445" spans="1:20" x14ac:dyDescent="0.2">
      <c r="A445" t="s">
        <v>538</v>
      </c>
      <c r="B445" s="2">
        <v>46108.766464752909</v>
      </c>
      <c r="C445" t="s">
        <v>98</v>
      </c>
      <c r="D445" t="s">
        <v>104</v>
      </c>
      <c r="E445" t="s">
        <v>25</v>
      </c>
      <c r="F445" t="s">
        <v>15</v>
      </c>
      <c r="G445" t="s">
        <v>29</v>
      </c>
      <c r="H445" t="str">
        <f>_xlfn.XLOOKUP(Table6[[#This Row],[SKU]],tblProductMaster[SKU],tblProductMaster[Product])</f>
        <v>Shower Gel 250ml</v>
      </c>
      <c r="I445">
        <v>513</v>
      </c>
      <c r="J445">
        <f>_xlfn.XLOOKUP(G445,[1]!tblProductMaster[SKU],[1]!tblProductMaster[List Price])</f>
        <v>4.49</v>
      </c>
      <c r="K445" t="s">
        <v>86</v>
      </c>
      <c r="L445" s="3">
        <v>0</v>
      </c>
      <c r="M445" s="9">
        <f t="shared" si="30"/>
        <v>4.49</v>
      </c>
      <c r="N445" s="8">
        <f t="shared" si="31"/>
        <v>2303.37</v>
      </c>
      <c r="O445" s="9">
        <f>_xlfn.XLOOKUP(G445,[1]!tblProductMaster[SKU],[1]!tblProductMaster[Unit Cost])</f>
        <v>1.9</v>
      </c>
      <c r="P445" s="8">
        <f t="shared" si="32"/>
        <v>974.69999999999993</v>
      </c>
      <c r="Q445" s="8">
        <f t="shared" si="33"/>
        <v>1328.67</v>
      </c>
      <c r="R445" s="4">
        <f t="shared" si="34"/>
        <v>0.57683741648106912</v>
      </c>
      <c r="S445" t="s">
        <v>87</v>
      </c>
      <c r="T445">
        <f>Table6[[#This Row],[Discount]]*Table6[[#This Row],[List Price]]*Table6[[#This Row],[Units]]</f>
        <v>0</v>
      </c>
    </row>
    <row r="446" spans="1:20" x14ac:dyDescent="0.2">
      <c r="A446" t="s">
        <v>539</v>
      </c>
      <c r="B446" s="2">
        <v>46205.141436579594</v>
      </c>
      <c r="C446" t="s">
        <v>84</v>
      </c>
      <c r="D446" t="s">
        <v>104</v>
      </c>
      <c r="E446" t="s">
        <v>56</v>
      </c>
      <c r="F446" t="s">
        <v>7</v>
      </c>
      <c r="G446" t="s">
        <v>66</v>
      </c>
      <c r="H446" t="str">
        <f>_xlfn.XLOOKUP(Table6[[#This Row],[SKU]],tblProductMaster[SKU],tblProductMaster[Product])</f>
        <v>Electric Brush Heads</v>
      </c>
      <c r="I446">
        <v>699</v>
      </c>
      <c r="J446">
        <f>_xlfn.XLOOKUP(G446,[1]!tblProductMaster[SKU],[1]!tblProductMaster[List Price])</f>
        <v>12.99</v>
      </c>
      <c r="K446" t="s">
        <v>86</v>
      </c>
      <c r="L446" s="3">
        <v>0</v>
      </c>
      <c r="M446" s="9">
        <f t="shared" si="30"/>
        <v>12.99</v>
      </c>
      <c r="N446" s="8">
        <f t="shared" si="31"/>
        <v>9080.01</v>
      </c>
      <c r="O446" s="9">
        <f>_xlfn.XLOOKUP(G446,[1]!tblProductMaster[SKU],[1]!tblProductMaster[Unit Cost])</f>
        <v>5.2</v>
      </c>
      <c r="P446" s="8">
        <f t="shared" si="32"/>
        <v>3634.8</v>
      </c>
      <c r="Q446" s="8">
        <f t="shared" si="33"/>
        <v>5445.21</v>
      </c>
      <c r="R446" s="4">
        <f t="shared" si="34"/>
        <v>0.59969207082371057</v>
      </c>
      <c r="S446" t="s">
        <v>87</v>
      </c>
      <c r="T446">
        <f>Table6[[#This Row],[Discount]]*Table6[[#This Row],[List Price]]*Table6[[#This Row],[Units]]</f>
        <v>0</v>
      </c>
    </row>
    <row r="447" spans="1:20" x14ac:dyDescent="0.2">
      <c r="A447" t="s">
        <v>540</v>
      </c>
      <c r="B447" s="2">
        <v>46126.886216390973</v>
      </c>
      <c r="C447" t="s">
        <v>93</v>
      </c>
      <c r="D447" t="s">
        <v>96</v>
      </c>
      <c r="E447" t="s">
        <v>40</v>
      </c>
      <c r="F447" t="s">
        <v>15</v>
      </c>
      <c r="G447" t="s">
        <v>46</v>
      </c>
      <c r="H447" t="str">
        <f>_xlfn.XLOOKUP(Table6[[#This Row],[SKU]],tblProductMaster[SKU],tblProductMaster[Product])</f>
        <v>Stain Remover</v>
      </c>
      <c r="I447">
        <v>353</v>
      </c>
      <c r="J447">
        <f>_xlfn.XLOOKUP(G447,[1]!tblProductMaster[SKU],[1]!tblProductMaster[List Price])</f>
        <v>5.99</v>
      </c>
      <c r="K447" t="s">
        <v>86</v>
      </c>
      <c r="L447" s="3">
        <v>0</v>
      </c>
      <c r="M447" s="9">
        <f t="shared" si="30"/>
        <v>5.99</v>
      </c>
      <c r="N447" s="8">
        <f t="shared" si="31"/>
        <v>2114.4700000000003</v>
      </c>
      <c r="O447" s="9">
        <f>_xlfn.XLOOKUP(G447,[1]!tblProductMaster[SKU],[1]!tblProductMaster[Unit Cost])</f>
        <v>2.5</v>
      </c>
      <c r="P447" s="8">
        <f t="shared" si="32"/>
        <v>882.5</v>
      </c>
      <c r="Q447" s="8">
        <f t="shared" si="33"/>
        <v>1231.9700000000003</v>
      </c>
      <c r="R447" s="4">
        <f t="shared" si="34"/>
        <v>0.58263772954924875</v>
      </c>
      <c r="S447" t="s">
        <v>87</v>
      </c>
      <c r="T447">
        <f>Table6[[#This Row],[Discount]]*Table6[[#This Row],[List Price]]*Table6[[#This Row],[Units]]</f>
        <v>0</v>
      </c>
    </row>
    <row r="448" spans="1:20" x14ac:dyDescent="0.2">
      <c r="A448" t="s">
        <v>541</v>
      </c>
      <c r="B448" s="2">
        <v>46033.806586913313</v>
      </c>
      <c r="C448" t="s">
        <v>93</v>
      </c>
      <c r="D448" t="s">
        <v>96</v>
      </c>
      <c r="E448" t="s">
        <v>40</v>
      </c>
      <c r="F448" t="s">
        <v>18</v>
      </c>
      <c r="G448" t="s">
        <v>54</v>
      </c>
      <c r="H448" t="str">
        <f>_xlfn.XLOOKUP(Table6[[#This Row],[SKU]],tblProductMaster[SKU],tblProductMaster[Product])</f>
        <v>Fabric Softener</v>
      </c>
      <c r="I448">
        <v>414</v>
      </c>
      <c r="J448">
        <f>_xlfn.XLOOKUP(G448,[1]!tblProductMaster[SKU],[1]!tblProductMaster[List Price])</f>
        <v>5.49</v>
      </c>
      <c r="K448" t="s">
        <v>86</v>
      </c>
      <c r="L448" s="3">
        <v>0</v>
      </c>
      <c r="M448" s="9">
        <f t="shared" si="30"/>
        <v>5.49</v>
      </c>
      <c r="N448" s="8">
        <f t="shared" si="31"/>
        <v>2272.86</v>
      </c>
      <c r="O448" s="9">
        <f>_xlfn.XLOOKUP(G448,[1]!tblProductMaster[SKU],[1]!tblProductMaster[Unit Cost])</f>
        <v>2.4</v>
      </c>
      <c r="P448" s="8">
        <f t="shared" si="32"/>
        <v>993.59999999999991</v>
      </c>
      <c r="Q448" s="8">
        <f t="shared" si="33"/>
        <v>1279.2600000000002</v>
      </c>
      <c r="R448" s="4">
        <f t="shared" si="34"/>
        <v>0.56284153005464488</v>
      </c>
      <c r="S448" t="s">
        <v>87</v>
      </c>
      <c r="T448">
        <f>Table6[[#This Row],[Discount]]*Table6[[#This Row],[List Price]]*Table6[[#This Row],[Units]]</f>
        <v>0</v>
      </c>
    </row>
    <row r="449" spans="1:20" x14ac:dyDescent="0.2">
      <c r="A449" t="s">
        <v>542</v>
      </c>
      <c r="B449" s="2">
        <v>46274.341020292988</v>
      </c>
      <c r="C449" t="s">
        <v>84</v>
      </c>
      <c r="D449" t="s">
        <v>104</v>
      </c>
      <c r="E449" t="s">
        <v>40</v>
      </c>
      <c r="F449" t="s">
        <v>15</v>
      </c>
      <c r="G449" t="s">
        <v>52</v>
      </c>
      <c r="H449" t="str">
        <f>_xlfn.XLOOKUP(Table6[[#This Row],[SKU]],tblProductMaster[SKU],tblProductMaster[Product])</f>
        <v>Laundry Pods</v>
      </c>
      <c r="I449">
        <v>365</v>
      </c>
      <c r="J449">
        <f>_xlfn.XLOOKUP(G449,[1]!tblProductMaster[SKU],[1]!tblProductMaster[List Price])</f>
        <v>10.49</v>
      </c>
      <c r="K449" t="s">
        <v>86</v>
      </c>
      <c r="L449" s="3">
        <v>0</v>
      </c>
      <c r="M449" s="9">
        <f t="shared" si="30"/>
        <v>10.49</v>
      </c>
      <c r="N449" s="8">
        <f t="shared" si="31"/>
        <v>3828.85</v>
      </c>
      <c r="O449" s="9">
        <f>_xlfn.XLOOKUP(G449,[1]!tblProductMaster[SKU],[1]!tblProductMaster[Unit Cost])</f>
        <v>4.5999999999999996</v>
      </c>
      <c r="P449" s="8">
        <f t="shared" si="32"/>
        <v>1678.9999999999998</v>
      </c>
      <c r="Q449" s="8">
        <f t="shared" si="33"/>
        <v>2149.8500000000004</v>
      </c>
      <c r="R449" s="4">
        <f t="shared" si="34"/>
        <v>0.56148713060057209</v>
      </c>
      <c r="S449" t="s">
        <v>87</v>
      </c>
      <c r="T449">
        <f>Table6[[#This Row],[Discount]]*Table6[[#This Row],[List Price]]*Table6[[#This Row],[Units]]</f>
        <v>0</v>
      </c>
    </row>
    <row r="450" spans="1:20" x14ac:dyDescent="0.2">
      <c r="A450" t="s">
        <v>543</v>
      </c>
      <c r="B450" s="2">
        <v>46356.622308415812</v>
      </c>
      <c r="C450" t="s">
        <v>84</v>
      </c>
      <c r="D450" t="s">
        <v>85</v>
      </c>
      <c r="E450" t="s">
        <v>56</v>
      </c>
      <c r="F450" t="s">
        <v>7</v>
      </c>
      <c r="G450" t="s">
        <v>58</v>
      </c>
      <c r="H450" t="str">
        <f>_xlfn.XLOOKUP(Table6[[#This Row],[SKU]],tblProductMaster[SKU],tblProductMaster[Product])</f>
        <v>Whitening Toothpaste</v>
      </c>
      <c r="I450">
        <v>427</v>
      </c>
      <c r="J450">
        <f>_xlfn.XLOOKUP(G450,[1]!tblProductMaster[SKU],[1]!tblProductMaster[List Price])</f>
        <v>4.99</v>
      </c>
      <c r="K450" t="s">
        <v>86</v>
      </c>
      <c r="L450" s="3">
        <v>0</v>
      </c>
      <c r="M450" s="9">
        <f t="shared" si="30"/>
        <v>4.99</v>
      </c>
      <c r="N450" s="8">
        <f t="shared" si="31"/>
        <v>2130.73</v>
      </c>
      <c r="O450" s="9">
        <f>_xlfn.XLOOKUP(G450,[1]!tblProductMaster[SKU],[1]!tblProductMaster[Unit Cost])</f>
        <v>1.8</v>
      </c>
      <c r="P450" s="8">
        <f t="shared" si="32"/>
        <v>768.6</v>
      </c>
      <c r="Q450" s="8">
        <f t="shared" si="33"/>
        <v>1362.13</v>
      </c>
      <c r="R450" s="4">
        <f t="shared" si="34"/>
        <v>0.63927855711422854</v>
      </c>
      <c r="S450" t="s">
        <v>87</v>
      </c>
      <c r="T450">
        <f>Table6[[#This Row],[Discount]]*Table6[[#This Row],[List Price]]*Table6[[#This Row],[Units]]</f>
        <v>0</v>
      </c>
    </row>
    <row r="451" spans="1:20" x14ac:dyDescent="0.2">
      <c r="A451" t="s">
        <v>544</v>
      </c>
      <c r="B451" s="2">
        <v>46034.779167611887</v>
      </c>
      <c r="C451" t="s">
        <v>98</v>
      </c>
      <c r="D451" t="s">
        <v>85</v>
      </c>
      <c r="E451" t="s">
        <v>56</v>
      </c>
      <c r="F451" t="s">
        <v>18</v>
      </c>
      <c r="G451" t="s">
        <v>68</v>
      </c>
      <c r="H451" t="str">
        <f>_xlfn.XLOOKUP(Table6[[#This Row],[SKU]],tblProductMaster[SKU],tblProductMaster[Product])</f>
        <v>Kids Toothpaste</v>
      </c>
      <c r="I451">
        <v>875</v>
      </c>
      <c r="J451">
        <f>_xlfn.XLOOKUP(G451,[1]!tblProductMaster[SKU],[1]!tblProductMaster[List Price])</f>
        <v>3.29</v>
      </c>
      <c r="K451" t="s">
        <v>89</v>
      </c>
      <c r="L451" s="3">
        <v>0.3</v>
      </c>
      <c r="M451" s="9">
        <f t="shared" ref="M451:M514" si="35">J451*(1-L451)</f>
        <v>2.3029999999999999</v>
      </c>
      <c r="N451" s="8">
        <f t="shared" ref="N451:N514" si="36">M451*I451</f>
        <v>2015.125</v>
      </c>
      <c r="O451" s="9">
        <f>_xlfn.XLOOKUP(G451,[1]!tblProductMaster[SKU],[1]!tblProductMaster[Unit Cost])</f>
        <v>1.1000000000000001</v>
      </c>
      <c r="P451" s="8">
        <f t="shared" ref="P451:P514" si="37">O451*I451</f>
        <v>962.50000000000011</v>
      </c>
      <c r="Q451" s="8">
        <f t="shared" ref="Q451:Q514" si="38">N451-P451</f>
        <v>1052.625</v>
      </c>
      <c r="R451" s="4">
        <f t="shared" ref="R451:R514" si="39">Q451/N451</f>
        <v>0.52236213634389927</v>
      </c>
      <c r="S451" t="s">
        <v>99</v>
      </c>
      <c r="T451">
        <f>Table6[[#This Row],[Discount]]*Table6[[#This Row],[List Price]]*Table6[[#This Row],[Units]]</f>
        <v>863.625</v>
      </c>
    </row>
    <row r="452" spans="1:20" x14ac:dyDescent="0.2">
      <c r="A452" t="s">
        <v>545</v>
      </c>
      <c r="B452" s="2">
        <v>46050.817090437748</v>
      </c>
      <c r="C452" t="s">
        <v>98</v>
      </c>
      <c r="D452" t="s">
        <v>104</v>
      </c>
      <c r="E452" t="s">
        <v>8</v>
      </c>
      <c r="F452" t="s">
        <v>15</v>
      </c>
      <c r="G452" t="s">
        <v>22</v>
      </c>
      <c r="H452" t="str">
        <f>_xlfn.XLOOKUP(Table6[[#This Row],[SKU]],tblProductMaster[SKU],tblProductMaster[Product])</f>
        <v>Styling Gel</v>
      </c>
      <c r="I452">
        <v>483</v>
      </c>
      <c r="J452">
        <f>_xlfn.XLOOKUP(G452,[1]!tblProductMaster[SKU],[1]!tblProductMaster[List Price])</f>
        <v>4.49</v>
      </c>
      <c r="K452" t="s">
        <v>89</v>
      </c>
      <c r="L452" s="3">
        <v>0.1</v>
      </c>
      <c r="M452" s="9">
        <f t="shared" si="35"/>
        <v>4.0410000000000004</v>
      </c>
      <c r="N452" s="8">
        <f t="shared" si="36"/>
        <v>1951.8030000000001</v>
      </c>
      <c r="O452" s="9">
        <f>_xlfn.XLOOKUP(G452,[1]!tblProductMaster[SKU],[1]!tblProductMaster[Unit Cost])</f>
        <v>1.9</v>
      </c>
      <c r="P452" s="8">
        <f t="shared" si="37"/>
        <v>917.69999999999993</v>
      </c>
      <c r="Q452" s="8">
        <f t="shared" si="38"/>
        <v>1034.1030000000001</v>
      </c>
      <c r="R452" s="4">
        <f t="shared" si="39"/>
        <v>0.52981935164563232</v>
      </c>
      <c r="S452" t="s">
        <v>90</v>
      </c>
      <c r="T452">
        <f>Table6[[#This Row],[Discount]]*Table6[[#This Row],[List Price]]*Table6[[#This Row],[Units]]</f>
        <v>216.86700000000002</v>
      </c>
    </row>
    <row r="453" spans="1:20" x14ac:dyDescent="0.2">
      <c r="A453" t="s">
        <v>546</v>
      </c>
      <c r="B453" s="2">
        <v>46354.814415812478</v>
      </c>
      <c r="C453" t="s">
        <v>98</v>
      </c>
      <c r="D453" t="s">
        <v>96</v>
      </c>
      <c r="E453" t="s">
        <v>25</v>
      </c>
      <c r="F453" t="s">
        <v>15</v>
      </c>
      <c r="G453" t="s">
        <v>35</v>
      </c>
      <c r="H453" t="str">
        <f>_xlfn.XLOOKUP(Table6[[#This Row],[SKU]],tblProductMaster[SKU],tblProductMaster[Product])</f>
        <v>Hand Cream</v>
      </c>
      <c r="I453">
        <v>496</v>
      </c>
      <c r="J453">
        <f>_xlfn.XLOOKUP(G453,[1]!tblProductMaster[SKU],[1]!tblProductMaster[List Price])</f>
        <v>4.99</v>
      </c>
      <c r="K453" t="s">
        <v>86</v>
      </c>
      <c r="L453" s="3">
        <v>0</v>
      </c>
      <c r="M453" s="9">
        <f t="shared" si="35"/>
        <v>4.99</v>
      </c>
      <c r="N453" s="8">
        <f t="shared" si="36"/>
        <v>2475.04</v>
      </c>
      <c r="O453" s="9">
        <f>_xlfn.XLOOKUP(G453,[1]!tblProductMaster[SKU],[1]!tblProductMaster[Unit Cost])</f>
        <v>2.1</v>
      </c>
      <c r="P453" s="8">
        <f t="shared" si="37"/>
        <v>1041.6000000000001</v>
      </c>
      <c r="Q453" s="8">
        <f t="shared" si="38"/>
        <v>1433.4399999999998</v>
      </c>
      <c r="R453" s="4">
        <f t="shared" si="39"/>
        <v>0.57915831663326645</v>
      </c>
      <c r="S453" t="s">
        <v>87</v>
      </c>
      <c r="T453">
        <f>Table6[[#This Row],[Discount]]*Table6[[#This Row],[List Price]]*Table6[[#This Row],[Units]]</f>
        <v>0</v>
      </c>
    </row>
    <row r="454" spans="1:20" x14ac:dyDescent="0.2">
      <c r="A454" t="s">
        <v>547</v>
      </c>
      <c r="B454" s="2">
        <v>46255.242114134177</v>
      </c>
      <c r="C454" t="s">
        <v>98</v>
      </c>
      <c r="D454" t="s">
        <v>96</v>
      </c>
      <c r="E454" t="s">
        <v>8</v>
      </c>
      <c r="F454" t="s">
        <v>18</v>
      </c>
      <c r="G454" t="s">
        <v>17</v>
      </c>
      <c r="H454" t="str">
        <f>_xlfn.XLOOKUP(Table6[[#This Row],[SKU]],tblProductMaster[SKU],tblProductMaster[Product])</f>
        <v>Anti-Dandruff Shampoo</v>
      </c>
      <c r="I454">
        <v>471</v>
      </c>
      <c r="J454">
        <f>_xlfn.XLOOKUP(G454,[1]!tblProductMaster[SKU],[1]!tblProductMaster[List Price])</f>
        <v>6.49</v>
      </c>
      <c r="K454" t="s">
        <v>89</v>
      </c>
      <c r="L454" s="3">
        <v>0.2</v>
      </c>
      <c r="M454" s="9">
        <f t="shared" si="35"/>
        <v>5.1920000000000002</v>
      </c>
      <c r="N454" s="8">
        <f t="shared" si="36"/>
        <v>2445.4320000000002</v>
      </c>
      <c r="O454" s="9">
        <f>_xlfn.XLOOKUP(G454,[1]!tblProductMaster[SKU],[1]!tblProductMaster[Unit Cost])</f>
        <v>2.8</v>
      </c>
      <c r="P454" s="8">
        <f t="shared" si="37"/>
        <v>1318.8</v>
      </c>
      <c r="Q454" s="8">
        <f t="shared" si="38"/>
        <v>1126.6320000000003</v>
      </c>
      <c r="R454" s="4">
        <f t="shared" si="39"/>
        <v>0.46070878274268112</v>
      </c>
      <c r="S454" t="s">
        <v>99</v>
      </c>
      <c r="T454">
        <f>Table6[[#This Row],[Discount]]*Table6[[#This Row],[List Price]]*Table6[[#This Row],[Units]]</f>
        <v>611.35800000000006</v>
      </c>
    </row>
    <row r="455" spans="1:20" x14ac:dyDescent="0.2">
      <c r="A455" t="s">
        <v>548</v>
      </c>
      <c r="B455" s="2">
        <v>46337.478588352911</v>
      </c>
      <c r="C455" t="s">
        <v>84</v>
      </c>
      <c r="D455" t="s">
        <v>85</v>
      </c>
      <c r="E455" t="s">
        <v>8</v>
      </c>
      <c r="F455" t="s">
        <v>7</v>
      </c>
      <c r="G455" t="s">
        <v>12</v>
      </c>
      <c r="H455" t="str">
        <f>_xlfn.XLOOKUP(Table6[[#This Row],[SKU]],tblProductMaster[SKU],tblProductMaster[Product])</f>
        <v>Conditioner 250ml</v>
      </c>
      <c r="I455">
        <v>1107</v>
      </c>
      <c r="J455">
        <f>_xlfn.XLOOKUP(G455,[1]!tblProductMaster[SKU],[1]!tblProductMaster[List Price])</f>
        <v>5.49</v>
      </c>
      <c r="K455" t="s">
        <v>89</v>
      </c>
      <c r="L455" s="3">
        <v>0.3</v>
      </c>
      <c r="M455" s="9">
        <f t="shared" si="35"/>
        <v>3.843</v>
      </c>
      <c r="N455" s="8">
        <f t="shared" si="36"/>
        <v>4254.201</v>
      </c>
      <c r="O455" s="9">
        <f>_xlfn.XLOOKUP(G455,[1]!tblProductMaster[SKU],[1]!tblProductMaster[Unit Cost])</f>
        <v>2.2000000000000002</v>
      </c>
      <c r="P455" s="8">
        <f t="shared" si="37"/>
        <v>2435.4</v>
      </c>
      <c r="Q455" s="8">
        <f t="shared" si="38"/>
        <v>1818.8009999999999</v>
      </c>
      <c r="R455" s="4">
        <f t="shared" si="39"/>
        <v>0.42753057507155867</v>
      </c>
      <c r="S455" t="s">
        <v>94</v>
      </c>
      <c r="T455">
        <f>Table6[[#This Row],[Discount]]*Table6[[#This Row],[List Price]]*Table6[[#This Row],[Units]]</f>
        <v>1823.229</v>
      </c>
    </row>
    <row r="456" spans="1:20" x14ac:dyDescent="0.2">
      <c r="A456" t="s">
        <v>549</v>
      </c>
      <c r="B456" s="2">
        <v>46352.322311710719</v>
      </c>
      <c r="C456" t="s">
        <v>84</v>
      </c>
      <c r="D456" t="s">
        <v>96</v>
      </c>
      <c r="E456" t="s">
        <v>40</v>
      </c>
      <c r="F456" t="s">
        <v>18</v>
      </c>
      <c r="G456" t="s">
        <v>54</v>
      </c>
      <c r="H456" t="str">
        <f>_xlfn.XLOOKUP(Table6[[#This Row],[SKU]],tblProductMaster[SKU],tblProductMaster[Product])</f>
        <v>Fabric Softener</v>
      </c>
      <c r="I456">
        <v>731</v>
      </c>
      <c r="J456">
        <f>_xlfn.XLOOKUP(G456,[1]!tblProductMaster[SKU],[1]!tblProductMaster[List Price])</f>
        <v>5.49</v>
      </c>
      <c r="K456" t="s">
        <v>86</v>
      </c>
      <c r="L456" s="3">
        <v>0</v>
      </c>
      <c r="M456" s="9">
        <f t="shared" si="35"/>
        <v>5.49</v>
      </c>
      <c r="N456" s="8">
        <f t="shared" si="36"/>
        <v>4013.19</v>
      </c>
      <c r="O456" s="9">
        <f>_xlfn.XLOOKUP(G456,[1]!tblProductMaster[SKU],[1]!tblProductMaster[Unit Cost])</f>
        <v>2.4</v>
      </c>
      <c r="P456" s="8">
        <f t="shared" si="37"/>
        <v>1754.3999999999999</v>
      </c>
      <c r="Q456" s="8">
        <f t="shared" si="38"/>
        <v>2258.79</v>
      </c>
      <c r="R456" s="4">
        <f t="shared" si="39"/>
        <v>0.56284153005464477</v>
      </c>
      <c r="S456" t="s">
        <v>87</v>
      </c>
      <c r="T456">
        <f>Table6[[#This Row],[Discount]]*Table6[[#This Row],[List Price]]*Table6[[#This Row],[Units]]</f>
        <v>0</v>
      </c>
    </row>
    <row r="457" spans="1:20" x14ac:dyDescent="0.2">
      <c r="A457" t="s">
        <v>550</v>
      </c>
      <c r="B457" s="2">
        <v>46332.624885560268</v>
      </c>
      <c r="C457" t="s">
        <v>84</v>
      </c>
      <c r="D457" t="s">
        <v>104</v>
      </c>
      <c r="E457" t="s">
        <v>40</v>
      </c>
      <c r="F457" t="s">
        <v>15</v>
      </c>
      <c r="G457" t="s">
        <v>52</v>
      </c>
      <c r="H457" t="str">
        <f>_xlfn.XLOOKUP(Table6[[#This Row],[SKU]],tblProductMaster[SKU],tblProductMaster[Product])</f>
        <v>Laundry Pods</v>
      </c>
      <c r="I457">
        <v>1121</v>
      </c>
      <c r="J457">
        <f>_xlfn.XLOOKUP(G457,[1]!tblProductMaster[SKU],[1]!tblProductMaster[List Price])</f>
        <v>10.49</v>
      </c>
      <c r="K457" t="s">
        <v>89</v>
      </c>
      <c r="L457" s="3">
        <v>0.2</v>
      </c>
      <c r="M457" s="9">
        <f t="shared" si="35"/>
        <v>8.3920000000000012</v>
      </c>
      <c r="N457" s="8">
        <f t="shared" si="36"/>
        <v>9407.4320000000007</v>
      </c>
      <c r="O457" s="9">
        <f>_xlfn.XLOOKUP(G457,[1]!tblProductMaster[SKU],[1]!tblProductMaster[Unit Cost])</f>
        <v>4.5999999999999996</v>
      </c>
      <c r="P457" s="8">
        <f t="shared" si="37"/>
        <v>5156.5999999999995</v>
      </c>
      <c r="Q457" s="8">
        <f t="shared" si="38"/>
        <v>4250.8320000000012</v>
      </c>
      <c r="R457" s="4">
        <f t="shared" si="39"/>
        <v>0.45185891325071509</v>
      </c>
      <c r="S457" t="s">
        <v>99</v>
      </c>
      <c r="T457">
        <f>Table6[[#This Row],[Discount]]*Table6[[#This Row],[List Price]]*Table6[[#This Row],[Units]]</f>
        <v>2351.8580000000002</v>
      </c>
    </row>
    <row r="458" spans="1:20" x14ac:dyDescent="0.2">
      <c r="A458" t="s">
        <v>551</v>
      </c>
      <c r="B458" s="2">
        <v>46030.670425853583</v>
      </c>
      <c r="C458" t="s">
        <v>84</v>
      </c>
      <c r="D458" t="s">
        <v>104</v>
      </c>
      <c r="E458" t="s">
        <v>40</v>
      </c>
      <c r="F458" t="s">
        <v>15</v>
      </c>
      <c r="G458" t="s">
        <v>52</v>
      </c>
      <c r="H458" t="str">
        <f>_xlfn.XLOOKUP(Table6[[#This Row],[SKU]],tblProductMaster[SKU],tblProductMaster[Product])</f>
        <v>Laundry Pods</v>
      </c>
      <c r="I458">
        <v>718</v>
      </c>
      <c r="J458">
        <f>_xlfn.XLOOKUP(G458,[1]!tblProductMaster[SKU],[1]!tblProductMaster[List Price])</f>
        <v>10.49</v>
      </c>
      <c r="K458" t="s">
        <v>86</v>
      </c>
      <c r="L458" s="3">
        <v>0</v>
      </c>
      <c r="M458" s="9">
        <f t="shared" si="35"/>
        <v>10.49</v>
      </c>
      <c r="N458" s="8">
        <f t="shared" si="36"/>
        <v>7531.82</v>
      </c>
      <c r="O458" s="9">
        <f>_xlfn.XLOOKUP(G458,[1]!tblProductMaster[SKU],[1]!tblProductMaster[Unit Cost])</f>
        <v>4.5999999999999996</v>
      </c>
      <c r="P458" s="8">
        <f t="shared" si="37"/>
        <v>3302.7999999999997</v>
      </c>
      <c r="Q458" s="8">
        <f t="shared" si="38"/>
        <v>4229.0200000000004</v>
      </c>
      <c r="R458" s="4">
        <f t="shared" si="39"/>
        <v>0.56148713060057209</v>
      </c>
      <c r="S458" t="s">
        <v>87</v>
      </c>
      <c r="T458">
        <f>Table6[[#This Row],[Discount]]*Table6[[#This Row],[List Price]]*Table6[[#This Row],[Units]]</f>
        <v>0</v>
      </c>
    </row>
    <row r="459" spans="1:20" x14ac:dyDescent="0.2">
      <c r="A459" t="s">
        <v>552</v>
      </c>
      <c r="B459" s="2">
        <v>46032.577144548748</v>
      </c>
      <c r="C459" t="s">
        <v>93</v>
      </c>
      <c r="D459" t="s">
        <v>96</v>
      </c>
      <c r="E459" t="s">
        <v>56</v>
      </c>
      <c r="F459" t="s">
        <v>15</v>
      </c>
      <c r="G459" t="s">
        <v>55</v>
      </c>
      <c r="H459" t="str">
        <f>_xlfn.XLOOKUP(Table6[[#This Row],[SKU]],tblProductMaster[SKU],tblProductMaster[Product])</f>
        <v>Toothpaste 75ml</v>
      </c>
      <c r="I459">
        <v>747</v>
      </c>
      <c r="J459">
        <f>_xlfn.XLOOKUP(G459,[1]!tblProductMaster[SKU],[1]!tblProductMaster[List Price])</f>
        <v>3.49</v>
      </c>
      <c r="K459" t="s">
        <v>86</v>
      </c>
      <c r="L459" s="3">
        <v>0</v>
      </c>
      <c r="M459" s="9">
        <f t="shared" si="35"/>
        <v>3.49</v>
      </c>
      <c r="N459" s="8">
        <f t="shared" si="36"/>
        <v>2607.0300000000002</v>
      </c>
      <c r="O459" s="9">
        <f>_xlfn.XLOOKUP(G459,[1]!tblProductMaster[SKU],[1]!tblProductMaster[Unit Cost])</f>
        <v>1.2</v>
      </c>
      <c r="P459" s="8">
        <f t="shared" si="37"/>
        <v>896.4</v>
      </c>
      <c r="Q459" s="8">
        <f t="shared" si="38"/>
        <v>1710.63</v>
      </c>
      <c r="R459" s="4">
        <f t="shared" si="39"/>
        <v>0.65616045845272208</v>
      </c>
      <c r="S459" t="s">
        <v>87</v>
      </c>
      <c r="T459">
        <f>Table6[[#This Row],[Discount]]*Table6[[#This Row],[List Price]]*Table6[[#This Row],[Units]]</f>
        <v>0</v>
      </c>
    </row>
    <row r="460" spans="1:20" x14ac:dyDescent="0.2">
      <c r="A460" t="s">
        <v>553</v>
      </c>
      <c r="B460" s="2">
        <v>46163.40132360984</v>
      </c>
      <c r="C460" t="s">
        <v>98</v>
      </c>
      <c r="D460" t="s">
        <v>104</v>
      </c>
      <c r="E460" t="s">
        <v>40</v>
      </c>
      <c r="F460" t="s">
        <v>18</v>
      </c>
      <c r="G460" t="s">
        <v>50</v>
      </c>
      <c r="H460" t="str">
        <f>_xlfn.XLOOKUP(Table6[[#This Row],[SKU]],tblProductMaster[SKU],tblProductMaster[Product])</f>
        <v>Sensitive Detergent</v>
      </c>
      <c r="I460">
        <v>406</v>
      </c>
      <c r="J460">
        <f>_xlfn.XLOOKUP(G460,[1]!tblProductMaster[SKU],[1]!tblProductMaster[List Price])</f>
        <v>8.99</v>
      </c>
      <c r="K460" t="s">
        <v>86</v>
      </c>
      <c r="L460" s="3">
        <v>0</v>
      </c>
      <c r="M460" s="9">
        <f t="shared" si="35"/>
        <v>8.99</v>
      </c>
      <c r="N460" s="8">
        <f t="shared" si="36"/>
        <v>3649.94</v>
      </c>
      <c r="O460" s="9">
        <f>_xlfn.XLOOKUP(G460,[1]!tblProductMaster[SKU],[1]!tblProductMaster[Unit Cost])</f>
        <v>4</v>
      </c>
      <c r="P460" s="8">
        <f t="shared" si="37"/>
        <v>1624</v>
      </c>
      <c r="Q460" s="8">
        <f t="shared" si="38"/>
        <v>2025.94</v>
      </c>
      <c r="R460" s="4">
        <f t="shared" si="39"/>
        <v>0.55506117908787544</v>
      </c>
      <c r="S460" t="s">
        <v>87</v>
      </c>
      <c r="T460">
        <f>Table6[[#This Row],[Discount]]*Table6[[#This Row],[List Price]]*Table6[[#This Row],[Units]]</f>
        <v>0</v>
      </c>
    </row>
    <row r="461" spans="1:20" x14ac:dyDescent="0.2">
      <c r="A461" t="s">
        <v>554</v>
      </c>
      <c r="B461" s="2">
        <v>46214.054541761347</v>
      </c>
      <c r="C461" t="s">
        <v>98</v>
      </c>
      <c r="D461" t="s">
        <v>85</v>
      </c>
      <c r="E461" t="s">
        <v>56</v>
      </c>
      <c r="F461" t="s">
        <v>15</v>
      </c>
      <c r="G461" t="s">
        <v>62</v>
      </c>
      <c r="H461" t="str">
        <f>_xlfn.XLOOKUP(Table6[[#This Row],[SKU]],tblProductMaster[SKU],tblProductMaster[Product])</f>
        <v>Mouthwash 500ml</v>
      </c>
      <c r="I461">
        <v>607</v>
      </c>
      <c r="J461">
        <f>_xlfn.XLOOKUP(G461,[1]!tblProductMaster[SKU],[1]!tblProductMaster[List Price])</f>
        <v>5.99</v>
      </c>
      <c r="K461" t="s">
        <v>86</v>
      </c>
      <c r="L461" s="3">
        <v>0</v>
      </c>
      <c r="M461" s="9">
        <f t="shared" si="35"/>
        <v>5.99</v>
      </c>
      <c r="N461" s="8">
        <f t="shared" si="36"/>
        <v>3635.9300000000003</v>
      </c>
      <c r="O461" s="9">
        <f>_xlfn.XLOOKUP(G461,[1]!tblProductMaster[SKU],[1]!tblProductMaster[Unit Cost])</f>
        <v>2.4</v>
      </c>
      <c r="P461" s="8">
        <f t="shared" si="37"/>
        <v>1456.8</v>
      </c>
      <c r="Q461" s="8">
        <f t="shared" si="38"/>
        <v>2179.13</v>
      </c>
      <c r="R461" s="4">
        <f t="shared" si="39"/>
        <v>0.59933222036727873</v>
      </c>
      <c r="S461" t="s">
        <v>87</v>
      </c>
      <c r="T461">
        <f>Table6[[#This Row],[Discount]]*Table6[[#This Row],[List Price]]*Table6[[#This Row],[Units]]</f>
        <v>0</v>
      </c>
    </row>
    <row r="462" spans="1:20" x14ac:dyDescent="0.2">
      <c r="A462" t="s">
        <v>555</v>
      </c>
      <c r="B462" s="2">
        <v>46066.692045693009</v>
      </c>
      <c r="C462" t="s">
        <v>84</v>
      </c>
      <c r="D462" t="s">
        <v>96</v>
      </c>
      <c r="E462" t="s">
        <v>8</v>
      </c>
      <c r="F462" t="s">
        <v>18</v>
      </c>
      <c r="G462" t="s">
        <v>20</v>
      </c>
      <c r="H462" t="str">
        <f>_xlfn.XLOOKUP(Table6[[#This Row],[SKU]],tblProductMaster[SKU],tblProductMaster[Product])</f>
        <v>Hair Oil</v>
      </c>
      <c r="I462">
        <v>789</v>
      </c>
      <c r="J462">
        <f>_xlfn.XLOOKUP(G462,[1]!tblProductMaster[SKU],[1]!tblProductMaster[List Price])</f>
        <v>7.49</v>
      </c>
      <c r="K462" t="s">
        <v>86</v>
      </c>
      <c r="L462" s="3">
        <v>0</v>
      </c>
      <c r="M462" s="9">
        <f t="shared" si="35"/>
        <v>7.49</v>
      </c>
      <c r="N462" s="8">
        <f t="shared" si="36"/>
        <v>5909.6100000000006</v>
      </c>
      <c r="O462" s="9">
        <f>_xlfn.XLOOKUP(G462,[1]!tblProductMaster[SKU],[1]!tblProductMaster[Unit Cost])</f>
        <v>3.1</v>
      </c>
      <c r="P462" s="8">
        <f t="shared" si="37"/>
        <v>2445.9</v>
      </c>
      <c r="Q462" s="8">
        <f t="shared" si="38"/>
        <v>3463.7100000000005</v>
      </c>
      <c r="R462" s="4">
        <f t="shared" si="39"/>
        <v>0.58611481975967961</v>
      </c>
      <c r="S462" t="s">
        <v>87</v>
      </c>
      <c r="T462">
        <f>Table6[[#This Row],[Discount]]*Table6[[#This Row],[List Price]]*Table6[[#This Row],[Units]]</f>
        <v>0</v>
      </c>
    </row>
    <row r="463" spans="1:20" x14ac:dyDescent="0.2">
      <c r="A463" t="s">
        <v>556</v>
      </c>
      <c r="B463" s="2">
        <v>46246.029733650154</v>
      </c>
      <c r="C463" t="s">
        <v>98</v>
      </c>
      <c r="D463" t="s">
        <v>85</v>
      </c>
      <c r="E463" t="s">
        <v>25</v>
      </c>
      <c r="F463" t="s">
        <v>18</v>
      </c>
      <c r="G463" t="s">
        <v>27</v>
      </c>
      <c r="H463" t="str">
        <f>_xlfn.XLOOKUP(Table6[[#This Row],[SKU]],tblProductMaster[SKU],tblProductMaster[Product])</f>
        <v>Face Cream 50ml</v>
      </c>
      <c r="I463">
        <v>703</v>
      </c>
      <c r="J463">
        <f>_xlfn.XLOOKUP(G463,[1]!tblProductMaster[SKU],[1]!tblProductMaster[List Price])</f>
        <v>9.99</v>
      </c>
      <c r="K463" t="s">
        <v>86</v>
      </c>
      <c r="L463" s="3">
        <v>0</v>
      </c>
      <c r="M463" s="9">
        <f t="shared" si="35"/>
        <v>9.99</v>
      </c>
      <c r="N463" s="8">
        <f t="shared" si="36"/>
        <v>7022.97</v>
      </c>
      <c r="O463" s="9">
        <f>_xlfn.XLOOKUP(G463,[1]!tblProductMaster[SKU],[1]!tblProductMaster[Unit Cost])</f>
        <v>4.2</v>
      </c>
      <c r="P463" s="8">
        <f t="shared" si="37"/>
        <v>2952.6</v>
      </c>
      <c r="Q463" s="8">
        <f t="shared" si="38"/>
        <v>4070.3700000000003</v>
      </c>
      <c r="R463" s="4">
        <f t="shared" si="39"/>
        <v>0.57957957957957962</v>
      </c>
      <c r="S463" t="s">
        <v>87</v>
      </c>
      <c r="T463">
        <f>Table6[[#This Row],[Discount]]*Table6[[#This Row],[List Price]]*Table6[[#This Row],[Units]]</f>
        <v>0</v>
      </c>
    </row>
    <row r="464" spans="1:20" x14ac:dyDescent="0.2">
      <c r="A464" t="s">
        <v>557</v>
      </c>
      <c r="B464" s="2">
        <v>46088.790051166914</v>
      </c>
      <c r="C464" t="s">
        <v>98</v>
      </c>
      <c r="D464" t="s">
        <v>104</v>
      </c>
      <c r="E464" t="s">
        <v>8</v>
      </c>
      <c r="F464" t="s">
        <v>7</v>
      </c>
      <c r="G464" t="s">
        <v>6</v>
      </c>
      <c r="H464" t="str">
        <f>_xlfn.XLOOKUP(Table6[[#This Row],[SKU]],tblProductMaster[SKU],tblProductMaster[Product])</f>
        <v>Shampoo 250ml</v>
      </c>
      <c r="I464">
        <v>439</v>
      </c>
      <c r="J464">
        <f>_xlfn.XLOOKUP(G464,[1]!tblProductMaster[SKU],[1]!tblProductMaster[List Price])</f>
        <v>5.99</v>
      </c>
      <c r="K464" t="s">
        <v>86</v>
      </c>
      <c r="L464" s="3">
        <v>0</v>
      </c>
      <c r="M464" s="9">
        <f t="shared" si="35"/>
        <v>5.99</v>
      </c>
      <c r="N464" s="8">
        <f t="shared" si="36"/>
        <v>2629.61</v>
      </c>
      <c r="O464" s="9">
        <f>_xlfn.XLOOKUP(G464,[1]!tblProductMaster[SKU],[1]!tblProductMaster[Unit Cost])</f>
        <v>2.4</v>
      </c>
      <c r="P464" s="8">
        <f t="shared" si="37"/>
        <v>1053.5999999999999</v>
      </c>
      <c r="Q464" s="8">
        <f t="shared" si="38"/>
        <v>1576.0100000000002</v>
      </c>
      <c r="R464" s="4">
        <f t="shared" si="39"/>
        <v>0.59933222036727885</v>
      </c>
      <c r="S464" t="s">
        <v>87</v>
      </c>
      <c r="T464">
        <f>Table6[[#This Row],[Discount]]*Table6[[#This Row],[List Price]]*Table6[[#This Row],[Units]]</f>
        <v>0</v>
      </c>
    </row>
    <row r="465" spans="1:20" x14ac:dyDescent="0.2">
      <c r="A465" t="s">
        <v>558</v>
      </c>
      <c r="B465" s="2">
        <v>46054.989506034035</v>
      </c>
      <c r="C465" t="s">
        <v>98</v>
      </c>
      <c r="D465" t="s">
        <v>96</v>
      </c>
      <c r="E465" t="s">
        <v>56</v>
      </c>
      <c r="F465" t="s">
        <v>7</v>
      </c>
      <c r="G465" t="s">
        <v>58</v>
      </c>
      <c r="H465" t="str">
        <f>_xlfn.XLOOKUP(Table6[[#This Row],[SKU]],tblProductMaster[SKU],tblProductMaster[Product])</f>
        <v>Whitening Toothpaste</v>
      </c>
      <c r="I465">
        <v>317</v>
      </c>
      <c r="J465">
        <f>_xlfn.XLOOKUP(G465,[1]!tblProductMaster[SKU],[1]!tblProductMaster[List Price])</f>
        <v>4.99</v>
      </c>
      <c r="K465" t="s">
        <v>86</v>
      </c>
      <c r="L465" s="3">
        <v>0</v>
      </c>
      <c r="M465" s="9">
        <f t="shared" si="35"/>
        <v>4.99</v>
      </c>
      <c r="N465" s="8">
        <f t="shared" si="36"/>
        <v>1581.8300000000002</v>
      </c>
      <c r="O465" s="9">
        <f>_xlfn.XLOOKUP(G465,[1]!tblProductMaster[SKU],[1]!tblProductMaster[Unit Cost])</f>
        <v>1.8</v>
      </c>
      <c r="P465" s="8">
        <f t="shared" si="37"/>
        <v>570.6</v>
      </c>
      <c r="Q465" s="8">
        <f t="shared" si="38"/>
        <v>1011.2300000000001</v>
      </c>
      <c r="R465" s="4">
        <f t="shared" si="39"/>
        <v>0.63927855711422843</v>
      </c>
      <c r="S465" t="s">
        <v>87</v>
      </c>
      <c r="T465">
        <f>Table6[[#This Row],[Discount]]*Table6[[#This Row],[List Price]]*Table6[[#This Row],[Units]]</f>
        <v>0</v>
      </c>
    </row>
    <row r="466" spans="1:20" x14ac:dyDescent="0.2">
      <c r="A466" t="s">
        <v>559</v>
      </c>
      <c r="B466" s="2">
        <v>46196.331764872753</v>
      </c>
      <c r="C466" t="s">
        <v>93</v>
      </c>
      <c r="D466" t="s">
        <v>104</v>
      </c>
      <c r="E466" t="s">
        <v>8</v>
      </c>
      <c r="F466" t="s">
        <v>7</v>
      </c>
      <c r="G466" t="s">
        <v>6</v>
      </c>
      <c r="H466" t="str">
        <f>_xlfn.XLOOKUP(Table6[[#This Row],[SKU]],tblProductMaster[SKU],tblProductMaster[Product])</f>
        <v>Shampoo 250ml</v>
      </c>
      <c r="I466">
        <v>502</v>
      </c>
      <c r="J466">
        <f>_xlfn.XLOOKUP(G466,[1]!tblProductMaster[SKU],[1]!tblProductMaster[List Price])</f>
        <v>5.99</v>
      </c>
      <c r="K466" t="s">
        <v>86</v>
      </c>
      <c r="L466" s="3">
        <v>0</v>
      </c>
      <c r="M466" s="9">
        <f t="shared" si="35"/>
        <v>5.99</v>
      </c>
      <c r="N466" s="8">
        <f t="shared" si="36"/>
        <v>3006.98</v>
      </c>
      <c r="O466" s="9">
        <f>_xlfn.XLOOKUP(G466,[1]!tblProductMaster[SKU],[1]!tblProductMaster[Unit Cost])</f>
        <v>2.4</v>
      </c>
      <c r="P466" s="8">
        <f t="shared" si="37"/>
        <v>1204.8</v>
      </c>
      <c r="Q466" s="8">
        <f t="shared" si="38"/>
        <v>1802.18</v>
      </c>
      <c r="R466" s="4">
        <f t="shared" si="39"/>
        <v>0.59933222036727885</v>
      </c>
      <c r="S466" t="s">
        <v>87</v>
      </c>
      <c r="T466">
        <f>Table6[[#This Row],[Discount]]*Table6[[#This Row],[List Price]]*Table6[[#This Row],[Units]]</f>
        <v>0</v>
      </c>
    </row>
    <row r="467" spans="1:20" x14ac:dyDescent="0.2">
      <c r="A467" t="s">
        <v>560</v>
      </c>
      <c r="B467" s="2">
        <v>46297.04140724567</v>
      </c>
      <c r="C467" t="s">
        <v>84</v>
      </c>
      <c r="D467" t="s">
        <v>96</v>
      </c>
      <c r="E467" t="s">
        <v>8</v>
      </c>
      <c r="F467" t="s">
        <v>18</v>
      </c>
      <c r="G467" t="s">
        <v>17</v>
      </c>
      <c r="H467" t="str">
        <f>_xlfn.XLOOKUP(Table6[[#This Row],[SKU]],tblProductMaster[SKU],tblProductMaster[Product])</f>
        <v>Anti-Dandruff Shampoo</v>
      </c>
      <c r="I467">
        <v>274</v>
      </c>
      <c r="J467">
        <f>_xlfn.XLOOKUP(G467,[1]!tblProductMaster[SKU],[1]!tblProductMaster[List Price])</f>
        <v>6.49</v>
      </c>
      <c r="K467" t="s">
        <v>86</v>
      </c>
      <c r="L467" s="3">
        <v>0</v>
      </c>
      <c r="M467" s="9">
        <f t="shared" si="35"/>
        <v>6.49</v>
      </c>
      <c r="N467" s="8">
        <f t="shared" si="36"/>
        <v>1778.26</v>
      </c>
      <c r="O467" s="9">
        <f>_xlfn.XLOOKUP(G467,[1]!tblProductMaster[SKU],[1]!tblProductMaster[Unit Cost])</f>
        <v>2.8</v>
      </c>
      <c r="P467" s="8">
        <f t="shared" si="37"/>
        <v>767.19999999999993</v>
      </c>
      <c r="Q467" s="8">
        <f t="shared" si="38"/>
        <v>1011.0600000000001</v>
      </c>
      <c r="R467" s="4">
        <f t="shared" si="39"/>
        <v>0.5685670261941449</v>
      </c>
      <c r="S467" t="s">
        <v>87</v>
      </c>
      <c r="T467">
        <f>Table6[[#This Row],[Discount]]*Table6[[#This Row],[List Price]]*Table6[[#This Row],[Units]]</f>
        <v>0</v>
      </c>
    </row>
    <row r="468" spans="1:20" x14ac:dyDescent="0.2">
      <c r="A468" t="s">
        <v>561</v>
      </c>
      <c r="B468" s="2">
        <v>46278.205383334527</v>
      </c>
      <c r="C468" t="s">
        <v>98</v>
      </c>
      <c r="D468" t="s">
        <v>85</v>
      </c>
      <c r="E468" t="s">
        <v>25</v>
      </c>
      <c r="F468" t="s">
        <v>18</v>
      </c>
      <c r="G468" t="s">
        <v>27</v>
      </c>
      <c r="H468" t="str">
        <f>_xlfn.XLOOKUP(Table6[[#This Row],[SKU]],tblProductMaster[SKU],tblProductMaster[Product])</f>
        <v>Face Cream 50ml</v>
      </c>
      <c r="I468">
        <v>272</v>
      </c>
      <c r="J468">
        <f>_xlfn.XLOOKUP(G468,[1]!tblProductMaster[SKU],[1]!tblProductMaster[List Price])</f>
        <v>9.99</v>
      </c>
      <c r="K468" t="s">
        <v>86</v>
      </c>
      <c r="L468" s="3">
        <v>0</v>
      </c>
      <c r="M468" s="9">
        <f t="shared" si="35"/>
        <v>9.99</v>
      </c>
      <c r="N468" s="8">
        <f t="shared" si="36"/>
        <v>2717.28</v>
      </c>
      <c r="O468" s="9">
        <f>_xlfn.XLOOKUP(G468,[1]!tblProductMaster[SKU],[1]!tblProductMaster[Unit Cost])</f>
        <v>4.2</v>
      </c>
      <c r="P468" s="8">
        <f t="shared" si="37"/>
        <v>1142.4000000000001</v>
      </c>
      <c r="Q468" s="8">
        <f t="shared" si="38"/>
        <v>1574.88</v>
      </c>
      <c r="R468" s="4">
        <f t="shared" si="39"/>
        <v>0.57957957957957962</v>
      </c>
      <c r="S468" t="s">
        <v>87</v>
      </c>
      <c r="T468">
        <f>Table6[[#This Row],[Discount]]*Table6[[#This Row],[List Price]]*Table6[[#This Row],[Units]]</f>
        <v>0</v>
      </c>
    </row>
    <row r="469" spans="1:20" x14ac:dyDescent="0.2">
      <c r="A469" t="s">
        <v>562</v>
      </c>
      <c r="B469" s="2">
        <v>46122.434698894853</v>
      </c>
      <c r="C469" t="s">
        <v>98</v>
      </c>
      <c r="D469" t="s">
        <v>104</v>
      </c>
      <c r="E469" t="s">
        <v>56</v>
      </c>
      <c r="F469" t="s">
        <v>7</v>
      </c>
      <c r="G469" t="s">
        <v>58</v>
      </c>
      <c r="H469" t="str">
        <f>_xlfn.XLOOKUP(Table6[[#This Row],[SKU]],tblProductMaster[SKU],tblProductMaster[Product])</f>
        <v>Whitening Toothpaste</v>
      </c>
      <c r="I469">
        <v>650</v>
      </c>
      <c r="J469">
        <f>_xlfn.XLOOKUP(G469,[1]!tblProductMaster[SKU],[1]!tblProductMaster[List Price])</f>
        <v>4.99</v>
      </c>
      <c r="K469" t="s">
        <v>86</v>
      </c>
      <c r="L469" s="3">
        <v>0</v>
      </c>
      <c r="M469" s="9">
        <f t="shared" si="35"/>
        <v>4.99</v>
      </c>
      <c r="N469" s="8">
        <f t="shared" si="36"/>
        <v>3243.5</v>
      </c>
      <c r="O469" s="9">
        <f>_xlfn.XLOOKUP(G469,[1]!tblProductMaster[SKU],[1]!tblProductMaster[Unit Cost])</f>
        <v>1.8</v>
      </c>
      <c r="P469" s="8">
        <f t="shared" si="37"/>
        <v>1170</v>
      </c>
      <c r="Q469" s="8">
        <f t="shared" si="38"/>
        <v>2073.5</v>
      </c>
      <c r="R469" s="4">
        <f t="shared" si="39"/>
        <v>0.63927855711422843</v>
      </c>
      <c r="S469" t="s">
        <v>87</v>
      </c>
      <c r="T469">
        <f>Table6[[#This Row],[Discount]]*Table6[[#This Row],[List Price]]*Table6[[#This Row],[Units]]</f>
        <v>0</v>
      </c>
    </row>
    <row r="470" spans="1:20" x14ac:dyDescent="0.2">
      <c r="A470" t="s">
        <v>563</v>
      </c>
      <c r="B470" s="2">
        <v>46158.80222163994</v>
      </c>
      <c r="C470" t="s">
        <v>93</v>
      </c>
      <c r="D470" t="s">
        <v>104</v>
      </c>
      <c r="E470" t="s">
        <v>25</v>
      </c>
      <c r="F470" t="s">
        <v>15</v>
      </c>
      <c r="G470" t="s">
        <v>35</v>
      </c>
      <c r="H470" t="str">
        <f>_xlfn.XLOOKUP(Table6[[#This Row],[SKU]],tblProductMaster[SKU],tblProductMaster[Product])</f>
        <v>Hand Cream</v>
      </c>
      <c r="I470">
        <v>473</v>
      </c>
      <c r="J470">
        <f>_xlfn.XLOOKUP(G470,[1]!tblProductMaster[SKU],[1]!tblProductMaster[List Price])</f>
        <v>4.99</v>
      </c>
      <c r="K470" t="s">
        <v>86</v>
      </c>
      <c r="L470" s="3">
        <v>0</v>
      </c>
      <c r="M470" s="9">
        <f t="shared" si="35"/>
        <v>4.99</v>
      </c>
      <c r="N470" s="8">
        <f t="shared" si="36"/>
        <v>2360.27</v>
      </c>
      <c r="O470" s="9">
        <f>_xlfn.XLOOKUP(G470,[1]!tblProductMaster[SKU],[1]!tblProductMaster[Unit Cost])</f>
        <v>2.1</v>
      </c>
      <c r="P470" s="8">
        <f t="shared" si="37"/>
        <v>993.30000000000007</v>
      </c>
      <c r="Q470" s="8">
        <f t="shared" si="38"/>
        <v>1366.9699999999998</v>
      </c>
      <c r="R470" s="4">
        <f t="shared" si="39"/>
        <v>0.57915831663326645</v>
      </c>
      <c r="S470" t="s">
        <v>87</v>
      </c>
      <c r="T470">
        <f>Table6[[#This Row],[Discount]]*Table6[[#This Row],[List Price]]*Table6[[#This Row],[Units]]</f>
        <v>0</v>
      </c>
    </row>
    <row r="471" spans="1:20" x14ac:dyDescent="0.2">
      <c r="A471" t="s">
        <v>564</v>
      </c>
      <c r="B471" s="2">
        <v>46063.847344767928</v>
      </c>
      <c r="C471" t="s">
        <v>93</v>
      </c>
      <c r="D471" t="s">
        <v>104</v>
      </c>
      <c r="E471" t="s">
        <v>8</v>
      </c>
      <c r="F471" t="s">
        <v>7</v>
      </c>
      <c r="G471" t="s">
        <v>10</v>
      </c>
      <c r="H471" t="str">
        <f>_xlfn.XLOOKUP(Table6[[#This Row],[SKU]],tblProductMaster[SKU],tblProductMaster[Product])</f>
        <v>Shampoo 500ml</v>
      </c>
      <c r="I471">
        <v>571</v>
      </c>
      <c r="J471">
        <f>_xlfn.XLOOKUP(G471,[1]!tblProductMaster[SKU],[1]!tblProductMaster[List Price])</f>
        <v>8.99</v>
      </c>
      <c r="K471" t="s">
        <v>86</v>
      </c>
      <c r="L471" s="3">
        <v>0</v>
      </c>
      <c r="M471" s="9">
        <f t="shared" si="35"/>
        <v>8.99</v>
      </c>
      <c r="N471" s="8">
        <f t="shared" si="36"/>
        <v>5133.29</v>
      </c>
      <c r="O471" s="9">
        <f>_xlfn.XLOOKUP(G471,[1]!tblProductMaster[SKU],[1]!tblProductMaster[Unit Cost])</f>
        <v>3.6</v>
      </c>
      <c r="P471" s="8">
        <f t="shared" si="37"/>
        <v>2055.6</v>
      </c>
      <c r="Q471" s="8">
        <f t="shared" si="38"/>
        <v>3077.69</v>
      </c>
      <c r="R471" s="4">
        <f t="shared" si="39"/>
        <v>0.59955506117908786</v>
      </c>
      <c r="S471" t="s">
        <v>87</v>
      </c>
      <c r="T471">
        <f>Table6[[#This Row],[Discount]]*Table6[[#This Row],[List Price]]*Table6[[#This Row],[Units]]</f>
        <v>0</v>
      </c>
    </row>
    <row r="472" spans="1:20" x14ac:dyDescent="0.2">
      <c r="A472" t="s">
        <v>565</v>
      </c>
      <c r="B472" s="2">
        <v>46347.290533079999</v>
      </c>
      <c r="C472" t="s">
        <v>98</v>
      </c>
      <c r="D472" t="s">
        <v>85</v>
      </c>
      <c r="E472" t="s">
        <v>40</v>
      </c>
      <c r="F472" t="s">
        <v>7</v>
      </c>
      <c r="G472" t="s">
        <v>48</v>
      </c>
      <c r="H472" t="str">
        <f>_xlfn.XLOOKUP(Table6[[#This Row],[SKU]],tblProductMaster[SKU],tblProductMaster[Product])</f>
        <v>Color Detergent</v>
      </c>
      <c r="I472">
        <v>370</v>
      </c>
      <c r="J472">
        <f>_xlfn.XLOOKUP(G472,[1]!tblProductMaster[SKU],[1]!tblProductMaster[List Price])</f>
        <v>9.49</v>
      </c>
      <c r="K472" t="s">
        <v>86</v>
      </c>
      <c r="L472" s="3">
        <v>0</v>
      </c>
      <c r="M472" s="9">
        <f t="shared" si="35"/>
        <v>9.49</v>
      </c>
      <c r="N472" s="8">
        <f t="shared" si="36"/>
        <v>3511.3</v>
      </c>
      <c r="O472" s="9">
        <f>_xlfn.XLOOKUP(G472,[1]!tblProductMaster[SKU],[1]!tblProductMaster[Unit Cost])</f>
        <v>4</v>
      </c>
      <c r="P472" s="8">
        <f t="shared" si="37"/>
        <v>1480</v>
      </c>
      <c r="Q472" s="8">
        <f t="shared" si="38"/>
        <v>2031.3000000000002</v>
      </c>
      <c r="R472" s="4">
        <f t="shared" si="39"/>
        <v>0.57850368809272923</v>
      </c>
      <c r="S472" t="s">
        <v>87</v>
      </c>
      <c r="T472">
        <f>Table6[[#This Row],[Discount]]*Table6[[#This Row],[List Price]]*Table6[[#This Row],[Units]]</f>
        <v>0</v>
      </c>
    </row>
    <row r="473" spans="1:20" x14ac:dyDescent="0.2">
      <c r="A473" t="s">
        <v>566</v>
      </c>
      <c r="B473" s="2">
        <v>46361.158345783304</v>
      </c>
      <c r="C473" t="s">
        <v>98</v>
      </c>
      <c r="D473" t="s">
        <v>85</v>
      </c>
      <c r="E473" t="s">
        <v>40</v>
      </c>
      <c r="F473" t="s">
        <v>18</v>
      </c>
      <c r="G473" t="s">
        <v>54</v>
      </c>
      <c r="H473" t="str">
        <f>_xlfn.XLOOKUP(Table6[[#This Row],[SKU]],tblProductMaster[SKU],tblProductMaster[Product])</f>
        <v>Fabric Softener</v>
      </c>
      <c r="I473">
        <v>674</v>
      </c>
      <c r="J473">
        <f>_xlfn.XLOOKUP(G473,[1]!tblProductMaster[SKU],[1]!tblProductMaster[List Price])</f>
        <v>5.49</v>
      </c>
      <c r="K473" t="s">
        <v>89</v>
      </c>
      <c r="L473" s="3">
        <v>0.1</v>
      </c>
      <c r="M473" s="9">
        <f t="shared" si="35"/>
        <v>4.9410000000000007</v>
      </c>
      <c r="N473" s="8">
        <f t="shared" si="36"/>
        <v>3330.2340000000004</v>
      </c>
      <c r="O473" s="9">
        <f>_xlfn.XLOOKUP(G473,[1]!tblProductMaster[SKU],[1]!tblProductMaster[Unit Cost])</f>
        <v>2.4</v>
      </c>
      <c r="P473" s="8">
        <f t="shared" si="37"/>
        <v>1617.6</v>
      </c>
      <c r="Q473" s="8">
        <f t="shared" si="38"/>
        <v>1712.6340000000005</v>
      </c>
      <c r="R473" s="4">
        <f t="shared" si="39"/>
        <v>0.51426836672738319</v>
      </c>
      <c r="S473" t="s">
        <v>99</v>
      </c>
      <c r="T473">
        <f>Table6[[#This Row],[Discount]]*Table6[[#This Row],[List Price]]*Table6[[#This Row],[Units]]</f>
        <v>370.02600000000001</v>
      </c>
    </row>
    <row r="474" spans="1:20" x14ac:dyDescent="0.2">
      <c r="A474" t="s">
        <v>567</v>
      </c>
      <c r="B474" s="2">
        <v>46349.696289686137</v>
      </c>
      <c r="C474" t="s">
        <v>98</v>
      </c>
      <c r="D474" t="s">
        <v>104</v>
      </c>
      <c r="E474" t="s">
        <v>40</v>
      </c>
      <c r="F474" t="s">
        <v>18</v>
      </c>
      <c r="G474" t="s">
        <v>42</v>
      </c>
      <c r="H474" t="str">
        <f>_xlfn.XLOOKUP(Table6[[#This Row],[SKU]],tblProductMaster[SKU],tblProductMaster[Product])</f>
        <v>Detergent Capsules</v>
      </c>
      <c r="I474">
        <v>430</v>
      </c>
      <c r="J474">
        <f>_xlfn.XLOOKUP(G474,[1]!tblProductMaster[SKU],[1]!tblProductMaster[List Price])</f>
        <v>11.99</v>
      </c>
      <c r="K474" t="s">
        <v>86</v>
      </c>
      <c r="L474" s="3">
        <v>0</v>
      </c>
      <c r="M474" s="9">
        <f t="shared" si="35"/>
        <v>11.99</v>
      </c>
      <c r="N474" s="8">
        <f t="shared" si="36"/>
        <v>5155.7</v>
      </c>
      <c r="O474" s="9">
        <f>_xlfn.XLOOKUP(G474,[1]!tblProductMaster[SKU],[1]!tblProductMaster[Unit Cost])</f>
        <v>5.2</v>
      </c>
      <c r="P474" s="8">
        <f t="shared" si="37"/>
        <v>2236</v>
      </c>
      <c r="Q474" s="8">
        <f t="shared" si="38"/>
        <v>2919.7</v>
      </c>
      <c r="R474" s="4">
        <f t="shared" si="39"/>
        <v>0.56630525437864887</v>
      </c>
      <c r="S474" t="s">
        <v>87</v>
      </c>
      <c r="T474">
        <f>Table6[[#This Row],[Discount]]*Table6[[#This Row],[List Price]]*Table6[[#This Row],[Units]]</f>
        <v>0</v>
      </c>
    </row>
    <row r="475" spans="1:20" x14ac:dyDescent="0.2">
      <c r="A475" t="s">
        <v>568</v>
      </c>
      <c r="B475" s="2">
        <v>46089.551861591848</v>
      </c>
      <c r="C475" t="s">
        <v>93</v>
      </c>
      <c r="D475" t="s">
        <v>104</v>
      </c>
      <c r="E475" t="s">
        <v>56</v>
      </c>
      <c r="F475" t="s">
        <v>7</v>
      </c>
      <c r="G475" t="s">
        <v>66</v>
      </c>
      <c r="H475" t="str">
        <f>_xlfn.XLOOKUP(Table6[[#This Row],[SKU]],tblProductMaster[SKU],tblProductMaster[Product])</f>
        <v>Electric Brush Heads</v>
      </c>
      <c r="I475">
        <v>785</v>
      </c>
      <c r="J475">
        <f>_xlfn.XLOOKUP(G475,[1]!tblProductMaster[SKU],[1]!tblProductMaster[List Price])</f>
        <v>12.99</v>
      </c>
      <c r="K475" t="s">
        <v>86</v>
      </c>
      <c r="L475" s="3">
        <v>0</v>
      </c>
      <c r="M475" s="9">
        <f t="shared" si="35"/>
        <v>12.99</v>
      </c>
      <c r="N475" s="8">
        <f t="shared" si="36"/>
        <v>10197.15</v>
      </c>
      <c r="O475" s="9">
        <f>_xlfn.XLOOKUP(G475,[1]!tblProductMaster[SKU],[1]!tblProductMaster[Unit Cost])</f>
        <v>5.2</v>
      </c>
      <c r="P475" s="8">
        <f t="shared" si="37"/>
        <v>4082</v>
      </c>
      <c r="Q475" s="8">
        <f t="shared" si="38"/>
        <v>6115.15</v>
      </c>
      <c r="R475" s="4">
        <f t="shared" si="39"/>
        <v>0.59969207082371057</v>
      </c>
      <c r="S475" t="s">
        <v>87</v>
      </c>
      <c r="T475">
        <f>Table6[[#This Row],[Discount]]*Table6[[#This Row],[List Price]]*Table6[[#This Row],[Units]]</f>
        <v>0</v>
      </c>
    </row>
    <row r="476" spans="1:20" x14ac:dyDescent="0.2">
      <c r="A476" t="s">
        <v>569</v>
      </c>
      <c r="B476" s="2">
        <v>46372.042468024847</v>
      </c>
      <c r="C476" t="s">
        <v>84</v>
      </c>
      <c r="D476" t="s">
        <v>96</v>
      </c>
      <c r="E476" t="s">
        <v>8</v>
      </c>
      <c r="F476" t="s">
        <v>7</v>
      </c>
      <c r="G476" t="s">
        <v>10</v>
      </c>
      <c r="H476" t="str">
        <f>_xlfn.XLOOKUP(Table6[[#This Row],[SKU]],tblProductMaster[SKU],tblProductMaster[Product])</f>
        <v>Shampoo 500ml</v>
      </c>
      <c r="I476">
        <v>255</v>
      </c>
      <c r="J476">
        <f>_xlfn.XLOOKUP(G476,[1]!tblProductMaster[SKU],[1]!tblProductMaster[List Price])</f>
        <v>8.99</v>
      </c>
      <c r="K476" t="s">
        <v>86</v>
      </c>
      <c r="L476" s="3">
        <v>0</v>
      </c>
      <c r="M476" s="9">
        <f t="shared" si="35"/>
        <v>8.99</v>
      </c>
      <c r="N476" s="8">
        <f t="shared" si="36"/>
        <v>2292.4500000000003</v>
      </c>
      <c r="O476" s="9">
        <f>_xlfn.XLOOKUP(G476,[1]!tblProductMaster[SKU],[1]!tblProductMaster[Unit Cost])</f>
        <v>3.6</v>
      </c>
      <c r="P476" s="8">
        <f t="shared" si="37"/>
        <v>918</v>
      </c>
      <c r="Q476" s="8">
        <f t="shared" si="38"/>
        <v>1374.4500000000003</v>
      </c>
      <c r="R476" s="4">
        <f t="shared" si="39"/>
        <v>0.59955506117908797</v>
      </c>
      <c r="S476" t="s">
        <v>87</v>
      </c>
      <c r="T476">
        <f>Table6[[#This Row],[Discount]]*Table6[[#This Row],[List Price]]*Table6[[#This Row],[Units]]</f>
        <v>0</v>
      </c>
    </row>
    <row r="477" spans="1:20" x14ac:dyDescent="0.2">
      <c r="A477" t="s">
        <v>570</v>
      </c>
      <c r="B477" s="2">
        <v>46312.002361989798</v>
      </c>
      <c r="C477" t="s">
        <v>84</v>
      </c>
      <c r="D477" t="s">
        <v>85</v>
      </c>
      <c r="E477" t="s">
        <v>25</v>
      </c>
      <c r="F477" t="s">
        <v>15</v>
      </c>
      <c r="G477" t="s">
        <v>29</v>
      </c>
      <c r="H477" t="str">
        <f>_xlfn.XLOOKUP(Table6[[#This Row],[SKU]],tblProductMaster[SKU],tblProductMaster[Product])</f>
        <v>Shower Gel 250ml</v>
      </c>
      <c r="I477">
        <v>474</v>
      </c>
      <c r="J477">
        <f>_xlfn.XLOOKUP(G477,[1]!tblProductMaster[SKU],[1]!tblProductMaster[List Price])</f>
        <v>4.49</v>
      </c>
      <c r="K477" t="s">
        <v>86</v>
      </c>
      <c r="L477" s="3">
        <v>0</v>
      </c>
      <c r="M477" s="9">
        <f t="shared" si="35"/>
        <v>4.49</v>
      </c>
      <c r="N477" s="8">
        <f t="shared" si="36"/>
        <v>2128.2600000000002</v>
      </c>
      <c r="O477" s="9">
        <f>_xlfn.XLOOKUP(G477,[1]!tblProductMaster[SKU],[1]!tblProductMaster[Unit Cost])</f>
        <v>1.9</v>
      </c>
      <c r="P477" s="8">
        <f t="shared" si="37"/>
        <v>900.59999999999991</v>
      </c>
      <c r="Q477" s="8">
        <f t="shared" si="38"/>
        <v>1227.6600000000003</v>
      </c>
      <c r="R477" s="4">
        <f t="shared" si="39"/>
        <v>0.57683741648106912</v>
      </c>
      <c r="S477" t="s">
        <v>87</v>
      </c>
      <c r="T477">
        <f>Table6[[#This Row],[Discount]]*Table6[[#This Row],[List Price]]*Table6[[#This Row],[Units]]</f>
        <v>0</v>
      </c>
    </row>
    <row r="478" spans="1:20" x14ac:dyDescent="0.2">
      <c r="A478" t="s">
        <v>571</v>
      </c>
      <c r="B478" s="2">
        <v>46134.083622303675</v>
      </c>
      <c r="C478" t="s">
        <v>93</v>
      </c>
      <c r="D478" t="s">
        <v>96</v>
      </c>
      <c r="E478" t="s">
        <v>25</v>
      </c>
      <c r="F478" t="s">
        <v>15</v>
      </c>
      <c r="G478" t="s">
        <v>29</v>
      </c>
      <c r="H478" t="str">
        <f>_xlfn.XLOOKUP(Table6[[#This Row],[SKU]],tblProductMaster[SKU],tblProductMaster[Product])</f>
        <v>Shower Gel 250ml</v>
      </c>
      <c r="I478">
        <v>597</v>
      </c>
      <c r="J478">
        <f>_xlfn.XLOOKUP(G478,[1]!tblProductMaster[SKU],[1]!tblProductMaster[List Price])</f>
        <v>4.49</v>
      </c>
      <c r="K478" t="s">
        <v>86</v>
      </c>
      <c r="L478" s="3">
        <v>0</v>
      </c>
      <c r="M478" s="9">
        <f t="shared" si="35"/>
        <v>4.49</v>
      </c>
      <c r="N478" s="8">
        <f t="shared" si="36"/>
        <v>2680.53</v>
      </c>
      <c r="O478" s="9">
        <f>_xlfn.XLOOKUP(G478,[1]!tblProductMaster[SKU],[1]!tblProductMaster[Unit Cost])</f>
        <v>1.9</v>
      </c>
      <c r="P478" s="8">
        <f t="shared" si="37"/>
        <v>1134.3</v>
      </c>
      <c r="Q478" s="8">
        <f t="shared" si="38"/>
        <v>1546.2300000000002</v>
      </c>
      <c r="R478" s="4">
        <f t="shared" si="39"/>
        <v>0.57683741648106912</v>
      </c>
      <c r="S478" t="s">
        <v>87</v>
      </c>
      <c r="T478">
        <f>Table6[[#This Row],[Discount]]*Table6[[#This Row],[List Price]]*Table6[[#This Row],[Units]]</f>
        <v>0</v>
      </c>
    </row>
    <row r="479" spans="1:20" x14ac:dyDescent="0.2">
      <c r="A479" t="s">
        <v>572</v>
      </c>
      <c r="B479" s="2">
        <v>46059.609104118324</v>
      </c>
      <c r="C479" t="s">
        <v>98</v>
      </c>
      <c r="D479" t="s">
        <v>85</v>
      </c>
      <c r="E479" t="s">
        <v>8</v>
      </c>
      <c r="F479" t="s">
        <v>7</v>
      </c>
      <c r="G479" t="s">
        <v>12</v>
      </c>
      <c r="H479" t="str">
        <f>_xlfn.XLOOKUP(Table6[[#This Row],[SKU]],tblProductMaster[SKU],tblProductMaster[Product])</f>
        <v>Conditioner 250ml</v>
      </c>
      <c r="I479">
        <v>394</v>
      </c>
      <c r="J479">
        <f>_xlfn.XLOOKUP(G479,[1]!tblProductMaster[SKU],[1]!tblProductMaster[List Price])</f>
        <v>5.49</v>
      </c>
      <c r="K479" t="s">
        <v>86</v>
      </c>
      <c r="L479" s="3">
        <v>0</v>
      </c>
      <c r="M479" s="9">
        <f t="shared" si="35"/>
        <v>5.49</v>
      </c>
      <c r="N479" s="8">
        <f t="shared" si="36"/>
        <v>2163.06</v>
      </c>
      <c r="O479" s="9">
        <f>_xlfn.XLOOKUP(G479,[1]!tblProductMaster[SKU],[1]!tblProductMaster[Unit Cost])</f>
        <v>2.2000000000000002</v>
      </c>
      <c r="P479" s="8">
        <f t="shared" si="37"/>
        <v>866.80000000000007</v>
      </c>
      <c r="Q479" s="8">
        <f t="shared" si="38"/>
        <v>1296.2599999999998</v>
      </c>
      <c r="R479" s="4">
        <f t="shared" si="39"/>
        <v>0.59927140255009093</v>
      </c>
      <c r="S479" t="s">
        <v>87</v>
      </c>
      <c r="T479">
        <f>Table6[[#This Row],[Discount]]*Table6[[#This Row],[List Price]]*Table6[[#This Row],[Units]]</f>
        <v>0</v>
      </c>
    </row>
    <row r="480" spans="1:20" x14ac:dyDescent="0.2">
      <c r="A480" t="s">
        <v>573</v>
      </c>
      <c r="B480" s="2">
        <v>46317.458006365887</v>
      </c>
      <c r="C480" t="s">
        <v>84</v>
      </c>
      <c r="D480" t="s">
        <v>85</v>
      </c>
      <c r="E480" t="s">
        <v>8</v>
      </c>
      <c r="F480" t="s">
        <v>15</v>
      </c>
      <c r="G480" t="s">
        <v>22</v>
      </c>
      <c r="H480" t="str">
        <f>_xlfn.XLOOKUP(Table6[[#This Row],[SKU]],tblProductMaster[SKU],tblProductMaster[Product])</f>
        <v>Styling Gel</v>
      </c>
      <c r="I480">
        <v>847</v>
      </c>
      <c r="J480">
        <f>_xlfn.XLOOKUP(G480,[1]!tblProductMaster[SKU],[1]!tblProductMaster[List Price])</f>
        <v>4.49</v>
      </c>
      <c r="K480" t="s">
        <v>89</v>
      </c>
      <c r="L480" s="3">
        <v>0.1</v>
      </c>
      <c r="M480" s="9">
        <f t="shared" si="35"/>
        <v>4.0410000000000004</v>
      </c>
      <c r="N480" s="8">
        <f t="shared" si="36"/>
        <v>3422.7270000000003</v>
      </c>
      <c r="O480" s="9">
        <f>_xlfn.XLOOKUP(G480,[1]!tblProductMaster[SKU],[1]!tblProductMaster[Unit Cost])</f>
        <v>1.9</v>
      </c>
      <c r="P480" s="8">
        <f t="shared" si="37"/>
        <v>1609.3</v>
      </c>
      <c r="Q480" s="8">
        <f t="shared" si="38"/>
        <v>1813.4270000000004</v>
      </c>
      <c r="R480" s="4">
        <f t="shared" si="39"/>
        <v>0.52981935164563232</v>
      </c>
      <c r="S480" t="s">
        <v>94</v>
      </c>
      <c r="T480">
        <f>Table6[[#This Row],[Discount]]*Table6[[#This Row],[List Price]]*Table6[[#This Row],[Units]]</f>
        <v>380.30300000000005</v>
      </c>
    </row>
    <row r="481" spans="1:20" x14ac:dyDescent="0.2">
      <c r="A481" t="s">
        <v>574</v>
      </c>
      <c r="B481" s="2">
        <v>46116.970791782944</v>
      </c>
      <c r="C481" t="s">
        <v>84</v>
      </c>
      <c r="D481" t="s">
        <v>96</v>
      </c>
      <c r="E481" t="s">
        <v>25</v>
      </c>
      <c r="F481" t="s">
        <v>15</v>
      </c>
      <c r="G481" t="s">
        <v>29</v>
      </c>
      <c r="H481" t="str">
        <f>_xlfn.XLOOKUP(Table6[[#This Row],[SKU]],tblProductMaster[SKU],tblProductMaster[Product])</f>
        <v>Shower Gel 250ml</v>
      </c>
      <c r="I481">
        <v>413</v>
      </c>
      <c r="J481">
        <f>_xlfn.XLOOKUP(G481,[1]!tblProductMaster[SKU],[1]!tblProductMaster[List Price])</f>
        <v>4.49</v>
      </c>
      <c r="K481" t="s">
        <v>86</v>
      </c>
      <c r="L481" s="3">
        <v>0</v>
      </c>
      <c r="M481" s="9">
        <f t="shared" si="35"/>
        <v>4.49</v>
      </c>
      <c r="N481" s="8">
        <f t="shared" si="36"/>
        <v>1854.3700000000001</v>
      </c>
      <c r="O481" s="9">
        <f>_xlfn.XLOOKUP(G481,[1]!tblProductMaster[SKU],[1]!tblProductMaster[Unit Cost])</f>
        <v>1.9</v>
      </c>
      <c r="P481" s="8">
        <f t="shared" si="37"/>
        <v>784.69999999999993</v>
      </c>
      <c r="Q481" s="8">
        <f t="shared" si="38"/>
        <v>1069.67</v>
      </c>
      <c r="R481" s="4">
        <f t="shared" si="39"/>
        <v>0.57683741648106901</v>
      </c>
      <c r="S481" t="s">
        <v>87</v>
      </c>
      <c r="T481">
        <f>Table6[[#This Row],[Discount]]*Table6[[#This Row],[List Price]]*Table6[[#This Row],[Units]]</f>
        <v>0</v>
      </c>
    </row>
    <row r="482" spans="1:20" x14ac:dyDescent="0.2">
      <c r="A482" t="s">
        <v>575</v>
      </c>
      <c r="B482" s="2">
        <v>46160.722989709371</v>
      </c>
      <c r="C482" t="s">
        <v>98</v>
      </c>
      <c r="D482" t="s">
        <v>104</v>
      </c>
      <c r="E482" t="s">
        <v>56</v>
      </c>
      <c r="F482" t="s">
        <v>7</v>
      </c>
      <c r="G482" t="s">
        <v>66</v>
      </c>
      <c r="H482" t="str">
        <f>_xlfn.XLOOKUP(Table6[[#This Row],[SKU]],tblProductMaster[SKU],tblProductMaster[Product])</f>
        <v>Electric Brush Heads</v>
      </c>
      <c r="I482">
        <v>945</v>
      </c>
      <c r="J482">
        <f>_xlfn.XLOOKUP(G482,[1]!tblProductMaster[SKU],[1]!tblProductMaster[List Price])</f>
        <v>12.99</v>
      </c>
      <c r="K482" t="s">
        <v>89</v>
      </c>
      <c r="L482" s="3">
        <v>0.3</v>
      </c>
      <c r="M482" s="9">
        <f t="shared" si="35"/>
        <v>9.093</v>
      </c>
      <c r="N482" s="8">
        <f t="shared" si="36"/>
        <v>8592.8850000000002</v>
      </c>
      <c r="O482" s="9">
        <f>_xlfn.XLOOKUP(G482,[1]!tblProductMaster[SKU],[1]!tblProductMaster[Unit Cost])</f>
        <v>5.2</v>
      </c>
      <c r="P482" s="8">
        <f t="shared" si="37"/>
        <v>4914</v>
      </c>
      <c r="Q482" s="8">
        <f t="shared" si="38"/>
        <v>3678.8850000000002</v>
      </c>
      <c r="R482" s="4">
        <f t="shared" si="39"/>
        <v>0.42813152974815794</v>
      </c>
      <c r="S482" t="s">
        <v>90</v>
      </c>
      <c r="T482">
        <f>Table6[[#This Row],[Discount]]*Table6[[#This Row],[List Price]]*Table6[[#This Row],[Units]]</f>
        <v>3682.665</v>
      </c>
    </row>
    <row r="483" spans="1:20" x14ac:dyDescent="0.2">
      <c r="A483" t="s">
        <v>576</v>
      </c>
      <c r="B483" s="2">
        <v>46154.965355765962</v>
      </c>
      <c r="C483" t="s">
        <v>98</v>
      </c>
      <c r="D483" t="s">
        <v>96</v>
      </c>
      <c r="E483" t="s">
        <v>40</v>
      </c>
      <c r="F483" t="s">
        <v>15</v>
      </c>
      <c r="G483" t="s">
        <v>52</v>
      </c>
      <c r="H483" t="str">
        <f>_xlfn.XLOOKUP(Table6[[#This Row],[SKU]],tblProductMaster[SKU],tblProductMaster[Product])</f>
        <v>Laundry Pods</v>
      </c>
      <c r="I483">
        <v>438</v>
      </c>
      <c r="J483">
        <f>_xlfn.XLOOKUP(G483,[1]!tblProductMaster[SKU],[1]!tblProductMaster[List Price])</f>
        <v>10.49</v>
      </c>
      <c r="K483" t="s">
        <v>86</v>
      </c>
      <c r="L483" s="3">
        <v>0</v>
      </c>
      <c r="M483" s="9">
        <f t="shared" si="35"/>
        <v>10.49</v>
      </c>
      <c r="N483" s="8">
        <f t="shared" si="36"/>
        <v>4594.62</v>
      </c>
      <c r="O483" s="9">
        <f>_xlfn.XLOOKUP(G483,[1]!tblProductMaster[SKU],[1]!tblProductMaster[Unit Cost])</f>
        <v>4.5999999999999996</v>
      </c>
      <c r="P483" s="8">
        <f t="shared" si="37"/>
        <v>2014.8</v>
      </c>
      <c r="Q483" s="8">
        <f t="shared" si="38"/>
        <v>2579.8199999999997</v>
      </c>
      <c r="R483" s="4">
        <f t="shared" si="39"/>
        <v>0.56148713060057187</v>
      </c>
      <c r="S483" t="s">
        <v>87</v>
      </c>
      <c r="T483">
        <f>Table6[[#This Row],[Discount]]*Table6[[#This Row],[List Price]]*Table6[[#This Row],[Units]]</f>
        <v>0</v>
      </c>
    </row>
    <row r="484" spans="1:20" x14ac:dyDescent="0.2">
      <c r="A484" t="s">
        <v>577</v>
      </c>
      <c r="B484" s="2">
        <v>46318.355483204781</v>
      </c>
      <c r="C484" t="s">
        <v>93</v>
      </c>
      <c r="D484" t="s">
        <v>96</v>
      </c>
      <c r="E484" t="s">
        <v>8</v>
      </c>
      <c r="F484" t="s">
        <v>15</v>
      </c>
      <c r="G484" t="s">
        <v>14</v>
      </c>
      <c r="H484" t="str">
        <f>_xlfn.XLOOKUP(Table6[[#This Row],[SKU]],tblProductMaster[SKU],tblProductMaster[Product])</f>
        <v>Shampoo 250ml</v>
      </c>
      <c r="I484">
        <v>724</v>
      </c>
      <c r="J484">
        <f>_xlfn.XLOOKUP(G484,[1]!tblProductMaster[SKU],[1]!tblProductMaster[List Price])</f>
        <v>4.99</v>
      </c>
      <c r="K484" t="s">
        <v>86</v>
      </c>
      <c r="L484" s="3">
        <v>0</v>
      </c>
      <c r="M484" s="9">
        <f t="shared" si="35"/>
        <v>4.99</v>
      </c>
      <c r="N484" s="8">
        <f t="shared" si="36"/>
        <v>3612.76</v>
      </c>
      <c r="O484" s="9">
        <f>_xlfn.XLOOKUP(G484,[1]!tblProductMaster[SKU],[1]!tblProductMaster[Unit Cost])</f>
        <v>2.1</v>
      </c>
      <c r="P484" s="8">
        <f t="shared" si="37"/>
        <v>1520.4</v>
      </c>
      <c r="Q484" s="8">
        <f t="shared" si="38"/>
        <v>2092.36</v>
      </c>
      <c r="R484" s="4">
        <f t="shared" si="39"/>
        <v>0.57915831663326656</v>
      </c>
      <c r="S484" t="s">
        <v>87</v>
      </c>
      <c r="T484">
        <f>Table6[[#This Row],[Discount]]*Table6[[#This Row],[List Price]]*Table6[[#This Row],[Units]]</f>
        <v>0</v>
      </c>
    </row>
    <row r="485" spans="1:20" x14ac:dyDescent="0.2">
      <c r="A485" t="s">
        <v>578</v>
      </c>
      <c r="B485" s="2">
        <v>46088.902096904872</v>
      </c>
      <c r="C485" t="s">
        <v>98</v>
      </c>
      <c r="D485" t="s">
        <v>104</v>
      </c>
      <c r="E485" t="s">
        <v>40</v>
      </c>
      <c r="F485" t="s">
        <v>15</v>
      </c>
      <c r="G485" t="s">
        <v>46</v>
      </c>
      <c r="H485" t="str">
        <f>_xlfn.XLOOKUP(Table6[[#This Row],[SKU]],tblProductMaster[SKU],tblProductMaster[Product])</f>
        <v>Stain Remover</v>
      </c>
      <c r="I485">
        <v>442</v>
      </c>
      <c r="J485">
        <f>_xlfn.XLOOKUP(G485,[1]!tblProductMaster[SKU],[1]!tblProductMaster[List Price])</f>
        <v>5.99</v>
      </c>
      <c r="K485" t="s">
        <v>86</v>
      </c>
      <c r="L485" s="3">
        <v>0</v>
      </c>
      <c r="M485" s="9">
        <f t="shared" si="35"/>
        <v>5.99</v>
      </c>
      <c r="N485" s="8">
        <f t="shared" si="36"/>
        <v>2647.58</v>
      </c>
      <c r="O485" s="9">
        <f>_xlfn.XLOOKUP(G485,[1]!tblProductMaster[SKU],[1]!tblProductMaster[Unit Cost])</f>
        <v>2.5</v>
      </c>
      <c r="P485" s="8">
        <f t="shared" si="37"/>
        <v>1105</v>
      </c>
      <c r="Q485" s="8">
        <f t="shared" si="38"/>
        <v>1542.58</v>
      </c>
      <c r="R485" s="4">
        <f t="shared" si="39"/>
        <v>0.58263772954924875</v>
      </c>
      <c r="S485" t="s">
        <v>87</v>
      </c>
      <c r="T485">
        <f>Table6[[#This Row],[Discount]]*Table6[[#This Row],[List Price]]*Table6[[#This Row],[Units]]</f>
        <v>0</v>
      </c>
    </row>
    <row r="486" spans="1:20" x14ac:dyDescent="0.2">
      <c r="A486" t="s">
        <v>579</v>
      </c>
      <c r="B486" s="2">
        <v>46303.858368190064</v>
      </c>
      <c r="C486" t="s">
        <v>98</v>
      </c>
      <c r="D486" t="s">
        <v>104</v>
      </c>
      <c r="E486" t="s">
        <v>40</v>
      </c>
      <c r="F486" t="s">
        <v>7</v>
      </c>
      <c r="G486" t="s">
        <v>44</v>
      </c>
      <c r="H486" t="str">
        <f>_xlfn.XLOOKUP(Table6[[#This Row],[SKU]],tblProductMaster[SKU],tblProductMaster[Product])</f>
        <v>Fabric Softener</v>
      </c>
      <c r="I486">
        <v>693</v>
      </c>
      <c r="J486">
        <f>_xlfn.XLOOKUP(G486,[1]!tblProductMaster[SKU],[1]!tblProductMaster[List Price])</f>
        <v>6.99</v>
      </c>
      <c r="K486" t="s">
        <v>86</v>
      </c>
      <c r="L486" s="3">
        <v>0</v>
      </c>
      <c r="M486" s="9">
        <f t="shared" si="35"/>
        <v>6.99</v>
      </c>
      <c r="N486" s="8">
        <f t="shared" si="36"/>
        <v>4844.07</v>
      </c>
      <c r="O486" s="9">
        <f>_xlfn.XLOOKUP(G486,[1]!tblProductMaster[SKU],[1]!tblProductMaster[Unit Cost])</f>
        <v>2.9</v>
      </c>
      <c r="P486" s="8">
        <f t="shared" si="37"/>
        <v>2009.7</v>
      </c>
      <c r="Q486" s="8">
        <f t="shared" si="38"/>
        <v>2834.37</v>
      </c>
      <c r="R486" s="4">
        <f t="shared" si="39"/>
        <v>0.58512160228898424</v>
      </c>
      <c r="S486" t="s">
        <v>87</v>
      </c>
      <c r="T486">
        <f>Table6[[#This Row],[Discount]]*Table6[[#This Row],[List Price]]*Table6[[#This Row],[Units]]</f>
        <v>0</v>
      </c>
    </row>
    <row r="487" spans="1:20" x14ac:dyDescent="0.2">
      <c r="A487" t="s">
        <v>580</v>
      </c>
      <c r="B487" s="2">
        <v>46077.571968153134</v>
      </c>
      <c r="C487" t="s">
        <v>93</v>
      </c>
      <c r="D487" t="s">
        <v>96</v>
      </c>
      <c r="E487" t="s">
        <v>25</v>
      </c>
      <c r="F487" t="s">
        <v>15</v>
      </c>
      <c r="G487" t="s">
        <v>35</v>
      </c>
      <c r="H487" t="str">
        <f>_xlfn.XLOOKUP(Table6[[#This Row],[SKU]],tblProductMaster[SKU],tblProductMaster[Product])</f>
        <v>Hand Cream</v>
      </c>
      <c r="I487">
        <v>365</v>
      </c>
      <c r="J487">
        <f>_xlfn.XLOOKUP(G487,[1]!tblProductMaster[SKU],[1]!tblProductMaster[List Price])</f>
        <v>4.99</v>
      </c>
      <c r="K487" t="s">
        <v>86</v>
      </c>
      <c r="L487" s="3">
        <v>0</v>
      </c>
      <c r="M487" s="9">
        <f t="shared" si="35"/>
        <v>4.99</v>
      </c>
      <c r="N487" s="8">
        <f t="shared" si="36"/>
        <v>1821.3500000000001</v>
      </c>
      <c r="O487" s="9">
        <f>_xlfn.XLOOKUP(G487,[1]!tblProductMaster[SKU],[1]!tblProductMaster[Unit Cost])</f>
        <v>2.1</v>
      </c>
      <c r="P487" s="8">
        <f t="shared" si="37"/>
        <v>766.5</v>
      </c>
      <c r="Q487" s="8">
        <f t="shared" si="38"/>
        <v>1054.8500000000001</v>
      </c>
      <c r="R487" s="4">
        <f t="shared" si="39"/>
        <v>0.57915831663326656</v>
      </c>
      <c r="S487" t="s">
        <v>87</v>
      </c>
      <c r="T487">
        <f>Table6[[#This Row],[Discount]]*Table6[[#This Row],[List Price]]*Table6[[#This Row],[Units]]</f>
        <v>0</v>
      </c>
    </row>
    <row r="488" spans="1:20" x14ac:dyDescent="0.2">
      <c r="A488" t="s">
        <v>581</v>
      </c>
      <c r="B488" s="2">
        <v>46139.524064184319</v>
      </c>
      <c r="C488" t="s">
        <v>98</v>
      </c>
      <c r="D488" t="s">
        <v>104</v>
      </c>
      <c r="E488" t="s">
        <v>8</v>
      </c>
      <c r="F488" t="s">
        <v>18</v>
      </c>
      <c r="G488" t="s">
        <v>20</v>
      </c>
      <c r="H488" t="str">
        <f>_xlfn.XLOOKUP(Table6[[#This Row],[SKU]],tblProductMaster[SKU],tblProductMaster[Product])</f>
        <v>Hair Oil</v>
      </c>
      <c r="I488">
        <v>245</v>
      </c>
      <c r="J488">
        <f>_xlfn.XLOOKUP(G488,[1]!tblProductMaster[SKU],[1]!tblProductMaster[List Price])</f>
        <v>7.49</v>
      </c>
      <c r="K488" t="s">
        <v>86</v>
      </c>
      <c r="L488" s="3">
        <v>0</v>
      </c>
      <c r="M488" s="9">
        <f t="shared" si="35"/>
        <v>7.49</v>
      </c>
      <c r="N488" s="8">
        <f t="shared" si="36"/>
        <v>1835.05</v>
      </c>
      <c r="O488" s="9">
        <f>_xlfn.XLOOKUP(G488,[1]!tblProductMaster[SKU],[1]!tblProductMaster[Unit Cost])</f>
        <v>3.1</v>
      </c>
      <c r="P488" s="8">
        <f t="shared" si="37"/>
        <v>759.5</v>
      </c>
      <c r="Q488" s="8">
        <f t="shared" si="38"/>
        <v>1075.55</v>
      </c>
      <c r="R488" s="4">
        <f t="shared" si="39"/>
        <v>0.58611481975967961</v>
      </c>
      <c r="S488" t="s">
        <v>87</v>
      </c>
      <c r="T488">
        <f>Table6[[#This Row],[Discount]]*Table6[[#This Row],[List Price]]*Table6[[#This Row],[Units]]</f>
        <v>0</v>
      </c>
    </row>
    <row r="489" spans="1:20" x14ac:dyDescent="0.2">
      <c r="A489" t="s">
        <v>582</v>
      </c>
      <c r="B489" s="2">
        <v>46171.671407987153</v>
      </c>
      <c r="C489" t="s">
        <v>98</v>
      </c>
      <c r="D489" t="s">
        <v>85</v>
      </c>
      <c r="E489" t="s">
        <v>8</v>
      </c>
      <c r="F489" t="s">
        <v>15</v>
      </c>
      <c r="G489" t="s">
        <v>16</v>
      </c>
      <c r="H489" t="str">
        <f>_xlfn.XLOOKUP(Table6[[#This Row],[SKU]],tblProductMaster[SKU],tblProductMaster[Product])</f>
        <v>Conditioner 250ml</v>
      </c>
      <c r="I489">
        <v>261</v>
      </c>
      <c r="J489">
        <f>_xlfn.XLOOKUP(G489,[1]!tblProductMaster[SKU],[1]!tblProductMaster[List Price])</f>
        <v>4.79</v>
      </c>
      <c r="K489" t="s">
        <v>86</v>
      </c>
      <c r="L489" s="3">
        <v>0</v>
      </c>
      <c r="M489" s="9">
        <f t="shared" si="35"/>
        <v>4.79</v>
      </c>
      <c r="N489" s="8">
        <f t="shared" si="36"/>
        <v>1250.19</v>
      </c>
      <c r="O489" s="9">
        <f>_xlfn.XLOOKUP(G489,[1]!tblProductMaster[SKU],[1]!tblProductMaster[Unit Cost])</f>
        <v>2</v>
      </c>
      <c r="P489" s="8">
        <f t="shared" si="37"/>
        <v>522</v>
      </c>
      <c r="Q489" s="8">
        <f t="shared" si="38"/>
        <v>728.19</v>
      </c>
      <c r="R489" s="4">
        <f t="shared" si="39"/>
        <v>0.58246346555323592</v>
      </c>
      <c r="S489" t="s">
        <v>87</v>
      </c>
      <c r="T489">
        <f>Table6[[#This Row],[Discount]]*Table6[[#This Row],[List Price]]*Table6[[#This Row],[Units]]</f>
        <v>0</v>
      </c>
    </row>
    <row r="490" spans="1:20" x14ac:dyDescent="0.2">
      <c r="A490" t="s">
        <v>583</v>
      </c>
      <c r="B490" s="2">
        <v>46149.086798514356</v>
      </c>
      <c r="C490" t="s">
        <v>84</v>
      </c>
      <c r="D490" t="s">
        <v>96</v>
      </c>
      <c r="E490" t="s">
        <v>40</v>
      </c>
      <c r="F490" t="s">
        <v>18</v>
      </c>
      <c r="G490" t="s">
        <v>42</v>
      </c>
      <c r="H490" t="str">
        <f>_xlfn.XLOOKUP(Table6[[#This Row],[SKU]],tblProductMaster[SKU],tblProductMaster[Product])</f>
        <v>Detergent Capsules</v>
      </c>
      <c r="I490">
        <v>302</v>
      </c>
      <c r="J490">
        <f>_xlfn.XLOOKUP(G490,[1]!tblProductMaster[SKU],[1]!tblProductMaster[List Price])</f>
        <v>11.99</v>
      </c>
      <c r="K490" t="s">
        <v>86</v>
      </c>
      <c r="L490" s="3">
        <v>0</v>
      </c>
      <c r="M490" s="9">
        <f t="shared" si="35"/>
        <v>11.99</v>
      </c>
      <c r="N490" s="8">
        <f t="shared" si="36"/>
        <v>3620.98</v>
      </c>
      <c r="O490" s="9">
        <f>_xlfn.XLOOKUP(G490,[1]!tblProductMaster[SKU],[1]!tblProductMaster[Unit Cost])</f>
        <v>5.2</v>
      </c>
      <c r="P490" s="8">
        <f t="shared" si="37"/>
        <v>1570.4</v>
      </c>
      <c r="Q490" s="8">
        <f t="shared" si="38"/>
        <v>2050.58</v>
      </c>
      <c r="R490" s="4">
        <f t="shared" si="39"/>
        <v>0.56630525437864887</v>
      </c>
      <c r="S490" t="s">
        <v>87</v>
      </c>
      <c r="T490">
        <f>Table6[[#This Row],[Discount]]*Table6[[#This Row],[List Price]]*Table6[[#This Row],[Units]]</f>
        <v>0</v>
      </c>
    </row>
    <row r="491" spans="1:20" x14ac:dyDescent="0.2">
      <c r="A491" t="s">
        <v>584</v>
      </c>
      <c r="B491" s="2">
        <v>46042.646180438351</v>
      </c>
      <c r="C491" t="s">
        <v>93</v>
      </c>
      <c r="D491" t="s">
        <v>85</v>
      </c>
      <c r="E491" t="s">
        <v>25</v>
      </c>
      <c r="F491" t="s">
        <v>18</v>
      </c>
      <c r="G491" t="s">
        <v>27</v>
      </c>
      <c r="H491" t="str">
        <f>_xlfn.XLOOKUP(Table6[[#This Row],[SKU]],tblProductMaster[SKU],tblProductMaster[Product])</f>
        <v>Face Cream 50ml</v>
      </c>
      <c r="I491">
        <v>632</v>
      </c>
      <c r="J491">
        <f>_xlfn.XLOOKUP(G491,[1]!tblProductMaster[SKU],[1]!tblProductMaster[List Price])</f>
        <v>9.99</v>
      </c>
      <c r="K491" t="s">
        <v>86</v>
      </c>
      <c r="L491" s="3">
        <v>0</v>
      </c>
      <c r="M491" s="9">
        <f t="shared" si="35"/>
        <v>9.99</v>
      </c>
      <c r="N491" s="8">
        <f t="shared" si="36"/>
        <v>6313.68</v>
      </c>
      <c r="O491" s="9">
        <f>_xlfn.XLOOKUP(G491,[1]!tblProductMaster[SKU],[1]!tblProductMaster[Unit Cost])</f>
        <v>4.2</v>
      </c>
      <c r="P491" s="8">
        <f t="shared" si="37"/>
        <v>2654.4</v>
      </c>
      <c r="Q491" s="8">
        <f t="shared" si="38"/>
        <v>3659.28</v>
      </c>
      <c r="R491" s="4">
        <f t="shared" si="39"/>
        <v>0.57957957957957962</v>
      </c>
      <c r="S491" t="s">
        <v>87</v>
      </c>
      <c r="T491">
        <f>Table6[[#This Row],[Discount]]*Table6[[#This Row],[List Price]]*Table6[[#This Row],[Units]]</f>
        <v>0</v>
      </c>
    </row>
    <row r="492" spans="1:20" x14ac:dyDescent="0.2">
      <c r="A492" t="s">
        <v>585</v>
      </c>
      <c r="B492" s="2">
        <v>46305.850885135114</v>
      </c>
      <c r="C492" t="s">
        <v>93</v>
      </c>
      <c r="D492" t="s">
        <v>104</v>
      </c>
      <c r="E492" t="s">
        <v>8</v>
      </c>
      <c r="F492" t="s">
        <v>15</v>
      </c>
      <c r="G492" t="s">
        <v>16</v>
      </c>
      <c r="H492" t="str">
        <f>_xlfn.XLOOKUP(Table6[[#This Row],[SKU]],tblProductMaster[SKU],tblProductMaster[Product])</f>
        <v>Conditioner 250ml</v>
      </c>
      <c r="I492">
        <v>422</v>
      </c>
      <c r="J492">
        <f>_xlfn.XLOOKUP(G492,[1]!tblProductMaster[SKU],[1]!tblProductMaster[List Price])</f>
        <v>4.79</v>
      </c>
      <c r="K492" t="s">
        <v>86</v>
      </c>
      <c r="L492" s="3">
        <v>0</v>
      </c>
      <c r="M492" s="9">
        <f t="shared" si="35"/>
        <v>4.79</v>
      </c>
      <c r="N492" s="8">
        <f t="shared" si="36"/>
        <v>2021.38</v>
      </c>
      <c r="O492" s="9">
        <f>_xlfn.XLOOKUP(G492,[1]!tblProductMaster[SKU],[1]!tblProductMaster[Unit Cost])</f>
        <v>2</v>
      </c>
      <c r="P492" s="8">
        <f t="shared" si="37"/>
        <v>844</v>
      </c>
      <c r="Q492" s="8">
        <f t="shared" si="38"/>
        <v>1177.3800000000001</v>
      </c>
      <c r="R492" s="4">
        <f t="shared" si="39"/>
        <v>0.58246346555323592</v>
      </c>
      <c r="S492" t="s">
        <v>87</v>
      </c>
      <c r="T492">
        <f>Table6[[#This Row],[Discount]]*Table6[[#This Row],[List Price]]*Table6[[#This Row],[Units]]</f>
        <v>0</v>
      </c>
    </row>
    <row r="493" spans="1:20" x14ac:dyDescent="0.2">
      <c r="A493" t="s">
        <v>586</v>
      </c>
      <c r="B493" s="2">
        <v>46123.753205379129</v>
      </c>
      <c r="C493" t="s">
        <v>84</v>
      </c>
      <c r="D493" t="s">
        <v>85</v>
      </c>
      <c r="E493" t="s">
        <v>8</v>
      </c>
      <c r="F493" t="s">
        <v>18</v>
      </c>
      <c r="G493" t="s">
        <v>20</v>
      </c>
      <c r="H493" t="str">
        <f>_xlfn.XLOOKUP(Table6[[#This Row],[SKU]],tblProductMaster[SKU],tblProductMaster[Product])</f>
        <v>Hair Oil</v>
      </c>
      <c r="I493">
        <v>426</v>
      </c>
      <c r="J493">
        <f>_xlfn.XLOOKUP(G493,[1]!tblProductMaster[SKU],[1]!tblProductMaster[List Price])</f>
        <v>7.49</v>
      </c>
      <c r="K493" t="s">
        <v>86</v>
      </c>
      <c r="L493" s="3">
        <v>0</v>
      </c>
      <c r="M493" s="9">
        <f t="shared" si="35"/>
        <v>7.49</v>
      </c>
      <c r="N493" s="8">
        <f t="shared" si="36"/>
        <v>3190.7400000000002</v>
      </c>
      <c r="O493" s="9">
        <f>_xlfn.XLOOKUP(G493,[1]!tblProductMaster[SKU],[1]!tblProductMaster[Unit Cost])</f>
        <v>3.1</v>
      </c>
      <c r="P493" s="8">
        <f t="shared" si="37"/>
        <v>1320.6000000000001</v>
      </c>
      <c r="Q493" s="8">
        <f t="shared" si="38"/>
        <v>1870.14</v>
      </c>
      <c r="R493" s="4">
        <f t="shared" si="39"/>
        <v>0.58611481975967961</v>
      </c>
      <c r="S493" t="s">
        <v>87</v>
      </c>
      <c r="T493">
        <f>Table6[[#This Row],[Discount]]*Table6[[#This Row],[List Price]]*Table6[[#This Row],[Units]]</f>
        <v>0</v>
      </c>
    </row>
    <row r="494" spans="1:20" x14ac:dyDescent="0.2">
      <c r="A494" t="s">
        <v>587</v>
      </c>
      <c r="B494" s="2">
        <v>46311.234592812543</v>
      </c>
      <c r="C494" t="s">
        <v>93</v>
      </c>
      <c r="D494" t="s">
        <v>85</v>
      </c>
      <c r="E494" t="s">
        <v>56</v>
      </c>
      <c r="F494" t="s">
        <v>18</v>
      </c>
      <c r="G494" t="s">
        <v>68</v>
      </c>
      <c r="H494" t="str">
        <f>_xlfn.XLOOKUP(Table6[[#This Row],[SKU]],tblProductMaster[SKU],tblProductMaster[Product])</f>
        <v>Kids Toothpaste</v>
      </c>
      <c r="I494">
        <v>746</v>
      </c>
      <c r="J494">
        <f>_xlfn.XLOOKUP(G494,[1]!tblProductMaster[SKU],[1]!tblProductMaster[List Price])</f>
        <v>3.29</v>
      </c>
      <c r="K494" t="s">
        <v>86</v>
      </c>
      <c r="L494" s="3">
        <v>0</v>
      </c>
      <c r="M494" s="9">
        <f t="shared" si="35"/>
        <v>3.29</v>
      </c>
      <c r="N494" s="8">
        <f t="shared" si="36"/>
        <v>2454.34</v>
      </c>
      <c r="O494" s="9">
        <f>_xlfn.XLOOKUP(G494,[1]!tblProductMaster[SKU],[1]!tblProductMaster[Unit Cost])</f>
        <v>1.1000000000000001</v>
      </c>
      <c r="P494" s="8">
        <f t="shared" si="37"/>
        <v>820.6</v>
      </c>
      <c r="Q494" s="8">
        <f t="shared" si="38"/>
        <v>1633.7400000000002</v>
      </c>
      <c r="R494" s="4">
        <f t="shared" si="39"/>
        <v>0.66565349544072949</v>
      </c>
      <c r="S494" t="s">
        <v>87</v>
      </c>
      <c r="T494">
        <f>Table6[[#This Row],[Discount]]*Table6[[#This Row],[List Price]]*Table6[[#This Row],[Units]]</f>
        <v>0</v>
      </c>
    </row>
    <row r="495" spans="1:20" x14ac:dyDescent="0.2">
      <c r="A495" t="s">
        <v>588</v>
      </c>
      <c r="B495" s="2">
        <v>46171.100163943192</v>
      </c>
      <c r="C495" t="s">
        <v>84</v>
      </c>
      <c r="D495" t="s">
        <v>96</v>
      </c>
      <c r="E495" t="s">
        <v>8</v>
      </c>
      <c r="F495" t="s">
        <v>18</v>
      </c>
      <c r="G495" t="s">
        <v>17</v>
      </c>
      <c r="H495" t="str">
        <f>_xlfn.XLOOKUP(Table6[[#This Row],[SKU]],tblProductMaster[SKU],tblProductMaster[Product])</f>
        <v>Anti-Dandruff Shampoo</v>
      </c>
      <c r="I495">
        <v>780</v>
      </c>
      <c r="J495">
        <f>_xlfn.XLOOKUP(G495,[1]!tblProductMaster[SKU],[1]!tblProductMaster[List Price])</f>
        <v>6.49</v>
      </c>
      <c r="K495" t="s">
        <v>89</v>
      </c>
      <c r="L495" s="3">
        <v>0.3</v>
      </c>
      <c r="M495" s="9">
        <f t="shared" si="35"/>
        <v>4.5430000000000001</v>
      </c>
      <c r="N495" s="8">
        <f t="shared" si="36"/>
        <v>3543.54</v>
      </c>
      <c r="O495" s="9">
        <f>_xlfn.XLOOKUP(G495,[1]!tblProductMaster[SKU],[1]!tblProductMaster[Unit Cost])</f>
        <v>2.8</v>
      </c>
      <c r="P495" s="8">
        <f t="shared" si="37"/>
        <v>2184</v>
      </c>
      <c r="Q495" s="8">
        <f t="shared" si="38"/>
        <v>1359.54</v>
      </c>
      <c r="R495" s="4">
        <f t="shared" si="39"/>
        <v>0.38366718027734975</v>
      </c>
      <c r="S495" t="s">
        <v>90</v>
      </c>
      <c r="T495">
        <f>Table6[[#This Row],[Discount]]*Table6[[#This Row],[List Price]]*Table6[[#This Row],[Units]]</f>
        <v>1518.66</v>
      </c>
    </row>
    <row r="496" spans="1:20" x14ac:dyDescent="0.2">
      <c r="A496" t="s">
        <v>589</v>
      </c>
      <c r="B496" s="2">
        <v>46191.7447929888</v>
      </c>
      <c r="C496" t="s">
        <v>93</v>
      </c>
      <c r="D496" t="s">
        <v>85</v>
      </c>
      <c r="E496" t="s">
        <v>56</v>
      </c>
      <c r="F496" t="s">
        <v>7</v>
      </c>
      <c r="G496" t="s">
        <v>58</v>
      </c>
      <c r="H496" t="str">
        <f>_xlfn.XLOOKUP(Table6[[#This Row],[SKU]],tblProductMaster[SKU],tblProductMaster[Product])</f>
        <v>Whitening Toothpaste</v>
      </c>
      <c r="I496">
        <v>406</v>
      </c>
      <c r="J496">
        <f>_xlfn.XLOOKUP(G496,[1]!tblProductMaster[SKU],[1]!tblProductMaster[List Price])</f>
        <v>4.99</v>
      </c>
      <c r="K496" t="s">
        <v>86</v>
      </c>
      <c r="L496" s="3">
        <v>0</v>
      </c>
      <c r="M496" s="9">
        <f t="shared" si="35"/>
        <v>4.99</v>
      </c>
      <c r="N496" s="8">
        <f t="shared" si="36"/>
        <v>2025.94</v>
      </c>
      <c r="O496" s="9">
        <f>_xlfn.XLOOKUP(G496,[1]!tblProductMaster[SKU],[1]!tblProductMaster[Unit Cost])</f>
        <v>1.8</v>
      </c>
      <c r="P496" s="8">
        <f t="shared" si="37"/>
        <v>730.80000000000007</v>
      </c>
      <c r="Q496" s="8">
        <f t="shared" si="38"/>
        <v>1295.1399999999999</v>
      </c>
      <c r="R496" s="4">
        <f t="shared" si="39"/>
        <v>0.63927855711422843</v>
      </c>
      <c r="S496" t="s">
        <v>87</v>
      </c>
      <c r="T496">
        <f>Table6[[#This Row],[Discount]]*Table6[[#This Row],[List Price]]*Table6[[#This Row],[Units]]</f>
        <v>0</v>
      </c>
    </row>
    <row r="497" spans="1:20" x14ac:dyDescent="0.2">
      <c r="A497" t="s">
        <v>590</v>
      </c>
      <c r="B497" s="2">
        <v>46266.752385930173</v>
      </c>
      <c r="C497" t="s">
        <v>93</v>
      </c>
      <c r="D497" t="s">
        <v>85</v>
      </c>
      <c r="E497" t="s">
        <v>25</v>
      </c>
      <c r="F497" t="s">
        <v>18</v>
      </c>
      <c r="G497" t="s">
        <v>37</v>
      </c>
      <c r="H497" t="str">
        <f>_xlfn.XLOOKUP(Table6[[#This Row],[SKU]],tblProductMaster[SKU],tblProductMaster[Product])</f>
        <v>Body Wash</v>
      </c>
      <c r="I497">
        <v>1142</v>
      </c>
      <c r="J497">
        <f>_xlfn.XLOOKUP(G497,[1]!tblProductMaster[SKU],[1]!tblProductMaster[List Price])</f>
        <v>5.49</v>
      </c>
      <c r="K497" t="s">
        <v>89</v>
      </c>
      <c r="L497" s="3">
        <v>0.3</v>
      </c>
      <c r="M497" s="9">
        <f t="shared" si="35"/>
        <v>3.843</v>
      </c>
      <c r="N497" s="8">
        <f t="shared" si="36"/>
        <v>4388.7060000000001</v>
      </c>
      <c r="O497" s="9">
        <f>_xlfn.XLOOKUP(G497,[1]!tblProductMaster[SKU],[1]!tblProductMaster[Unit Cost])</f>
        <v>2.2999999999999998</v>
      </c>
      <c r="P497" s="8">
        <f t="shared" si="37"/>
        <v>2626.6</v>
      </c>
      <c r="Q497" s="8">
        <f t="shared" si="38"/>
        <v>1762.1060000000002</v>
      </c>
      <c r="R497" s="4">
        <f t="shared" si="39"/>
        <v>0.40150923757481138</v>
      </c>
      <c r="S497" t="s">
        <v>90</v>
      </c>
      <c r="T497">
        <f>Table6[[#This Row],[Discount]]*Table6[[#This Row],[List Price]]*Table6[[#This Row],[Units]]</f>
        <v>1880.874</v>
      </c>
    </row>
    <row r="498" spans="1:20" x14ac:dyDescent="0.2">
      <c r="A498" t="s">
        <v>591</v>
      </c>
      <c r="B498" s="2">
        <v>46346.256340373897</v>
      </c>
      <c r="C498" t="s">
        <v>93</v>
      </c>
      <c r="D498" t="s">
        <v>104</v>
      </c>
      <c r="E498" t="s">
        <v>8</v>
      </c>
      <c r="F498" t="s">
        <v>18</v>
      </c>
      <c r="G498" t="s">
        <v>20</v>
      </c>
      <c r="H498" t="str">
        <f>_xlfn.XLOOKUP(Table6[[#This Row],[SKU]],tblProductMaster[SKU],tblProductMaster[Product])</f>
        <v>Hair Oil</v>
      </c>
      <c r="I498">
        <v>365</v>
      </c>
      <c r="J498">
        <f>_xlfn.XLOOKUP(G498,[1]!tblProductMaster[SKU],[1]!tblProductMaster[List Price])</f>
        <v>7.49</v>
      </c>
      <c r="K498" t="s">
        <v>86</v>
      </c>
      <c r="L498" s="3">
        <v>0</v>
      </c>
      <c r="M498" s="9">
        <f t="shared" si="35"/>
        <v>7.49</v>
      </c>
      <c r="N498" s="8">
        <f t="shared" si="36"/>
        <v>2733.85</v>
      </c>
      <c r="O498" s="9">
        <f>_xlfn.XLOOKUP(G498,[1]!tblProductMaster[SKU],[1]!tblProductMaster[Unit Cost])</f>
        <v>3.1</v>
      </c>
      <c r="P498" s="8">
        <f t="shared" si="37"/>
        <v>1131.5</v>
      </c>
      <c r="Q498" s="8">
        <f t="shared" si="38"/>
        <v>1602.35</v>
      </c>
      <c r="R498" s="4">
        <f t="shared" si="39"/>
        <v>0.58611481975967961</v>
      </c>
      <c r="S498" t="s">
        <v>87</v>
      </c>
      <c r="T498">
        <f>Table6[[#This Row],[Discount]]*Table6[[#This Row],[List Price]]*Table6[[#This Row],[Units]]</f>
        <v>0</v>
      </c>
    </row>
    <row r="499" spans="1:20" x14ac:dyDescent="0.2">
      <c r="A499" t="s">
        <v>592</v>
      </c>
      <c r="B499" s="2">
        <v>46290.151943975492</v>
      </c>
      <c r="C499" t="s">
        <v>84</v>
      </c>
      <c r="D499" t="s">
        <v>96</v>
      </c>
      <c r="E499" t="s">
        <v>56</v>
      </c>
      <c r="F499" t="s">
        <v>7</v>
      </c>
      <c r="G499" t="s">
        <v>66</v>
      </c>
      <c r="H499" t="str">
        <f>_xlfn.XLOOKUP(Table6[[#This Row],[SKU]],tblProductMaster[SKU],tblProductMaster[Product])</f>
        <v>Electric Brush Heads</v>
      </c>
      <c r="I499">
        <v>579</v>
      </c>
      <c r="J499">
        <f>_xlfn.XLOOKUP(G499,[1]!tblProductMaster[SKU],[1]!tblProductMaster[List Price])</f>
        <v>12.99</v>
      </c>
      <c r="K499" t="s">
        <v>86</v>
      </c>
      <c r="L499" s="3">
        <v>0</v>
      </c>
      <c r="M499" s="9">
        <f t="shared" si="35"/>
        <v>12.99</v>
      </c>
      <c r="N499" s="8">
        <f t="shared" si="36"/>
        <v>7521.21</v>
      </c>
      <c r="O499" s="9">
        <f>_xlfn.XLOOKUP(G499,[1]!tblProductMaster[SKU],[1]!tblProductMaster[Unit Cost])</f>
        <v>5.2</v>
      </c>
      <c r="P499" s="8">
        <f t="shared" si="37"/>
        <v>3010.8</v>
      </c>
      <c r="Q499" s="8">
        <f t="shared" si="38"/>
        <v>4510.41</v>
      </c>
      <c r="R499" s="4">
        <f t="shared" si="39"/>
        <v>0.59969207082371057</v>
      </c>
      <c r="S499" t="s">
        <v>87</v>
      </c>
      <c r="T499">
        <f>Table6[[#This Row],[Discount]]*Table6[[#This Row],[List Price]]*Table6[[#This Row],[Units]]</f>
        <v>0</v>
      </c>
    </row>
    <row r="500" spans="1:20" x14ac:dyDescent="0.2">
      <c r="A500" t="s">
        <v>593</v>
      </c>
      <c r="B500" s="2">
        <v>46304.808609725791</v>
      </c>
      <c r="C500" t="s">
        <v>84</v>
      </c>
      <c r="D500" t="s">
        <v>96</v>
      </c>
      <c r="E500" t="s">
        <v>56</v>
      </c>
      <c r="F500" t="s">
        <v>7</v>
      </c>
      <c r="G500" t="s">
        <v>64</v>
      </c>
      <c r="H500" t="str">
        <f>_xlfn.XLOOKUP(Table6[[#This Row],[SKU]],tblProductMaster[SKU],tblProductMaster[Product])</f>
        <v>Toothbrush</v>
      </c>
      <c r="I500">
        <v>1044</v>
      </c>
      <c r="J500">
        <f>_xlfn.XLOOKUP(G500,[1]!tblProductMaster[SKU],[1]!tblProductMaster[List Price])</f>
        <v>3.99</v>
      </c>
      <c r="K500" t="s">
        <v>89</v>
      </c>
      <c r="L500" s="3">
        <v>0.3</v>
      </c>
      <c r="M500" s="9">
        <f t="shared" si="35"/>
        <v>2.7930000000000001</v>
      </c>
      <c r="N500" s="8">
        <f t="shared" si="36"/>
        <v>2915.8920000000003</v>
      </c>
      <c r="O500" s="9">
        <f>_xlfn.XLOOKUP(G500,[1]!tblProductMaster[SKU],[1]!tblProductMaster[Unit Cost])</f>
        <v>1.5</v>
      </c>
      <c r="P500" s="8">
        <f t="shared" si="37"/>
        <v>1566</v>
      </c>
      <c r="Q500" s="8">
        <f t="shared" si="38"/>
        <v>1349.8920000000003</v>
      </c>
      <c r="R500" s="4">
        <f t="shared" si="39"/>
        <v>0.46294307196562839</v>
      </c>
      <c r="S500" t="s">
        <v>94</v>
      </c>
      <c r="T500">
        <f>Table6[[#This Row],[Discount]]*Table6[[#This Row],[List Price]]*Table6[[#This Row],[Units]]</f>
        <v>1249.6680000000001</v>
      </c>
    </row>
    <row r="501" spans="1:20" x14ac:dyDescent="0.2">
      <c r="A501" t="s">
        <v>594</v>
      </c>
      <c r="B501" s="2">
        <v>46252.342472722616</v>
      </c>
      <c r="C501" t="s">
        <v>93</v>
      </c>
      <c r="D501" t="s">
        <v>104</v>
      </c>
      <c r="E501" t="s">
        <v>40</v>
      </c>
      <c r="F501" t="s">
        <v>18</v>
      </c>
      <c r="G501" t="s">
        <v>50</v>
      </c>
      <c r="H501" t="str">
        <f>_xlfn.XLOOKUP(Table6[[#This Row],[SKU]],tblProductMaster[SKU],tblProductMaster[Product])</f>
        <v>Sensitive Detergent</v>
      </c>
      <c r="I501">
        <v>440</v>
      </c>
      <c r="J501">
        <f>_xlfn.XLOOKUP(G501,[1]!tblProductMaster[SKU],[1]!tblProductMaster[List Price])</f>
        <v>8.99</v>
      </c>
      <c r="K501" t="s">
        <v>86</v>
      </c>
      <c r="L501" s="3">
        <v>0</v>
      </c>
      <c r="M501" s="9">
        <f t="shared" si="35"/>
        <v>8.99</v>
      </c>
      <c r="N501" s="8">
        <f t="shared" si="36"/>
        <v>3955.6</v>
      </c>
      <c r="O501" s="9">
        <f>_xlfn.XLOOKUP(G501,[1]!tblProductMaster[SKU],[1]!tblProductMaster[Unit Cost])</f>
        <v>4</v>
      </c>
      <c r="P501" s="8">
        <f t="shared" si="37"/>
        <v>1760</v>
      </c>
      <c r="Q501" s="8">
        <f t="shared" si="38"/>
        <v>2195.6</v>
      </c>
      <c r="R501" s="4">
        <f t="shared" si="39"/>
        <v>0.55506117908787544</v>
      </c>
      <c r="S501" t="s">
        <v>87</v>
      </c>
      <c r="T501">
        <f>Table6[[#This Row],[Discount]]*Table6[[#This Row],[List Price]]*Table6[[#This Row],[Units]]</f>
        <v>0</v>
      </c>
    </row>
    <row r="502" spans="1:20" x14ac:dyDescent="0.2">
      <c r="A502" t="s">
        <v>595</v>
      </c>
      <c r="B502" s="2">
        <v>46193.74758132756</v>
      </c>
      <c r="C502" t="s">
        <v>98</v>
      </c>
      <c r="D502" t="s">
        <v>104</v>
      </c>
      <c r="E502" t="s">
        <v>56</v>
      </c>
      <c r="F502" t="s">
        <v>15</v>
      </c>
      <c r="G502" t="s">
        <v>62</v>
      </c>
      <c r="H502" t="str">
        <f>_xlfn.XLOOKUP(Table6[[#This Row],[SKU]],tblProductMaster[SKU],tblProductMaster[Product])</f>
        <v>Mouthwash 500ml</v>
      </c>
      <c r="I502">
        <v>584</v>
      </c>
      <c r="J502">
        <f>_xlfn.XLOOKUP(G502,[1]!tblProductMaster[SKU],[1]!tblProductMaster[List Price])</f>
        <v>5.99</v>
      </c>
      <c r="K502" t="s">
        <v>86</v>
      </c>
      <c r="L502" s="3">
        <v>0</v>
      </c>
      <c r="M502" s="9">
        <f t="shared" si="35"/>
        <v>5.99</v>
      </c>
      <c r="N502" s="8">
        <f t="shared" si="36"/>
        <v>3498.1600000000003</v>
      </c>
      <c r="O502" s="9">
        <f>_xlfn.XLOOKUP(G502,[1]!tblProductMaster[SKU],[1]!tblProductMaster[Unit Cost])</f>
        <v>2.4</v>
      </c>
      <c r="P502" s="8">
        <f t="shared" si="37"/>
        <v>1401.6</v>
      </c>
      <c r="Q502" s="8">
        <f t="shared" si="38"/>
        <v>2096.5600000000004</v>
      </c>
      <c r="R502" s="4">
        <f t="shared" si="39"/>
        <v>0.59933222036727885</v>
      </c>
      <c r="S502" t="s">
        <v>87</v>
      </c>
      <c r="T502">
        <f>Table6[[#This Row],[Discount]]*Table6[[#This Row],[List Price]]*Table6[[#This Row],[Units]]</f>
        <v>0</v>
      </c>
    </row>
    <row r="503" spans="1:20" x14ac:dyDescent="0.2">
      <c r="A503" t="s">
        <v>596</v>
      </c>
      <c r="B503" s="2">
        <v>46276.567936508276</v>
      </c>
      <c r="C503" t="s">
        <v>93</v>
      </c>
      <c r="D503" t="s">
        <v>104</v>
      </c>
      <c r="E503" t="s">
        <v>56</v>
      </c>
      <c r="F503" t="s">
        <v>7</v>
      </c>
      <c r="G503" t="s">
        <v>64</v>
      </c>
      <c r="H503" t="str">
        <f>_xlfn.XLOOKUP(Table6[[#This Row],[SKU]],tblProductMaster[SKU],tblProductMaster[Product])</f>
        <v>Toothbrush</v>
      </c>
      <c r="I503">
        <v>658</v>
      </c>
      <c r="J503">
        <f>_xlfn.XLOOKUP(G503,[1]!tblProductMaster[SKU],[1]!tblProductMaster[List Price])</f>
        <v>3.99</v>
      </c>
      <c r="K503" t="s">
        <v>89</v>
      </c>
      <c r="L503" s="3">
        <v>0.1</v>
      </c>
      <c r="M503" s="9">
        <f t="shared" si="35"/>
        <v>3.5910000000000002</v>
      </c>
      <c r="N503" s="8">
        <f t="shared" si="36"/>
        <v>2362.8780000000002</v>
      </c>
      <c r="O503" s="9">
        <f>_xlfn.XLOOKUP(G503,[1]!tblProductMaster[SKU],[1]!tblProductMaster[Unit Cost])</f>
        <v>1.5</v>
      </c>
      <c r="P503" s="8">
        <f t="shared" si="37"/>
        <v>987</v>
      </c>
      <c r="Q503" s="8">
        <f t="shared" si="38"/>
        <v>1375.8780000000002</v>
      </c>
      <c r="R503" s="4">
        <f t="shared" si="39"/>
        <v>0.58228905597326652</v>
      </c>
      <c r="S503" t="s">
        <v>90</v>
      </c>
      <c r="T503">
        <f>Table6[[#This Row],[Discount]]*Table6[[#This Row],[List Price]]*Table6[[#This Row],[Units]]</f>
        <v>262.54200000000003</v>
      </c>
    </row>
    <row r="504" spans="1:20" x14ac:dyDescent="0.2">
      <c r="A504" t="s">
        <v>597</v>
      </c>
      <c r="B504" s="2">
        <v>46324.445440504867</v>
      </c>
      <c r="C504" t="s">
        <v>84</v>
      </c>
      <c r="D504" t="s">
        <v>96</v>
      </c>
      <c r="E504" t="s">
        <v>8</v>
      </c>
      <c r="F504" t="s">
        <v>7</v>
      </c>
      <c r="G504" t="s">
        <v>6</v>
      </c>
      <c r="H504" t="str">
        <f>_xlfn.XLOOKUP(Table6[[#This Row],[SKU]],tblProductMaster[SKU],tblProductMaster[Product])</f>
        <v>Shampoo 250ml</v>
      </c>
      <c r="I504">
        <v>692</v>
      </c>
      <c r="J504">
        <f>_xlfn.XLOOKUP(G504,[1]!tblProductMaster[SKU],[1]!tblProductMaster[List Price])</f>
        <v>5.99</v>
      </c>
      <c r="K504" t="s">
        <v>89</v>
      </c>
      <c r="L504" s="3">
        <v>0.2</v>
      </c>
      <c r="M504" s="9">
        <f t="shared" si="35"/>
        <v>4.7920000000000007</v>
      </c>
      <c r="N504" s="8">
        <f t="shared" si="36"/>
        <v>3316.0640000000003</v>
      </c>
      <c r="O504" s="9">
        <f>_xlfn.XLOOKUP(G504,[1]!tblProductMaster[SKU],[1]!tblProductMaster[Unit Cost])</f>
        <v>2.4</v>
      </c>
      <c r="P504" s="8">
        <f t="shared" si="37"/>
        <v>1660.8</v>
      </c>
      <c r="Q504" s="8">
        <f t="shared" si="38"/>
        <v>1655.2640000000004</v>
      </c>
      <c r="R504" s="4">
        <f t="shared" si="39"/>
        <v>0.49916527545909856</v>
      </c>
      <c r="S504" t="s">
        <v>99</v>
      </c>
      <c r="T504">
        <f>Table6[[#This Row],[Discount]]*Table6[[#This Row],[List Price]]*Table6[[#This Row],[Units]]</f>
        <v>829.01600000000008</v>
      </c>
    </row>
    <row r="505" spans="1:20" x14ac:dyDescent="0.2">
      <c r="A505" t="s">
        <v>598</v>
      </c>
      <c r="B505" s="2">
        <v>46076.325857047377</v>
      </c>
      <c r="C505" t="s">
        <v>98</v>
      </c>
      <c r="D505" t="s">
        <v>104</v>
      </c>
      <c r="E505" t="s">
        <v>8</v>
      </c>
      <c r="F505" t="s">
        <v>7</v>
      </c>
      <c r="G505" t="s">
        <v>10</v>
      </c>
      <c r="H505" t="str">
        <f>_xlfn.XLOOKUP(Table6[[#This Row],[SKU]],tblProductMaster[SKU],tblProductMaster[Product])</f>
        <v>Shampoo 500ml</v>
      </c>
      <c r="I505">
        <v>617</v>
      </c>
      <c r="J505">
        <f>_xlfn.XLOOKUP(G505,[1]!tblProductMaster[SKU],[1]!tblProductMaster[List Price])</f>
        <v>8.99</v>
      </c>
      <c r="K505" t="s">
        <v>89</v>
      </c>
      <c r="L505" s="3">
        <v>0.1</v>
      </c>
      <c r="M505" s="9">
        <f t="shared" si="35"/>
        <v>8.0910000000000011</v>
      </c>
      <c r="N505" s="8">
        <f t="shared" si="36"/>
        <v>4992.1470000000008</v>
      </c>
      <c r="O505" s="9">
        <f>_xlfn.XLOOKUP(G505,[1]!tblProductMaster[SKU],[1]!tblProductMaster[Unit Cost])</f>
        <v>3.6</v>
      </c>
      <c r="P505" s="8">
        <f t="shared" si="37"/>
        <v>2221.2000000000003</v>
      </c>
      <c r="Q505" s="8">
        <f t="shared" si="38"/>
        <v>2770.9470000000006</v>
      </c>
      <c r="R505" s="4">
        <f t="shared" si="39"/>
        <v>0.55506117908787544</v>
      </c>
      <c r="S505" t="s">
        <v>94</v>
      </c>
      <c r="T505">
        <f>Table6[[#This Row],[Discount]]*Table6[[#This Row],[List Price]]*Table6[[#This Row],[Units]]</f>
        <v>554.68299999999999</v>
      </c>
    </row>
    <row r="506" spans="1:20" x14ac:dyDescent="0.2">
      <c r="A506" t="s">
        <v>599</v>
      </c>
      <c r="B506" s="2">
        <v>46072.646375504475</v>
      </c>
      <c r="C506" t="s">
        <v>84</v>
      </c>
      <c r="D506" t="s">
        <v>85</v>
      </c>
      <c r="E506" t="s">
        <v>40</v>
      </c>
      <c r="F506" t="s">
        <v>18</v>
      </c>
      <c r="G506" t="s">
        <v>42</v>
      </c>
      <c r="H506" t="str">
        <f>_xlfn.XLOOKUP(Table6[[#This Row],[SKU]],tblProductMaster[SKU],tblProductMaster[Product])</f>
        <v>Detergent Capsules</v>
      </c>
      <c r="I506">
        <v>295</v>
      </c>
      <c r="J506">
        <f>_xlfn.XLOOKUP(G506,[1]!tblProductMaster[SKU],[1]!tblProductMaster[List Price])</f>
        <v>11.99</v>
      </c>
      <c r="K506" t="s">
        <v>86</v>
      </c>
      <c r="L506" s="3">
        <v>0</v>
      </c>
      <c r="M506" s="9">
        <f t="shared" si="35"/>
        <v>11.99</v>
      </c>
      <c r="N506" s="8">
        <f t="shared" si="36"/>
        <v>3537.05</v>
      </c>
      <c r="O506" s="9">
        <f>_xlfn.XLOOKUP(G506,[1]!tblProductMaster[SKU],[1]!tblProductMaster[Unit Cost])</f>
        <v>5.2</v>
      </c>
      <c r="P506" s="8">
        <f t="shared" si="37"/>
        <v>1534</v>
      </c>
      <c r="Q506" s="8">
        <f t="shared" si="38"/>
        <v>2003.0500000000002</v>
      </c>
      <c r="R506" s="4">
        <f t="shared" si="39"/>
        <v>0.56630525437864887</v>
      </c>
      <c r="S506" t="s">
        <v>87</v>
      </c>
      <c r="T506">
        <f>Table6[[#This Row],[Discount]]*Table6[[#This Row],[List Price]]*Table6[[#This Row],[Units]]</f>
        <v>0</v>
      </c>
    </row>
    <row r="507" spans="1:20" x14ac:dyDescent="0.2">
      <c r="A507" t="s">
        <v>600</v>
      </c>
      <c r="B507" s="2">
        <v>46122.079711651793</v>
      </c>
      <c r="C507" t="s">
        <v>98</v>
      </c>
      <c r="D507" t="s">
        <v>96</v>
      </c>
      <c r="E507" t="s">
        <v>56</v>
      </c>
      <c r="F507" t="s">
        <v>15</v>
      </c>
      <c r="G507" t="s">
        <v>62</v>
      </c>
      <c r="H507" t="str">
        <f>_xlfn.XLOOKUP(Table6[[#This Row],[SKU]],tblProductMaster[SKU],tblProductMaster[Product])</f>
        <v>Mouthwash 500ml</v>
      </c>
      <c r="I507">
        <v>483</v>
      </c>
      <c r="J507">
        <f>_xlfn.XLOOKUP(G507,[1]!tblProductMaster[SKU],[1]!tblProductMaster[List Price])</f>
        <v>5.99</v>
      </c>
      <c r="K507" t="s">
        <v>86</v>
      </c>
      <c r="L507" s="3">
        <v>0</v>
      </c>
      <c r="M507" s="9">
        <f t="shared" si="35"/>
        <v>5.99</v>
      </c>
      <c r="N507" s="8">
        <f t="shared" si="36"/>
        <v>2893.17</v>
      </c>
      <c r="O507" s="9">
        <f>_xlfn.XLOOKUP(G507,[1]!tblProductMaster[SKU],[1]!tblProductMaster[Unit Cost])</f>
        <v>2.4</v>
      </c>
      <c r="P507" s="8">
        <f t="shared" si="37"/>
        <v>1159.2</v>
      </c>
      <c r="Q507" s="8">
        <f t="shared" si="38"/>
        <v>1733.97</v>
      </c>
      <c r="R507" s="4">
        <f t="shared" si="39"/>
        <v>0.59933222036727885</v>
      </c>
      <c r="S507" t="s">
        <v>87</v>
      </c>
      <c r="T507">
        <f>Table6[[#This Row],[Discount]]*Table6[[#This Row],[List Price]]*Table6[[#This Row],[Units]]</f>
        <v>0</v>
      </c>
    </row>
    <row r="508" spans="1:20" x14ac:dyDescent="0.2">
      <c r="A508" t="s">
        <v>601</v>
      </c>
      <c r="B508" s="2">
        <v>46331.858974185088</v>
      </c>
      <c r="C508" t="s">
        <v>93</v>
      </c>
      <c r="D508" t="s">
        <v>85</v>
      </c>
      <c r="E508" t="s">
        <v>40</v>
      </c>
      <c r="F508" t="s">
        <v>18</v>
      </c>
      <c r="G508" t="s">
        <v>42</v>
      </c>
      <c r="H508" t="str">
        <f>_xlfn.XLOOKUP(Table6[[#This Row],[SKU]],tblProductMaster[SKU],tblProductMaster[Product])</f>
        <v>Detergent Capsules</v>
      </c>
      <c r="I508">
        <v>749</v>
      </c>
      <c r="J508">
        <f>_xlfn.XLOOKUP(G508,[1]!tblProductMaster[SKU],[1]!tblProductMaster[List Price])</f>
        <v>11.99</v>
      </c>
      <c r="K508" t="s">
        <v>86</v>
      </c>
      <c r="L508" s="3">
        <v>0</v>
      </c>
      <c r="M508" s="9">
        <f t="shared" si="35"/>
        <v>11.99</v>
      </c>
      <c r="N508" s="8">
        <f t="shared" si="36"/>
        <v>8980.51</v>
      </c>
      <c r="O508" s="9">
        <f>_xlfn.XLOOKUP(G508,[1]!tblProductMaster[SKU],[1]!tblProductMaster[Unit Cost])</f>
        <v>5.2</v>
      </c>
      <c r="P508" s="8">
        <f t="shared" si="37"/>
        <v>3894.8</v>
      </c>
      <c r="Q508" s="8">
        <f t="shared" si="38"/>
        <v>5085.71</v>
      </c>
      <c r="R508" s="4">
        <f t="shared" si="39"/>
        <v>0.56630525437864887</v>
      </c>
      <c r="S508" t="s">
        <v>87</v>
      </c>
      <c r="T508">
        <f>Table6[[#This Row],[Discount]]*Table6[[#This Row],[List Price]]*Table6[[#This Row],[Units]]</f>
        <v>0</v>
      </c>
    </row>
    <row r="509" spans="1:20" x14ac:dyDescent="0.2">
      <c r="A509" t="s">
        <v>602</v>
      </c>
      <c r="B509" s="2">
        <v>46197.653437039058</v>
      </c>
      <c r="C509" t="s">
        <v>93</v>
      </c>
      <c r="D509" t="s">
        <v>96</v>
      </c>
      <c r="E509" t="s">
        <v>56</v>
      </c>
      <c r="F509" t="s">
        <v>15</v>
      </c>
      <c r="G509" t="s">
        <v>55</v>
      </c>
      <c r="H509" t="str">
        <f>_xlfn.XLOOKUP(Table6[[#This Row],[SKU]],tblProductMaster[SKU],tblProductMaster[Product])</f>
        <v>Toothpaste 75ml</v>
      </c>
      <c r="I509">
        <v>496</v>
      </c>
      <c r="J509">
        <f>_xlfn.XLOOKUP(G509,[1]!tblProductMaster[SKU],[1]!tblProductMaster[List Price])</f>
        <v>3.49</v>
      </c>
      <c r="K509" t="s">
        <v>86</v>
      </c>
      <c r="L509" s="3">
        <v>0</v>
      </c>
      <c r="M509" s="9">
        <f t="shared" si="35"/>
        <v>3.49</v>
      </c>
      <c r="N509" s="8">
        <f t="shared" si="36"/>
        <v>1731.0400000000002</v>
      </c>
      <c r="O509" s="9">
        <f>_xlfn.XLOOKUP(G509,[1]!tblProductMaster[SKU],[1]!tblProductMaster[Unit Cost])</f>
        <v>1.2</v>
      </c>
      <c r="P509" s="8">
        <f t="shared" si="37"/>
        <v>595.19999999999993</v>
      </c>
      <c r="Q509" s="8">
        <f t="shared" si="38"/>
        <v>1135.8400000000001</v>
      </c>
      <c r="R509" s="4">
        <f t="shared" si="39"/>
        <v>0.65616045845272208</v>
      </c>
      <c r="S509" t="s">
        <v>87</v>
      </c>
      <c r="T509">
        <f>Table6[[#This Row],[Discount]]*Table6[[#This Row],[List Price]]*Table6[[#This Row],[Units]]</f>
        <v>0</v>
      </c>
    </row>
    <row r="510" spans="1:20" x14ac:dyDescent="0.2">
      <c r="A510" t="s">
        <v>603</v>
      </c>
      <c r="B510" s="2">
        <v>46153.282796049993</v>
      </c>
      <c r="C510" t="s">
        <v>93</v>
      </c>
      <c r="D510" t="s">
        <v>96</v>
      </c>
      <c r="E510" t="s">
        <v>40</v>
      </c>
      <c r="F510" t="s">
        <v>7</v>
      </c>
      <c r="G510" t="s">
        <v>48</v>
      </c>
      <c r="H510" t="str">
        <f>_xlfn.XLOOKUP(Table6[[#This Row],[SKU]],tblProductMaster[SKU],tblProductMaster[Product])</f>
        <v>Color Detergent</v>
      </c>
      <c r="I510">
        <v>624</v>
      </c>
      <c r="J510">
        <f>_xlfn.XLOOKUP(G510,[1]!tblProductMaster[SKU],[1]!tblProductMaster[List Price])</f>
        <v>9.49</v>
      </c>
      <c r="K510" t="s">
        <v>86</v>
      </c>
      <c r="L510" s="3">
        <v>0</v>
      </c>
      <c r="M510" s="9">
        <f t="shared" si="35"/>
        <v>9.49</v>
      </c>
      <c r="N510" s="8">
        <f t="shared" si="36"/>
        <v>5921.76</v>
      </c>
      <c r="O510" s="9">
        <f>_xlfn.XLOOKUP(G510,[1]!tblProductMaster[SKU],[1]!tblProductMaster[Unit Cost])</f>
        <v>4</v>
      </c>
      <c r="P510" s="8">
        <f t="shared" si="37"/>
        <v>2496</v>
      </c>
      <c r="Q510" s="8">
        <f t="shared" si="38"/>
        <v>3425.76</v>
      </c>
      <c r="R510" s="4">
        <f t="shared" si="39"/>
        <v>0.57850368809272923</v>
      </c>
      <c r="S510" t="s">
        <v>87</v>
      </c>
      <c r="T510">
        <f>Table6[[#This Row],[Discount]]*Table6[[#This Row],[List Price]]*Table6[[#This Row],[Units]]</f>
        <v>0</v>
      </c>
    </row>
    <row r="511" spans="1:20" x14ac:dyDescent="0.2">
      <c r="A511" t="s">
        <v>604</v>
      </c>
      <c r="B511" s="2">
        <v>46264.465097332475</v>
      </c>
      <c r="C511" t="s">
        <v>98</v>
      </c>
      <c r="D511" t="s">
        <v>85</v>
      </c>
      <c r="E511" t="s">
        <v>8</v>
      </c>
      <c r="F511" t="s">
        <v>7</v>
      </c>
      <c r="G511" t="s">
        <v>10</v>
      </c>
      <c r="H511" t="str">
        <f>_xlfn.XLOOKUP(Table6[[#This Row],[SKU]],tblProductMaster[SKU],tblProductMaster[Product])</f>
        <v>Shampoo 500ml</v>
      </c>
      <c r="I511">
        <v>1107</v>
      </c>
      <c r="J511">
        <f>_xlfn.XLOOKUP(G511,[1]!tblProductMaster[SKU],[1]!tblProductMaster[List Price])</f>
        <v>8.99</v>
      </c>
      <c r="K511" t="s">
        <v>89</v>
      </c>
      <c r="L511" s="3">
        <v>0.1</v>
      </c>
      <c r="M511" s="9">
        <f t="shared" si="35"/>
        <v>8.0910000000000011</v>
      </c>
      <c r="N511" s="8">
        <f t="shared" si="36"/>
        <v>8956.737000000001</v>
      </c>
      <c r="O511" s="9">
        <f>_xlfn.XLOOKUP(G511,[1]!tblProductMaster[SKU],[1]!tblProductMaster[Unit Cost])</f>
        <v>3.6</v>
      </c>
      <c r="P511" s="8">
        <f t="shared" si="37"/>
        <v>3985.2000000000003</v>
      </c>
      <c r="Q511" s="8">
        <f t="shared" si="38"/>
        <v>4971.5370000000003</v>
      </c>
      <c r="R511" s="4">
        <f t="shared" si="39"/>
        <v>0.55506117908787533</v>
      </c>
      <c r="S511" t="s">
        <v>99</v>
      </c>
      <c r="T511">
        <f>Table6[[#This Row],[Discount]]*Table6[[#This Row],[List Price]]*Table6[[#This Row],[Units]]</f>
        <v>995.19299999999998</v>
      </c>
    </row>
    <row r="512" spans="1:20" x14ac:dyDescent="0.2">
      <c r="A512" t="s">
        <v>605</v>
      </c>
      <c r="B512" s="2">
        <v>46228.045102316821</v>
      </c>
      <c r="C512" t="s">
        <v>93</v>
      </c>
      <c r="D512" t="s">
        <v>104</v>
      </c>
      <c r="E512" t="s">
        <v>8</v>
      </c>
      <c r="F512" t="s">
        <v>15</v>
      </c>
      <c r="G512" t="s">
        <v>16</v>
      </c>
      <c r="H512" t="str">
        <f>_xlfn.XLOOKUP(Table6[[#This Row],[SKU]],tblProductMaster[SKU],tblProductMaster[Product])</f>
        <v>Conditioner 250ml</v>
      </c>
      <c r="I512">
        <v>497</v>
      </c>
      <c r="J512">
        <f>_xlfn.XLOOKUP(G512,[1]!tblProductMaster[SKU],[1]!tblProductMaster[List Price])</f>
        <v>4.79</v>
      </c>
      <c r="K512" t="s">
        <v>86</v>
      </c>
      <c r="L512" s="3">
        <v>0</v>
      </c>
      <c r="M512" s="9">
        <f t="shared" si="35"/>
        <v>4.79</v>
      </c>
      <c r="N512" s="8">
        <f t="shared" si="36"/>
        <v>2380.63</v>
      </c>
      <c r="O512" s="9">
        <f>_xlfn.XLOOKUP(G512,[1]!tblProductMaster[SKU],[1]!tblProductMaster[Unit Cost])</f>
        <v>2</v>
      </c>
      <c r="P512" s="8">
        <f t="shared" si="37"/>
        <v>994</v>
      </c>
      <c r="Q512" s="8">
        <f t="shared" si="38"/>
        <v>1386.63</v>
      </c>
      <c r="R512" s="4">
        <f t="shared" si="39"/>
        <v>0.58246346555323592</v>
      </c>
      <c r="S512" t="s">
        <v>87</v>
      </c>
      <c r="T512">
        <f>Table6[[#This Row],[Discount]]*Table6[[#This Row],[List Price]]*Table6[[#This Row],[Units]]</f>
        <v>0</v>
      </c>
    </row>
    <row r="513" spans="1:20" x14ac:dyDescent="0.2">
      <c r="A513" t="s">
        <v>606</v>
      </c>
      <c r="B513" s="2">
        <v>46186.229016959413</v>
      </c>
      <c r="C513" t="s">
        <v>93</v>
      </c>
      <c r="D513" t="s">
        <v>104</v>
      </c>
      <c r="E513" t="s">
        <v>8</v>
      </c>
      <c r="F513" t="s">
        <v>7</v>
      </c>
      <c r="G513" t="s">
        <v>12</v>
      </c>
      <c r="H513" t="str">
        <f>_xlfn.XLOOKUP(Table6[[#This Row],[SKU]],tblProductMaster[SKU],tblProductMaster[Product])</f>
        <v>Conditioner 250ml</v>
      </c>
      <c r="I513">
        <v>1005</v>
      </c>
      <c r="J513">
        <f>_xlfn.XLOOKUP(G513,[1]!tblProductMaster[SKU],[1]!tblProductMaster[List Price])</f>
        <v>5.49</v>
      </c>
      <c r="K513" t="s">
        <v>89</v>
      </c>
      <c r="L513" s="3">
        <v>0.2</v>
      </c>
      <c r="M513" s="9">
        <f t="shared" si="35"/>
        <v>4.3920000000000003</v>
      </c>
      <c r="N513" s="8">
        <f t="shared" si="36"/>
        <v>4413.96</v>
      </c>
      <c r="O513" s="9">
        <f>_xlfn.XLOOKUP(G513,[1]!tblProductMaster[SKU],[1]!tblProductMaster[Unit Cost])</f>
        <v>2.2000000000000002</v>
      </c>
      <c r="P513" s="8">
        <f t="shared" si="37"/>
        <v>2211</v>
      </c>
      <c r="Q513" s="8">
        <f t="shared" si="38"/>
        <v>2202.96</v>
      </c>
      <c r="R513" s="4">
        <f t="shared" si="39"/>
        <v>0.49908925318761382</v>
      </c>
      <c r="S513" t="s">
        <v>90</v>
      </c>
      <c r="T513">
        <f>Table6[[#This Row],[Discount]]*Table6[[#This Row],[List Price]]*Table6[[#This Row],[Units]]</f>
        <v>1103.49</v>
      </c>
    </row>
    <row r="514" spans="1:20" x14ac:dyDescent="0.2">
      <c r="A514" t="s">
        <v>607</v>
      </c>
      <c r="B514" s="2">
        <v>46213.624824368162</v>
      </c>
      <c r="C514" t="s">
        <v>93</v>
      </c>
      <c r="D514" t="s">
        <v>104</v>
      </c>
      <c r="E514" t="s">
        <v>8</v>
      </c>
      <c r="F514" t="s">
        <v>7</v>
      </c>
      <c r="G514" t="s">
        <v>10</v>
      </c>
      <c r="H514" t="str">
        <f>_xlfn.XLOOKUP(Table6[[#This Row],[SKU]],tblProductMaster[SKU],tblProductMaster[Product])</f>
        <v>Shampoo 500ml</v>
      </c>
      <c r="I514">
        <v>772</v>
      </c>
      <c r="J514">
        <f>_xlfn.XLOOKUP(G514,[1]!tblProductMaster[SKU],[1]!tblProductMaster[List Price])</f>
        <v>8.99</v>
      </c>
      <c r="K514" t="s">
        <v>89</v>
      </c>
      <c r="L514" s="3">
        <v>0.1</v>
      </c>
      <c r="M514" s="9">
        <f t="shared" si="35"/>
        <v>8.0910000000000011</v>
      </c>
      <c r="N514" s="8">
        <f t="shared" si="36"/>
        <v>6246.2520000000004</v>
      </c>
      <c r="O514" s="9">
        <f>_xlfn.XLOOKUP(G514,[1]!tblProductMaster[SKU],[1]!tblProductMaster[Unit Cost])</f>
        <v>3.6</v>
      </c>
      <c r="P514" s="8">
        <f t="shared" si="37"/>
        <v>2779.2000000000003</v>
      </c>
      <c r="Q514" s="8">
        <f t="shared" si="38"/>
        <v>3467.0520000000001</v>
      </c>
      <c r="R514" s="4">
        <f t="shared" si="39"/>
        <v>0.55506117908787544</v>
      </c>
      <c r="S514" t="s">
        <v>94</v>
      </c>
      <c r="T514">
        <f>Table6[[#This Row],[Discount]]*Table6[[#This Row],[List Price]]*Table6[[#This Row],[Units]]</f>
        <v>694.02800000000002</v>
      </c>
    </row>
    <row r="515" spans="1:20" x14ac:dyDescent="0.2">
      <c r="A515" t="s">
        <v>608</v>
      </c>
      <c r="B515" s="2">
        <v>46040.133618584849</v>
      </c>
      <c r="C515" t="s">
        <v>93</v>
      </c>
      <c r="D515" t="s">
        <v>85</v>
      </c>
      <c r="E515" t="s">
        <v>40</v>
      </c>
      <c r="F515" t="s">
        <v>15</v>
      </c>
      <c r="G515" t="s">
        <v>52</v>
      </c>
      <c r="H515" t="str">
        <f>_xlfn.XLOOKUP(Table6[[#This Row],[SKU]],tblProductMaster[SKU],tblProductMaster[Product])</f>
        <v>Laundry Pods</v>
      </c>
      <c r="I515">
        <v>580</v>
      </c>
      <c r="J515">
        <f>_xlfn.XLOOKUP(G515,[1]!tblProductMaster[SKU],[1]!tblProductMaster[List Price])</f>
        <v>10.49</v>
      </c>
      <c r="K515" t="s">
        <v>86</v>
      </c>
      <c r="L515" s="3">
        <v>0</v>
      </c>
      <c r="M515" s="9">
        <f t="shared" ref="M515:M578" si="40">J515*(1-L515)</f>
        <v>10.49</v>
      </c>
      <c r="N515" s="8">
        <f t="shared" ref="N515:N578" si="41">M515*I515</f>
        <v>6084.2</v>
      </c>
      <c r="O515" s="9">
        <f>_xlfn.XLOOKUP(G515,[1]!tblProductMaster[SKU],[1]!tblProductMaster[Unit Cost])</f>
        <v>4.5999999999999996</v>
      </c>
      <c r="P515" s="8">
        <f t="shared" ref="P515:P578" si="42">O515*I515</f>
        <v>2668</v>
      </c>
      <c r="Q515" s="8">
        <f t="shared" ref="Q515:Q578" si="43">N515-P515</f>
        <v>3416.2</v>
      </c>
      <c r="R515" s="4">
        <f t="shared" ref="R515:R578" si="44">Q515/N515</f>
        <v>0.56148713060057198</v>
      </c>
      <c r="S515" t="s">
        <v>87</v>
      </c>
      <c r="T515">
        <f>Table6[[#This Row],[Discount]]*Table6[[#This Row],[List Price]]*Table6[[#This Row],[Units]]</f>
        <v>0</v>
      </c>
    </row>
    <row r="516" spans="1:20" x14ac:dyDescent="0.2">
      <c r="A516" t="s">
        <v>609</v>
      </c>
      <c r="B516" s="2">
        <v>46143.673314293948</v>
      </c>
      <c r="C516" t="s">
        <v>93</v>
      </c>
      <c r="D516" t="s">
        <v>85</v>
      </c>
      <c r="E516" t="s">
        <v>40</v>
      </c>
      <c r="F516" t="s">
        <v>15</v>
      </c>
      <c r="G516" t="s">
        <v>46</v>
      </c>
      <c r="H516" t="str">
        <f>_xlfn.XLOOKUP(Table6[[#This Row],[SKU]],tblProductMaster[SKU],tblProductMaster[Product])</f>
        <v>Stain Remover</v>
      </c>
      <c r="I516">
        <v>640</v>
      </c>
      <c r="J516">
        <f>_xlfn.XLOOKUP(G516,[1]!tblProductMaster[SKU],[1]!tblProductMaster[List Price])</f>
        <v>5.99</v>
      </c>
      <c r="K516" t="s">
        <v>86</v>
      </c>
      <c r="L516" s="3">
        <v>0</v>
      </c>
      <c r="M516" s="9">
        <f t="shared" si="40"/>
        <v>5.99</v>
      </c>
      <c r="N516" s="8">
        <f t="shared" si="41"/>
        <v>3833.6000000000004</v>
      </c>
      <c r="O516" s="9">
        <f>_xlfn.XLOOKUP(G516,[1]!tblProductMaster[SKU],[1]!tblProductMaster[Unit Cost])</f>
        <v>2.5</v>
      </c>
      <c r="P516" s="8">
        <f t="shared" si="42"/>
        <v>1600</v>
      </c>
      <c r="Q516" s="8">
        <f t="shared" si="43"/>
        <v>2233.6000000000004</v>
      </c>
      <c r="R516" s="4">
        <f t="shared" si="44"/>
        <v>0.58263772954924875</v>
      </c>
      <c r="S516" t="s">
        <v>87</v>
      </c>
      <c r="T516">
        <f>Table6[[#This Row],[Discount]]*Table6[[#This Row],[List Price]]*Table6[[#This Row],[Units]]</f>
        <v>0</v>
      </c>
    </row>
    <row r="517" spans="1:20" x14ac:dyDescent="0.2">
      <c r="A517" t="s">
        <v>610</v>
      </c>
      <c r="B517" s="2">
        <v>46320.958876816367</v>
      </c>
      <c r="C517" t="s">
        <v>98</v>
      </c>
      <c r="D517" t="s">
        <v>104</v>
      </c>
      <c r="E517" t="s">
        <v>40</v>
      </c>
      <c r="F517" t="s">
        <v>15</v>
      </c>
      <c r="G517" t="s">
        <v>39</v>
      </c>
      <c r="H517" t="str">
        <f>_xlfn.XLOOKUP(Table6[[#This Row],[SKU]],tblProductMaster[SKU],tblProductMaster[Product])</f>
        <v>Detergent 1L</v>
      </c>
      <c r="I517">
        <v>214</v>
      </c>
      <c r="J517">
        <f>_xlfn.XLOOKUP(G517,[1]!tblProductMaster[SKU],[1]!tblProductMaster[List Price])</f>
        <v>8.49</v>
      </c>
      <c r="K517" t="s">
        <v>86</v>
      </c>
      <c r="L517" s="3">
        <v>0</v>
      </c>
      <c r="M517" s="9">
        <f t="shared" si="40"/>
        <v>8.49</v>
      </c>
      <c r="N517" s="8">
        <f t="shared" si="41"/>
        <v>1816.8600000000001</v>
      </c>
      <c r="O517" s="9">
        <f>_xlfn.XLOOKUP(G517,[1]!tblProductMaster[SKU],[1]!tblProductMaster[Unit Cost])</f>
        <v>3.8</v>
      </c>
      <c r="P517" s="8">
        <f t="shared" si="42"/>
        <v>813.19999999999993</v>
      </c>
      <c r="Q517" s="8">
        <f t="shared" si="43"/>
        <v>1003.6600000000002</v>
      </c>
      <c r="R517" s="4">
        <f t="shared" si="44"/>
        <v>0.55241460541813903</v>
      </c>
      <c r="S517" t="s">
        <v>87</v>
      </c>
      <c r="T517">
        <f>Table6[[#This Row],[Discount]]*Table6[[#This Row],[List Price]]*Table6[[#This Row],[Units]]</f>
        <v>0</v>
      </c>
    </row>
    <row r="518" spans="1:20" x14ac:dyDescent="0.2">
      <c r="A518" t="s">
        <v>611</v>
      </c>
      <c r="B518" s="2">
        <v>46307.434054906022</v>
      </c>
      <c r="C518" t="s">
        <v>98</v>
      </c>
      <c r="D518" t="s">
        <v>85</v>
      </c>
      <c r="E518" t="s">
        <v>56</v>
      </c>
      <c r="F518" t="s">
        <v>15</v>
      </c>
      <c r="G518" t="s">
        <v>62</v>
      </c>
      <c r="H518" t="str">
        <f>_xlfn.XLOOKUP(Table6[[#This Row],[SKU]],tblProductMaster[SKU],tblProductMaster[Product])</f>
        <v>Mouthwash 500ml</v>
      </c>
      <c r="I518">
        <v>491</v>
      </c>
      <c r="J518">
        <f>_xlfn.XLOOKUP(G518,[1]!tblProductMaster[SKU],[1]!tblProductMaster[List Price])</f>
        <v>5.99</v>
      </c>
      <c r="K518" t="s">
        <v>86</v>
      </c>
      <c r="L518" s="3">
        <v>0</v>
      </c>
      <c r="M518" s="9">
        <f t="shared" si="40"/>
        <v>5.99</v>
      </c>
      <c r="N518" s="8">
        <f t="shared" si="41"/>
        <v>2941.09</v>
      </c>
      <c r="O518" s="9">
        <f>_xlfn.XLOOKUP(G518,[1]!tblProductMaster[SKU],[1]!tblProductMaster[Unit Cost])</f>
        <v>2.4</v>
      </c>
      <c r="P518" s="8">
        <f t="shared" si="42"/>
        <v>1178.3999999999999</v>
      </c>
      <c r="Q518" s="8">
        <f t="shared" si="43"/>
        <v>1762.6900000000003</v>
      </c>
      <c r="R518" s="4">
        <f t="shared" si="44"/>
        <v>0.59933222036727885</v>
      </c>
      <c r="S518" t="s">
        <v>87</v>
      </c>
      <c r="T518">
        <f>Table6[[#This Row],[Discount]]*Table6[[#This Row],[List Price]]*Table6[[#This Row],[Units]]</f>
        <v>0</v>
      </c>
    </row>
    <row r="519" spans="1:20" x14ac:dyDescent="0.2">
      <c r="A519" t="s">
        <v>612</v>
      </c>
      <c r="B519" s="2">
        <v>46089.275711359216</v>
      </c>
      <c r="C519" t="s">
        <v>98</v>
      </c>
      <c r="D519" t="s">
        <v>104</v>
      </c>
      <c r="E519" t="s">
        <v>8</v>
      </c>
      <c r="F519" t="s">
        <v>18</v>
      </c>
      <c r="G519" t="s">
        <v>17</v>
      </c>
      <c r="H519" t="str">
        <f>_xlfn.XLOOKUP(Table6[[#This Row],[SKU]],tblProductMaster[SKU],tblProductMaster[Product])</f>
        <v>Anti-Dandruff Shampoo</v>
      </c>
      <c r="I519">
        <v>528</v>
      </c>
      <c r="J519">
        <f>_xlfn.XLOOKUP(G519,[1]!tblProductMaster[SKU],[1]!tblProductMaster[List Price])</f>
        <v>6.49</v>
      </c>
      <c r="K519" t="s">
        <v>86</v>
      </c>
      <c r="L519" s="3">
        <v>0</v>
      </c>
      <c r="M519" s="9">
        <f t="shared" si="40"/>
        <v>6.49</v>
      </c>
      <c r="N519" s="8">
        <f t="shared" si="41"/>
        <v>3426.7200000000003</v>
      </c>
      <c r="O519" s="9">
        <f>_xlfn.XLOOKUP(G519,[1]!tblProductMaster[SKU],[1]!tblProductMaster[Unit Cost])</f>
        <v>2.8</v>
      </c>
      <c r="P519" s="8">
        <f t="shared" si="42"/>
        <v>1478.3999999999999</v>
      </c>
      <c r="Q519" s="8">
        <f t="shared" si="43"/>
        <v>1948.3200000000004</v>
      </c>
      <c r="R519" s="4">
        <f t="shared" si="44"/>
        <v>0.5685670261941449</v>
      </c>
      <c r="S519" t="s">
        <v>87</v>
      </c>
      <c r="T519">
        <f>Table6[[#This Row],[Discount]]*Table6[[#This Row],[List Price]]*Table6[[#This Row],[Units]]</f>
        <v>0</v>
      </c>
    </row>
    <row r="520" spans="1:20" x14ac:dyDescent="0.2">
      <c r="A520" t="s">
        <v>613</v>
      </c>
      <c r="B520" s="2">
        <v>46155.824809710866</v>
      </c>
      <c r="C520" t="s">
        <v>98</v>
      </c>
      <c r="D520" t="s">
        <v>96</v>
      </c>
      <c r="E520" t="s">
        <v>40</v>
      </c>
      <c r="F520" t="s">
        <v>15</v>
      </c>
      <c r="G520" t="s">
        <v>52</v>
      </c>
      <c r="H520" t="str">
        <f>_xlfn.XLOOKUP(Table6[[#This Row],[SKU]],tblProductMaster[SKU],tblProductMaster[Product])</f>
        <v>Laundry Pods</v>
      </c>
      <c r="I520">
        <v>466</v>
      </c>
      <c r="J520">
        <f>_xlfn.XLOOKUP(G520,[1]!tblProductMaster[SKU],[1]!tblProductMaster[List Price])</f>
        <v>10.49</v>
      </c>
      <c r="K520" t="s">
        <v>86</v>
      </c>
      <c r="L520" s="3">
        <v>0</v>
      </c>
      <c r="M520" s="9">
        <f t="shared" si="40"/>
        <v>10.49</v>
      </c>
      <c r="N520" s="8">
        <f t="shared" si="41"/>
        <v>4888.34</v>
      </c>
      <c r="O520" s="9">
        <f>_xlfn.XLOOKUP(G520,[1]!tblProductMaster[SKU],[1]!tblProductMaster[Unit Cost])</f>
        <v>4.5999999999999996</v>
      </c>
      <c r="P520" s="8">
        <f t="shared" si="42"/>
        <v>2143.6</v>
      </c>
      <c r="Q520" s="8">
        <f t="shared" si="43"/>
        <v>2744.7400000000002</v>
      </c>
      <c r="R520" s="4">
        <f t="shared" si="44"/>
        <v>0.56148713060057198</v>
      </c>
      <c r="S520" t="s">
        <v>87</v>
      </c>
      <c r="T520">
        <f>Table6[[#This Row],[Discount]]*Table6[[#This Row],[List Price]]*Table6[[#This Row],[Units]]</f>
        <v>0</v>
      </c>
    </row>
    <row r="521" spans="1:20" x14ac:dyDescent="0.2">
      <c r="A521" t="s">
        <v>614</v>
      </c>
      <c r="B521" s="2">
        <v>46037.703175585957</v>
      </c>
      <c r="C521" t="s">
        <v>93</v>
      </c>
      <c r="D521" t="s">
        <v>96</v>
      </c>
      <c r="E521" t="s">
        <v>56</v>
      </c>
      <c r="F521" t="s">
        <v>7</v>
      </c>
      <c r="G521" t="s">
        <v>64</v>
      </c>
      <c r="H521" t="str">
        <f>_xlfn.XLOOKUP(Table6[[#This Row],[SKU]],tblProductMaster[SKU],tblProductMaster[Product])</f>
        <v>Toothbrush</v>
      </c>
      <c r="I521">
        <v>1054</v>
      </c>
      <c r="J521">
        <f>_xlfn.XLOOKUP(G521,[1]!tblProductMaster[SKU],[1]!tblProductMaster[List Price])</f>
        <v>3.99</v>
      </c>
      <c r="K521" t="s">
        <v>89</v>
      </c>
      <c r="L521" s="3">
        <v>0.3</v>
      </c>
      <c r="M521" s="9">
        <f t="shared" si="40"/>
        <v>2.7930000000000001</v>
      </c>
      <c r="N521" s="8">
        <f t="shared" si="41"/>
        <v>2943.8220000000001</v>
      </c>
      <c r="O521" s="9">
        <f>_xlfn.XLOOKUP(G521,[1]!tblProductMaster[SKU],[1]!tblProductMaster[Unit Cost])</f>
        <v>1.5</v>
      </c>
      <c r="P521" s="8">
        <f t="shared" si="42"/>
        <v>1581</v>
      </c>
      <c r="Q521" s="8">
        <f t="shared" si="43"/>
        <v>1362.8220000000001</v>
      </c>
      <c r="R521" s="4">
        <f t="shared" si="44"/>
        <v>0.46294307196562839</v>
      </c>
      <c r="S521" t="s">
        <v>90</v>
      </c>
      <c r="T521">
        <f>Table6[[#This Row],[Discount]]*Table6[[#This Row],[List Price]]*Table6[[#This Row],[Units]]</f>
        <v>1261.6380000000001</v>
      </c>
    </row>
    <row r="522" spans="1:20" x14ac:dyDescent="0.2">
      <c r="A522" t="s">
        <v>615</v>
      </c>
      <c r="B522" s="2">
        <v>46279.395080490292</v>
      </c>
      <c r="C522" t="s">
        <v>98</v>
      </c>
      <c r="D522" t="s">
        <v>104</v>
      </c>
      <c r="E522" t="s">
        <v>56</v>
      </c>
      <c r="F522" t="s">
        <v>7</v>
      </c>
      <c r="G522" t="s">
        <v>64</v>
      </c>
      <c r="H522" t="str">
        <f>_xlfn.XLOOKUP(Table6[[#This Row],[SKU]],tblProductMaster[SKU],tblProductMaster[Product])</f>
        <v>Toothbrush</v>
      </c>
      <c r="I522">
        <v>407</v>
      </c>
      <c r="J522">
        <f>_xlfn.XLOOKUP(G522,[1]!tblProductMaster[SKU],[1]!tblProductMaster[List Price])</f>
        <v>3.99</v>
      </c>
      <c r="K522" t="s">
        <v>89</v>
      </c>
      <c r="L522" s="3">
        <v>0.3</v>
      </c>
      <c r="M522" s="9">
        <f t="shared" si="40"/>
        <v>2.7930000000000001</v>
      </c>
      <c r="N522" s="8">
        <f t="shared" si="41"/>
        <v>1136.751</v>
      </c>
      <c r="O522" s="9">
        <f>_xlfn.XLOOKUP(G522,[1]!tblProductMaster[SKU],[1]!tblProductMaster[Unit Cost])</f>
        <v>1.5</v>
      </c>
      <c r="P522" s="8">
        <f t="shared" si="42"/>
        <v>610.5</v>
      </c>
      <c r="Q522" s="8">
        <f t="shared" si="43"/>
        <v>526.25099999999998</v>
      </c>
      <c r="R522" s="4">
        <f t="shared" si="44"/>
        <v>0.46294307196562834</v>
      </c>
      <c r="S522" t="s">
        <v>99</v>
      </c>
      <c r="T522">
        <f>Table6[[#This Row],[Discount]]*Table6[[#This Row],[List Price]]*Table6[[#This Row],[Units]]</f>
        <v>487.17900000000003</v>
      </c>
    </row>
    <row r="523" spans="1:20" x14ac:dyDescent="0.2">
      <c r="A523" t="s">
        <v>616</v>
      </c>
      <c r="B523" s="2">
        <v>46151.950152880527</v>
      </c>
      <c r="C523" t="s">
        <v>93</v>
      </c>
      <c r="D523" t="s">
        <v>96</v>
      </c>
      <c r="E523" t="s">
        <v>56</v>
      </c>
      <c r="F523" t="s">
        <v>7</v>
      </c>
      <c r="G523" t="s">
        <v>66</v>
      </c>
      <c r="H523" t="str">
        <f>_xlfn.XLOOKUP(Table6[[#This Row],[SKU]],tblProductMaster[SKU],tblProductMaster[Product])</f>
        <v>Electric Brush Heads</v>
      </c>
      <c r="I523">
        <v>1105</v>
      </c>
      <c r="J523">
        <f>_xlfn.XLOOKUP(G523,[1]!tblProductMaster[SKU],[1]!tblProductMaster[List Price])</f>
        <v>12.99</v>
      </c>
      <c r="K523" t="s">
        <v>89</v>
      </c>
      <c r="L523" s="3">
        <v>0.2</v>
      </c>
      <c r="M523" s="9">
        <f t="shared" si="40"/>
        <v>10.392000000000001</v>
      </c>
      <c r="N523" s="8">
        <f t="shared" si="41"/>
        <v>11483.160000000002</v>
      </c>
      <c r="O523" s="9">
        <f>_xlfn.XLOOKUP(G523,[1]!tblProductMaster[SKU],[1]!tblProductMaster[Unit Cost])</f>
        <v>5.2</v>
      </c>
      <c r="P523" s="8">
        <f t="shared" si="42"/>
        <v>5746</v>
      </c>
      <c r="Q523" s="8">
        <f t="shared" si="43"/>
        <v>5737.1600000000017</v>
      </c>
      <c r="R523" s="4">
        <f t="shared" si="44"/>
        <v>0.49961508852963826</v>
      </c>
      <c r="S523" t="s">
        <v>94</v>
      </c>
      <c r="T523">
        <f>Table6[[#This Row],[Discount]]*Table6[[#This Row],[List Price]]*Table6[[#This Row],[Units]]</f>
        <v>2870.7900000000004</v>
      </c>
    </row>
    <row r="524" spans="1:20" x14ac:dyDescent="0.2">
      <c r="A524" t="s">
        <v>617</v>
      </c>
      <c r="B524" s="2">
        <v>46103.600116970279</v>
      </c>
      <c r="C524" t="s">
        <v>93</v>
      </c>
      <c r="D524" t="s">
        <v>104</v>
      </c>
      <c r="E524" t="s">
        <v>25</v>
      </c>
      <c r="F524" t="s">
        <v>18</v>
      </c>
      <c r="G524" t="s">
        <v>27</v>
      </c>
      <c r="H524" t="str">
        <f>_xlfn.XLOOKUP(Table6[[#This Row],[SKU]],tblProductMaster[SKU],tblProductMaster[Product])</f>
        <v>Face Cream 50ml</v>
      </c>
      <c r="I524">
        <v>730</v>
      </c>
      <c r="J524">
        <f>_xlfn.XLOOKUP(G524,[1]!tblProductMaster[SKU],[1]!tblProductMaster[List Price])</f>
        <v>9.99</v>
      </c>
      <c r="K524" t="s">
        <v>89</v>
      </c>
      <c r="L524" s="3">
        <v>0.2</v>
      </c>
      <c r="M524" s="9">
        <f t="shared" si="40"/>
        <v>7.9920000000000009</v>
      </c>
      <c r="N524" s="8">
        <f t="shared" si="41"/>
        <v>5834.1600000000008</v>
      </c>
      <c r="O524" s="9">
        <f>_xlfn.XLOOKUP(G524,[1]!tblProductMaster[SKU],[1]!tblProductMaster[Unit Cost])</f>
        <v>4.2</v>
      </c>
      <c r="P524" s="8">
        <f t="shared" si="42"/>
        <v>3066</v>
      </c>
      <c r="Q524" s="8">
        <f t="shared" si="43"/>
        <v>2768.1600000000008</v>
      </c>
      <c r="R524" s="4">
        <f t="shared" si="44"/>
        <v>0.47447447447447455</v>
      </c>
      <c r="S524" t="s">
        <v>94</v>
      </c>
      <c r="T524">
        <f>Table6[[#This Row],[Discount]]*Table6[[#This Row],[List Price]]*Table6[[#This Row],[Units]]</f>
        <v>1458.5400000000002</v>
      </c>
    </row>
    <row r="525" spans="1:20" x14ac:dyDescent="0.2">
      <c r="A525" t="s">
        <v>618</v>
      </c>
      <c r="B525" s="2">
        <v>46267.723302557009</v>
      </c>
      <c r="C525" t="s">
        <v>98</v>
      </c>
      <c r="D525" t="s">
        <v>96</v>
      </c>
      <c r="E525" t="s">
        <v>40</v>
      </c>
      <c r="F525" t="s">
        <v>15</v>
      </c>
      <c r="G525" t="s">
        <v>39</v>
      </c>
      <c r="H525" t="str">
        <f>_xlfn.XLOOKUP(Table6[[#This Row],[SKU]],tblProductMaster[SKU],tblProductMaster[Product])</f>
        <v>Detergent 1L</v>
      </c>
      <c r="I525">
        <v>744</v>
      </c>
      <c r="J525">
        <f>_xlfn.XLOOKUP(G525,[1]!tblProductMaster[SKU],[1]!tblProductMaster[List Price])</f>
        <v>8.49</v>
      </c>
      <c r="K525" t="s">
        <v>89</v>
      </c>
      <c r="L525" s="3">
        <v>0.3</v>
      </c>
      <c r="M525" s="9">
        <f t="shared" si="40"/>
        <v>5.9429999999999996</v>
      </c>
      <c r="N525" s="8">
        <f t="shared" si="41"/>
        <v>4421.5919999999996</v>
      </c>
      <c r="O525" s="9">
        <f>_xlfn.XLOOKUP(G525,[1]!tblProductMaster[SKU],[1]!tblProductMaster[Unit Cost])</f>
        <v>3.8</v>
      </c>
      <c r="P525" s="8">
        <f t="shared" si="42"/>
        <v>2827.2</v>
      </c>
      <c r="Q525" s="8">
        <f t="shared" si="43"/>
        <v>1594.3919999999998</v>
      </c>
      <c r="R525" s="4">
        <f t="shared" si="44"/>
        <v>0.36059229345448424</v>
      </c>
      <c r="S525" t="s">
        <v>90</v>
      </c>
      <c r="T525">
        <f>Table6[[#This Row],[Discount]]*Table6[[#This Row],[List Price]]*Table6[[#This Row],[Units]]</f>
        <v>1894.9680000000001</v>
      </c>
    </row>
    <row r="526" spans="1:20" x14ac:dyDescent="0.2">
      <c r="A526" t="s">
        <v>619</v>
      </c>
      <c r="B526" s="2">
        <v>46296.281746699366</v>
      </c>
      <c r="C526" t="s">
        <v>98</v>
      </c>
      <c r="D526" t="s">
        <v>96</v>
      </c>
      <c r="E526" t="s">
        <v>56</v>
      </c>
      <c r="F526" t="s">
        <v>18</v>
      </c>
      <c r="G526" t="s">
        <v>68</v>
      </c>
      <c r="H526" t="str">
        <f>_xlfn.XLOOKUP(Table6[[#This Row],[SKU]],tblProductMaster[SKU],tblProductMaster[Product])</f>
        <v>Kids Toothpaste</v>
      </c>
      <c r="I526">
        <v>970</v>
      </c>
      <c r="J526">
        <f>_xlfn.XLOOKUP(G526,[1]!tblProductMaster[SKU],[1]!tblProductMaster[List Price])</f>
        <v>3.29</v>
      </c>
      <c r="K526" t="s">
        <v>89</v>
      </c>
      <c r="L526" s="3">
        <v>0.3</v>
      </c>
      <c r="M526" s="9">
        <f t="shared" si="40"/>
        <v>2.3029999999999999</v>
      </c>
      <c r="N526" s="8">
        <f t="shared" si="41"/>
        <v>2233.91</v>
      </c>
      <c r="O526" s="9">
        <f>_xlfn.XLOOKUP(G526,[1]!tblProductMaster[SKU],[1]!tblProductMaster[Unit Cost])</f>
        <v>1.1000000000000001</v>
      </c>
      <c r="P526" s="8">
        <f t="shared" si="42"/>
        <v>1067</v>
      </c>
      <c r="Q526" s="8">
        <f t="shared" si="43"/>
        <v>1166.9099999999999</v>
      </c>
      <c r="R526" s="4">
        <f t="shared" si="44"/>
        <v>0.52236213634389927</v>
      </c>
      <c r="S526" t="s">
        <v>90</v>
      </c>
      <c r="T526">
        <f>Table6[[#This Row],[Discount]]*Table6[[#This Row],[List Price]]*Table6[[#This Row],[Units]]</f>
        <v>957.39</v>
      </c>
    </row>
    <row r="527" spans="1:20" x14ac:dyDescent="0.2">
      <c r="A527" t="s">
        <v>620</v>
      </c>
      <c r="B527" s="2">
        <v>46306.258673083285</v>
      </c>
      <c r="C527" t="s">
        <v>93</v>
      </c>
      <c r="D527" t="s">
        <v>104</v>
      </c>
      <c r="E527" t="s">
        <v>40</v>
      </c>
      <c r="F527" t="s">
        <v>15</v>
      </c>
      <c r="G527" t="s">
        <v>52</v>
      </c>
      <c r="H527" t="str">
        <f>_xlfn.XLOOKUP(Table6[[#This Row],[SKU]],tblProductMaster[SKU],tblProductMaster[Product])</f>
        <v>Laundry Pods</v>
      </c>
      <c r="I527">
        <v>416</v>
      </c>
      <c r="J527">
        <f>_xlfn.XLOOKUP(G527,[1]!tblProductMaster[SKU],[1]!tblProductMaster[List Price])</f>
        <v>10.49</v>
      </c>
      <c r="K527" t="s">
        <v>86</v>
      </c>
      <c r="L527" s="3">
        <v>0</v>
      </c>
      <c r="M527" s="9">
        <f t="shared" si="40"/>
        <v>10.49</v>
      </c>
      <c r="N527" s="8">
        <f t="shared" si="41"/>
        <v>4363.84</v>
      </c>
      <c r="O527" s="9">
        <f>_xlfn.XLOOKUP(G527,[1]!tblProductMaster[SKU],[1]!tblProductMaster[Unit Cost])</f>
        <v>4.5999999999999996</v>
      </c>
      <c r="P527" s="8">
        <f t="shared" si="42"/>
        <v>1913.6</v>
      </c>
      <c r="Q527" s="8">
        <f t="shared" si="43"/>
        <v>2450.2400000000002</v>
      </c>
      <c r="R527" s="4">
        <f t="shared" si="44"/>
        <v>0.56148713060057198</v>
      </c>
      <c r="S527" t="s">
        <v>87</v>
      </c>
      <c r="T527">
        <f>Table6[[#This Row],[Discount]]*Table6[[#This Row],[List Price]]*Table6[[#This Row],[Units]]</f>
        <v>0</v>
      </c>
    </row>
    <row r="528" spans="1:20" x14ac:dyDescent="0.2">
      <c r="A528" t="s">
        <v>621</v>
      </c>
      <c r="B528" s="2">
        <v>46243.515431472078</v>
      </c>
      <c r="C528" t="s">
        <v>84</v>
      </c>
      <c r="D528" t="s">
        <v>96</v>
      </c>
      <c r="E528" t="s">
        <v>25</v>
      </c>
      <c r="F528" t="s">
        <v>15</v>
      </c>
      <c r="G528" t="s">
        <v>29</v>
      </c>
      <c r="H528" t="str">
        <f>_xlfn.XLOOKUP(Table6[[#This Row],[SKU]],tblProductMaster[SKU],tblProductMaster[Product])</f>
        <v>Shower Gel 250ml</v>
      </c>
      <c r="I528">
        <v>669</v>
      </c>
      <c r="J528">
        <f>_xlfn.XLOOKUP(G528,[1]!tblProductMaster[SKU],[1]!tblProductMaster[List Price])</f>
        <v>4.49</v>
      </c>
      <c r="K528" t="s">
        <v>86</v>
      </c>
      <c r="L528" s="3">
        <v>0</v>
      </c>
      <c r="M528" s="9">
        <f t="shared" si="40"/>
        <v>4.49</v>
      </c>
      <c r="N528" s="8">
        <f t="shared" si="41"/>
        <v>3003.81</v>
      </c>
      <c r="O528" s="9">
        <f>_xlfn.XLOOKUP(G528,[1]!tblProductMaster[SKU],[1]!tblProductMaster[Unit Cost])</f>
        <v>1.9</v>
      </c>
      <c r="P528" s="8">
        <f t="shared" si="42"/>
        <v>1271.0999999999999</v>
      </c>
      <c r="Q528" s="8">
        <f t="shared" si="43"/>
        <v>1732.71</v>
      </c>
      <c r="R528" s="4">
        <f t="shared" si="44"/>
        <v>0.57683741648106901</v>
      </c>
      <c r="S528" t="s">
        <v>87</v>
      </c>
      <c r="T528">
        <f>Table6[[#This Row],[Discount]]*Table6[[#This Row],[List Price]]*Table6[[#This Row],[Units]]</f>
        <v>0</v>
      </c>
    </row>
    <row r="529" spans="1:20" x14ac:dyDescent="0.2">
      <c r="A529" t="s">
        <v>622</v>
      </c>
      <c r="B529" s="2">
        <v>46244.53129080974</v>
      </c>
      <c r="C529" t="s">
        <v>98</v>
      </c>
      <c r="D529" t="s">
        <v>104</v>
      </c>
      <c r="E529" t="s">
        <v>40</v>
      </c>
      <c r="F529" t="s">
        <v>7</v>
      </c>
      <c r="G529" t="s">
        <v>44</v>
      </c>
      <c r="H529" t="str">
        <f>_xlfn.XLOOKUP(Table6[[#This Row],[SKU]],tblProductMaster[SKU],tblProductMaster[Product])</f>
        <v>Fabric Softener</v>
      </c>
      <c r="I529">
        <v>542</v>
      </c>
      <c r="J529">
        <f>_xlfn.XLOOKUP(G529,[1]!tblProductMaster[SKU],[1]!tblProductMaster[List Price])</f>
        <v>6.99</v>
      </c>
      <c r="K529" t="s">
        <v>89</v>
      </c>
      <c r="L529" s="3">
        <v>0.3</v>
      </c>
      <c r="M529" s="9">
        <f t="shared" si="40"/>
        <v>4.8929999999999998</v>
      </c>
      <c r="N529" s="8">
        <f t="shared" si="41"/>
        <v>2652.0059999999999</v>
      </c>
      <c r="O529" s="9">
        <f>_xlfn.XLOOKUP(G529,[1]!tblProductMaster[SKU],[1]!tblProductMaster[Unit Cost])</f>
        <v>2.9</v>
      </c>
      <c r="P529" s="8">
        <f t="shared" si="42"/>
        <v>1571.8</v>
      </c>
      <c r="Q529" s="8">
        <f t="shared" si="43"/>
        <v>1080.2059999999999</v>
      </c>
      <c r="R529" s="4">
        <f t="shared" si="44"/>
        <v>0.40731657469854893</v>
      </c>
      <c r="S529" t="s">
        <v>99</v>
      </c>
      <c r="T529">
        <f>Table6[[#This Row],[Discount]]*Table6[[#This Row],[List Price]]*Table6[[#This Row],[Units]]</f>
        <v>1136.5740000000001</v>
      </c>
    </row>
    <row r="530" spans="1:20" x14ac:dyDescent="0.2">
      <c r="A530" t="s">
        <v>623</v>
      </c>
      <c r="B530" s="2">
        <v>46379.932766498663</v>
      </c>
      <c r="C530" t="s">
        <v>93</v>
      </c>
      <c r="D530" t="s">
        <v>85</v>
      </c>
      <c r="E530" t="s">
        <v>40</v>
      </c>
      <c r="F530" t="s">
        <v>15</v>
      </c>
      <c r="G530" t="s">
        <v>46</v>
      </c>
      <c r="H530" t="str">
        <f>_xlfn.XLOOKUP(Table6[[#This Row],[SKU]],tblProductMaster[SKU],tblProductMaster[Product])</f>
        <v>Stain Remover</v>
      </c>
      <c r="I530">
        <v>548</v>
      </c>
      <c r="J530">
        <f>_xlfn.XLOOKUP(G530,[1]!tblProductMaster[SKU],[1]!tblProductMaster[List Price])</f>
        <v>5.99</v>
      </c>
      <c r="K530" t="s">
        <v>86</v>
      </c>
      <c r="L530" s="3">
        <v>0</v>
      </c>
      <c r="M530" s="9">
        <f t="shared" si="40"/>
        <v>5.99</v>
      </c>
      <c r="N530" s="8">
        <f t="shared" si="41"/>
        <v>3282.52</v>
      </c>
      <c r="O530" s="9">
        <f>_xlfn.XLOOKUP(G530,[1]!tblProductMaster[SKU],[1]!tblProductMaster[Unit Cost])</f>
        <v>2.5</v>
      </c>
      <c r="P530" s="8">
        <f t="shared" si="42"/>
        <v>1370</v>
      </c>
      <c r="Q530" s="8">
        <f t="shared" si="43"/>
        <v>1912.52</v>
      </c>
      <c r="R530" s="4">
        <f t="shared" si="44"/>
        <v>0.58263772954924875</v>
      </c>
      <c r="S530" t="s">
        <v>87</v>
      </c>
      <c r="T530">
        <f>Table6[[#This Row],[Discount]]*Table6[[#This Row],[List Price]]*Table6[[#This Row],[Units]]</f>
        <v>0</v>
      </c>
    </row>
    <row r="531" spans="1:20" x14ac:dyDescent="0.2">
      <c r="A531" t="s">
        <v>624</v>
      </c>
      <c r="B531" s="2">
        <v>46346.037885688085</v>
      </c>
      <c r="C531" t="s">
        <v>84</v>
      </c>
      <c r="D531" t="s">
        <v>85</v>
      </c>
      <c r="E531" t="s">
        <v>25</v>
      </c>
      <c r="F531" t="s">
        <v>7</v>
      </c>
      <c r="G531" t="s">
        <v>31</v>
      </c>
      <c r="H531" t="str">
        <f>_xlfn.XLOOKUP(Table6[[#This Row],[SKU]],tblProductMaster[SKU],tblProductMaster[Product])</f>
        <v>Facial Cleanser</v>
      </c>
      <c r="I531">
        <v>579</v>
      </c>
      <c r="J531">
        <f>_xlfn.XLOOKUP(G531,[1]!tblProductMaster[SKU],[1]!tblProductMaster[List Price])</f>
        <v>8.49</v>
      </c>
      <c r="K531" t="s">
        <v>89</v>
      </c>
      <c r="L531" s="3">
        <v>0.1</v>
      </c>
      <c r="M531" s="9">
        <f t="shared" si="40"/>
        <v>7.641</v>
      </c>
      <c r="N531" s="8">
        <f t="shared" si="41"/>
        <v>4424.1390000000001</v>
      </c>
      <c r="O531" s="9">
        <f>_xlfn.XLOOKUP(G531,[1]!tblProductMaster[SKU],[1]!tblProductMaster[Unit Cost])</f>
        <v>3.5</v>
      </c>
      <c r="P531" s="8">
        <f t="shared" si="42"/>
        <v>2026.5</v>
      </c>
      <c r="Q531" s="8">
        <f t="shared" si="43"/>
        <v>2397.6390000000001</v>
      </c>
      <c r="R531" s="4">
        <f t="shared" si="44"/>
        <v>0.54194477162675048</v>
      </c>
      <c r="S531" t="s">
        <v>90</v>
      </c>
      <c r="T531">
        <f>Table6[[#This Row],[Discount]]*Table6[[#This Row],[List Price]]*Table6[[#This Row],[Units]]</f>
        <v>491.57100000000003</v>
      </c>
    </row>
    <row r="532" spans="1:20" x14ac:dyDescent="0.2">
      <c r="A532" t="s">
        <v>625</v>
      </c>
      <c r="B532" s="2">
        <v>46190.64940135325</v>
      </c>
      <c r="C532" t="s">
        <v>84</v>
      </c>
      <c r="D532" t="s">
        <v>96</v>
      </c>
      <c r="E532" t="s">
        <v>56</v>
      </c>
      <c r="F532" t="s">
        <v>7</v>
      </c>
      <c r="G532" t="s">
        <v>64</v>
      </c>
      <c r="H532" t="str">
        <f>_xlfn.XLOOKUP(Table6[[#This Row],[SKU]],tblProductMaster[SKU],tblProductMaster[Product])</f>
        <v>Toothbrush</v>
      </c>
      <c r="I532">
        <v>591</v>
      </c>
      <c r="J532">
        <f>_xlfn.XLOOKUP(G532,[1]!tblProductMaster[SKU],[1]!tblProductMaster[List Price])</f>
        <v>3.99</v>
      </c>
      <c r="K532" t="s">
        <v>86</v>
      </c>
      <c r="L532" s="3">
        <v>0</v>
      </c>
      <c r="M532" s="9">
        <f t="shared" si="40"/>
        <v>3.99</v>
      </c>
      <c r="N532" s="8">
        <f t="shared" si="41"/>
        <v>2358.09</v>
      </c>
      <c r="O532" s="9">
        <f>_xlfn.XLOOKUP(G532,[1]!tblProductMaster[SKU],[1]!tblProductMaster[Unit Cost])</f>
        <v>1.5</v>
      </c>
      <c r="P532" s="8">
        <f t="shared" si="42"/>
        <v>886.5</v>
      </c>
      <c r="Q532" s="8">
        <f t="shared" si="43"/>
        <v>1471.5900000000001</v>
      </c>
      <c r="R532" s="4">
        <f t="shared" si="44"/>
        <v>0.62406015037593987</v>
      </c>
      <c r="S532" t="s">
        <v>87</v>
      </c>
      <c r="T532">
        <f>Table6[[#This Row],[Discount]]*Table6[[#This Row],[List Price]]*Table6[[#This Row],[Units]]</f>
        <v>0</v>
      </c>
    </row>
    <row r="533" spans="1:20" x14ac:dyDescent="0.2">
      <c r="A533" t="s">
        <v>626</v>
      </c>
      <c r="B533" s="2">
        <v>46340.669673909761</v>
      </c>
      <c r="C533" t="s">
        <v>93</v>
      </c>
      <c r="D533" t="s">
        <v>96</v>
      </c>
      <c r="E533" t="s">
        <v>40</v>
      </c>
      <c r="F533" t="s">
        <v>18</v>
      </c>
      <c r="G533" t="s">
        <v>54</v>
      </c>
      <c r="H533" t="str">
        <f>_xlfn.XLOOKUP(Table6[[#This Row],[SKU]],tblProductMaster[SKU],tblProductMaster[Product])</f>
        <v>Fabric Softener</v>
      </c>
      <c r="I533">
        <v>375</v>
      </c>
      <c r="J533">
        <f>_xlfn.XLOOKUP(G533,[1]!tblProductMaster[SKU],[1]!tblProductMaster[List Price])</f>
        <v>5.49</v>
      </c>
      <c r="K533" t="s">
        <v>86</v>
      </c>
      <c r="L533" s="3">
        <v>0</v>
      </c>
      <c r="M533" s="9">
        <f t="shared" si="40"/>
        <v>5.49</v>
      </c>
      <c r="N533" s="8">
        <f t="shared" si="41"/>
        <v>2058.75</v>
      </c>
      <c r="O533" s="9">
        <f>_xlfn.XLOOKUP(G533,[1]!tblProductMaster[SKU],[1]!tblProductMaster[Unit Cost])</f>
        <v>2.4</v>
      </c>
      <c r="P533" s="8">
        <f t="shared" si="42"/>
        <v>900</v>
      </c>
      <c r="Q533" s="8">
        <f t="shared" si="43"/>
        <v>1158.75</v>
      </c>
      <c r="R533" s="4">
        <f t="shared" si="44"/>
        <v>0.56284153005464477</v>
      </c>
      <c r="S533" t="s">
        <v>87</v>
      </c>
      <c r="T533">
        <f>Table6[[#This Row],[Discount]]*Table6[[#This Row],[List Price]]*Table6[[#This Row],[Units]]</f>
        <v>0</v>
      </c>
    </row>
    <row r="534" spans="1:20" x14ac:dyDescent="0.2">
      <c r="A534" t="s">
        <v>627</v>
      </c>
      <c r="B534" s="2">
        <v>46179.972110012881</v>
      </c>
      <c r="C534" t="s">
        <v>93</v>
      </c>
      <c r="D534" t="s">
        <v>85</v>
      </c>
      <c r="E534" t="s">
        <v>25</v>
      </c>
      <c r="F534" t="s">
        <v>18</v>
      </c>
      <c r="G534" t="s">
        <v>37</v>
      </c>
      <c r="H534" t="str">
        <f>_xlfn.XLOOKUP(Table6[[#This Row],[SKU]],tblProductMaster[SKU],tblProductMaster[Product])</f>
        <v>Body Wash</v>
      </c>
      <c r="I534">
        <v>548</v>
      </c>
      <c r="J534">
        <f>_xlfn.XLOOKUP(G534,[1]!tblProductMaster[SKU],[1]!tblProductMaster[List Price])</f>
        <v>5.49</v>
      </c>
      <c r="K534" t="s">
        <v>86</v>
      </c>
      <c r="L534" s="3">
        <v>0</v>
      </c>
      <c r="M534" s="9">
        <f t="shared" si="40"/>
        <v>5.49</v>
      </c>
      <c r="N534" s="8">
        <f t="shared" si="41"/>
        <v>3008.52</v>
      </c>
      <c r="O534" s="9">
        <f>_xlfn.XLOOKUP(G534,[1]!tblProductMaster[SKU],[1]!tblProductMaster[Unit Cost])</f>
        <v>2.2999999999999998</v>
      </c>
      <c r="P534" s="8">
        <f t="shared" si="42"/>
        <v>1260.3999999999999</v>
      </c>
      <c r="Q534" s="8">
        <f t="shared" si="43"/>
        <v>1748.1200000000001</v>
      </c>
      <c r="R534" s="4">
        <f t="shared" si="44"/>
        <v>0.58105646630236796</v>
      </c>
      <c r="S534" t="s">
        <v>87</v>
      </c>
      <c r="T534">
        <f>Table6[[#This Row],[Discount]]*Table6[[#This Row],[List Price]]*Table6[[#This Row],[Units]]</f>
        <v>0</v>
      </c>
    </row>
    <row r="535" spans="1:20" x14ac:dyDescent="0.2">
      <c r="A535" t="s">
        <v>628</v>
      </c>
      <c r="B535" s="2">
        <v>46214.19633384687</v>
      </c>
      <c r="C535" t="s">
        <v>98</v>
      </c>
      <c r="D535" t="s">
        <v>96</v>
      </c>
      <c r="E535" t="s">
        <v>8</v>
      </c>
      <c r="F535" t="s">
        <v>7</v>
      </c>
      <c r="G535" t="s">
        <v>6</v>
      </c>
      <c r="H535" t="str">
        <f>_xlfn.XLOOKUP(Table6[[#This Row],[SKU]],tblProductMaster[SKU],tblProductMaster[Product])</f>
        <v>Shampoo 250ml</v>
      </c>
      <c r="I535">
        <v>201</v>
      </c>
      <c r="J535">
        <f>_xlfn.XLOOKUP(G535,[1]!tblProductMaster[SKU],[1]!tblProductMaster[List Price])</f>
        <v>5.99</v>
      </c>
      <c r="K535" t="s">
        <v>86</v>
      </c>
      <c r="L535" s="3">
        <v>0</v>
      </c>
      <c r="M535" s="9">
        <f t="shared" si="40"/>
        <v>5.99</v>
      </c>
      <c r="N535" s="8">
        <f t="shared" si="41"/>
        <v>1203.99</v>
      </c>
      <c r="O535" s="9">
        <f>_xlfn.XLOOKUP(G535,[1]!tblProductMaster[SKU],[1]!tblProductMaster[Unit Cost])</f>
        <v>2.4</v>
      </c>
      <c r="P535" s="8">
        <f t="shared" si="42"/>
        <v>482.4</v>
      </c>
      <c r="Q535" s="8">
        <f t="shared" si="43"/>
        <v>721.59</v>
      </c>
      <c r="R535" s="4">
        <f t="shared" si="44"/>
        <v>0.59933222036727885</v>
      </c>
      <c r="S535" t="s">
        <v>87</v>
      </c>
      <c r="T535">
        <f>Table6[[#This Row],[Discount]]*Table6[[#This Row],[List Price]]*Table6[[#This Row],[Units]]</f>
        <v>0</v>
      </c>
    </row>
    <row r="536" spans="1:20" x14ac:dyDescent="0.2">
      <c r="A536" t="s">
        <v>629</v>
      </c>
      <c r="B536" s="2">
        <v>46082.404088312767</v>
      </c>
      <c r="C536" t="s">
        <v>98</v>
      </c>
      <c r="D536" t="s">
        <v>104</v>
      </c>
      <c r="E536" t="s">
        <v>56</v>
      </c>
      <c r="F536" t="s">
        <v>15</v>
      </c>
      <c r="G536" t="s">
        <v>55</v>
      </c>
      <c r="H536" t="str">
        <f>_xlfn.XLOOKUP(Table6[[#This Row],[SKU]],tblProductMaster[SKU],tblProductMaster[Product])</f>
        <v>Toothpaste 75ml</v>
      </c>
      <c r="I536">
        <v>515</v>
      </c>
      <c r="J536">
        <f>_xlfn.XLOOKUP(G536,[1]!tblProductMaster[SKU],[1]!tblProductMaster[List Price])</f>
        <v>3.49</v>
      </c>
      <c r="K536" t="s">
        <v>86</v>
      </c>
      <c r="L536" s="3">
        <v>0</v>
      </c>
      <c r="M536" s="9">
        <f t="shared" si="40"/>
        <v>3.49</v>
      </c>
      <c r="N536" s="8">
        <f t="shared" si="41"/>
        <v>1797.3500000000001</v>
      </c>
      <c r="O536" s="9">
        <f>_xlfn.XLOOKUP(G536,[1]!tblProductMaster[SKU],[1]!tblProductMaster[Unit Cost])</f>
        <v>1.2</v>
      </c>
      <c r="P536" s="8">
        <f t="shared" si="42"/>
        <v>618</v>
      </c>
      <c r="Q536" s="8">
        <f t="shared" si="43"/>
        <v>1179.3500000000001</v>
      </c>
      <c r="R536" s="4">
        <f t="shared" si="44"/>
        <v>0.65616045845272208</v>
      </c>
      <c r="S536" t="s">
        <v>87</v>
      </c>
      <c r="T536">
        <f>Table6[[#This Row],[Discount]]*Table6[[#This Row],[List Price]]*Table6[[#This Row],[Units]]</f>
        <v>0</v>
      </c>
    </row>
    <row r="537" spans="1:20" x14ac:dyDescent="0.2">
      <c r="A537" t="s">
        <v>630</v>
      </c>
      <c r="B537" s="2">
        <v>46254.163171734552</v>
      </c>
      <c r="C537" t="s">
        <v>84</v>
      </c>
      <c r="D537" t="s">
        <v>85</v>
      </c>
      <c r="E537" t="s">
        <v>25</v>
      </c>
      <c r="F537" t="s">
        <v>15</v>
      </c>
      <c r="G537" t="s">
        <v>29</v>
      </c>
      <c r="H537" t="str">
        <f>_xlfn.XLOOKUP(Table6[[#This Row],[SKU]],tblProductMaster[SKU],tblProductMaster[Product])</f>
        <v>Shower Gel 250ml</v>
      </c>
      <c r="I537">
        <v>747</v>
      </c>
      <c r="J537">
        <f>_xlfn.XLOOKUP(G537,[1]!tblProductMaster[SKU],[1]!tblProductMaster[List Price])</f>
        <v>4.49</v>
      </c>
      <c r="K537" t="s">
        <v>86</v>
      </c>
      <c r="L537" s="3">
        <v>0</v>
      </c>
      <c r="M537" s="9">
        <f t="shared" si="40"/>
        <v>4.49</v>
      </c>
      <c r="N537" s="8">
        <f t="shared" si="41"/>
        <v>3354.03</v>
      </c>
      <c r="O537" s="9">
        <f>_xlfn.XLOOKUP(G537,[1]!tblProductMaster[SKU],[1]!tblProductMaster[Unit Cost])</f>
        <v>1.9</v>
      </c>
      <c r="P537" s="8">
        <f t="shared" si="42"/>
        <v>1419.3</v>
      </c>
      <c r="Q537" s="8">
        <f t="shared" si="43"/>
        <v>1934.7300000000002</v>
      </c>
      <c r="R537" s="4">
        <f t="shared" si="44"/>
        <v>0.57683741648106912</v>
      </c>
      <c r="S537" t="s">
        <v>87</v>
      </c>
      <c r="T537">
        <f>Table6[[#This Row],[Discount]]*Table6[[#This Row],[List Price]]*Table6[[#This Row],[Units]]</f>
        <v>0</v>
      </c>
    </row>
    <row r="538" spans="1:20" x14ac:dyDescent="0.2">
      <c r="A538" t="s">
        <v>631</v>
      </c>
      <c r="B538" s="2">
        <v>46355.649153471444</v>
      </c>
      <c r="C538" t="s">
        <v>84</v>
      </c>
      <c r="D538" t="s">
        <v>96</v>
      </c>
      <c r="E538" t="s">
        <v>40</v>
      </c>
      <c r="F538" t="s">
        <v>15</v>
      </c>
      <c r="G538" t="s">
        <v>52</v>
      </c>
      <c r="H538" t="str">
        <f>_xlfn.XLOOKUP(Table6[[#This Row],[SKU]],tblProductMaster[SKU],tblProductMaster[Product])</f>
        <v>Laundry Pods</v>
      </c>
      <c r="I538">
        <v>763</v>
      </c>
      <c r="J538">
        <f>_xlfn.XLOOKUP(G538,[1]!tblProductMaster[SKU],[1]!tblProductMaster[List Price])</f>
        <v>10.49</v>
      </c>
      <c r="K538" t="s">
        <v>86</v>
      </c>
      <c r="L538" s="3">
        <v>0</v>
      </c>
      <c r="M538" s="9">
        <f t="shared" si="40"/>
        <v>10.49</v>
      </c>
      <c r="N538" s="8">
        <f t="shared" si="41"/>
        <v>8003.87</v>
      </c>
      <c r="O538" s="9">
        <f>_xlfn.XLOOKUP(G538,[1]!tblProductMaster[SKU],[1]!tblProductMaster[Unit Cost])</f>
        <v>4.5999999999999996</v>
      </c>
      <c r="P538" s="8">
        <f t="shared" si="42"/>
        <v>3509.7999999999997</v>
      </c>
      <c r="Q538" s="8">
        <f t="shared" si="43"/>
        <v>4494.07</v>
      </c>
      <c r="R538" s="4">
        <f t="shared" si="44"/>
        <v>0.56148713060057198</v>
      </c>
      <c r="S538" t="s">
        <v>87</v>
      </c>
      <c r="T538">
        <f>Table6[[#This Row],[Discount]]*Table6[[#This Row],[List Price]]*Table6[[#This Row],[Units]]</f>
        <v>0</v>
      </c>
    </row>
    <row r="539" spans="1:20" x14ac:dyDescent="0.2">
      <c r="A539" t="s">
        <v>632</v>
      </c>
      <c r="B539" s="2">
        <v>46363.133237118789</v>
      </c>
      <c r="C539" t="s">
        <v>84</v>
      </c>
      <c r="D539" t="s">
        <v>85</v>
      </c>
      <c r="E539" t="s">
        <v>40</v>
      </c>
      <c r="F539" t="s">
        <v>7</v>
      </c>
      <c r="G539" t="s">
        <v>48</v>
      </c>
      <c r="H539" t="str">
        <f>_xlfn.XLOOKUP(Table6[[#This Row],[SKU]],tblProductMaster[SKU],tblProductMaster[Product])</f>
        <v>Color Detergent</v>
      </c>
      <c r="I539">
        <v>781</v>
      </c>
      <c r="J539">
        <f>_xlfn.XLOOKUP(G539,[1]!tblProductMaster[SKU],[1]!tblProductMaster[List Price])</f>
        <v>9.49</v>
      </c>
      <c r="K539" t="s">
        <v>86</v>
      </c>
      <c r="L539" s="3">
        <v>0</v>
      </c>
      <c r="M539" s="9">
        <f t="shared" si="40"/>
        <v>9.49</v>
      </c>
      <c r="N539" s="8">
        <f t="shared" si="41"/>
        <v>7411.6900000000005</v>
      </c>
      <c r="O539" s="9">
        <f>_xlfn.XLOOKUP(G539,[1]!tblProductMaster[SKU],[1]!tblProductMaster[Unit Cost])</f>
        <v>4</v>
      </c>
      <c r="P539" s="8">
        <f t="shared" si="42"/>
        <v>3124</v>
      </c>
      <c r="Q539" s="8">
        <f t="shared" si="43"/>
        <v>4287.6900000000005</v>
      </c>
      <c r="R539" s="4">
        <f t="shared" si="44"/>
        <v>0.57850368809272923</v>
      </c>
      <c r="S539" t="s">
        <v>87</v>
      </c>
      <c r="T539">
        <f>Table6[[#This Row],[Discount]]*Table6[[#This Row],[List Price]]*Table6[[#This Row],[Units]]</f>
        <v>0</v>
      </c>
    </row>
    <row r="540" spans="1:20" x14ac:dyDescent="0.2">
      <c r="A540" t="s">
        <v>633</v>
      </c>
      <c r="B540" s="2">
        <v>46238.686742225676</v>
      </c>
      <c r="C540" t="s">
        <v>84</v>
      </c>
      <c r="D540" t="s">
        <v>96</v>
      </c>
      <c r="E540" t="s">
        <v>25</v>
      </c>
      <c r="F540" t="s">
        <v>15</v>
      </c>
      <c r="G540" t="s">
        <v>29</v>
      </c>
      <c r="H540" t="str">
        <f>_xlfn.XLOOKUP(Table6[[#This Row],[SKU]],tblProductMaster[SKU],tblProductMaster[Product])</f>
        <v>Shower Gel 250ml</v>
      </c>
      <c r="I540">
        <v>397</v>
      </c>
      <c r="J540">
        <f>_xlfn.XLOOKUP(G540,[1]!tblProductMaster[SKU],[1]!tblProductMaster[List Price])</f>
        <v>4.49</v>
      </c>
      <c r="K540" t="s">
        <v>86</v>
      </c>
      <c r="L540" s="3">
        <v>0</v>
      </c>
      <c r="M540" s="9">
        <f t="shared" si="40"/>
        <v>4.49</v>
      </c>
      <c r="N540" s="8">
        <f t="shared" si="41"/>
        <v>1782.53</v>
      </c>
      <c r="O540" s="9">
        <f>_xlfn.XLOOKUP(G540,[1]!tblProductMaster[SKU],[1]!tblProductMaster[Unit Cost])</f>
        <v>1.9</v>
      </c>
      <c r="P540" s="8">
        <f t="shared" si="42"/>
        <v>754.3</v>
      </c>
      <c r="Q540" s="8">
        <f t="shared" si="43"/>
        <v>1028.23</v>
      </c>
      <c r="R540" s="4">
        <f t="shared" si="44"/>
        <v>0.57683741648106901</v>
      </c>
      <c r="S540" t="s">
        <v>87</v>
      </c>
      <c r="T540">
        <f>Table6[[#This Row],[Discount]]*Table6[[#This Row],[List Price]]*Table6[[#This Row],[Units]]</f>
        <v>0</v>
      </c>
    </row>
    <row r="541" spans="1:20" x14ac:dyDescent="0.2">
      <c r="A541" t="s">
        <v>634</v>
      </c>
      <c r="B541" s="2">
        <v>46287.837331843883</v>
      </c>
      <c r="C541" t="s">
        <v>93</v>
      </c>
      <c r="D541" t="s">
        <v>96</v>
      </c>
      <c r="E541" t="s">
        <v>25</v>
      </c>
      <c r="F541" t="s">
        <v>15</v>
      </c>
      <c r="G541" t="s">
        <v>35</v>
      </c>
      <c r="H541" t="str">
        <f>_xlfn.XLOOKUP(Table6[[#This Row],[SKU]],tblProductMaster[SKU],tblProductMaster[Product])</f>
        <v>Hand Cream</v>
      </c>
      <c r="I541">
        <v>613</v>
      </c>
      <c r="J541">
        <f>_xlfn.XLOOKUP(G541,[1]!tblProductMaster[SKU],[1]!tblProductMaster[List Price])</f>
        <v>4.99</v>
      </c>
      <c r="K541" t="s">
        <v>86</v>
      </c>
      <c r="L541" s="3">
        <v>0</v>
      </c>
      <c r="M541" s="9">
        <f t="shared" si="40"/>
        <v>4.99</v>
      </c>
      <c r="N541" s="8">
        <f t="shared" si="41"/>
        <v>3058.8700000000003</v>
      </c>
      <c r="O541" s="9">
        <f>_xlfn.XLOOKUP(G541,[1]!tblProductMaster[SKU],[1]!tblProductMaster[Unit Cost])</f>
        <v>2.1</v>
      </c>
      <c r="P541" s="8">
        <f t="shared" si="42"/>
        <v>1287.3</v>
      </c>
      <c r="Q541" s="8">
        <f t="shared" si="43"/>
        <v>1771.5700000000004</v>
      </c>
      <c r="R541" s="4">
        <f t="shared" si="44"/>
        <v>0.57915831663326656</v>
      </c>
      <c r="S541" t="s">
        <v>87</v>
      </c>
      <c r="T541">
        <f>Table6[[#This Row],[Discount]]*Table6[[#This Row],[List Price]]*Table6[[#This Row],[Units]]</f>
        <v>0</v>
      </c>
    </row>
    <row r="542" spans="1:20" x14ac:dyDescent="0.2">
      <c r="A542" t="s">
        <v>635</v>
      </c>
      <c r="B542" s="2">
        <v>46204.157108511725</v>
      </c>
      <c r="C542" t="s">
        <v>84</v>
      </c>
      <c r="D542" t="s">
        <v>104</v>
      </c>
      <c r="E542" t="s">
        <v>56</v>
      </c>
      <c r="F542" t="s">
        <v>15</v>
      </c>
      <c r="G542" t="s">
        <v>62</v>
      </c>
      <c r="H542" t="str">
        <f>_xlfn.XLOOKUP(Table6[[#This Row],[SKU]],tblProductMaster[SKU],tblProductMaster[Product])</f>
        <v>Mouthwash 500ml</v>
      </c>
      <c r="I542">
        <v>623</v>
      </c>
      <c r="J542">
        <f>_xlfn.XLOOKUP(G542,[1]!tblProductMaster[SKU],[1]!tblProductMaster[List Price])</f>
        <v>5.99</v>
      </c>
      <c r="K542" t="s">
        <v>86</v>
      </c>
      <c r="L542" s="3">
        <v>0</v>
      </c>
      <c r="M542" s="9">
        <f t="shared" si="40"/>
        <v>5.99</v>
      </c>
      <c r="N542" s="8">
        <f t="shared" si="41"/>
        <v>3731.77</v>
      </c>
      <c r="O542" s="9">
        <f>_xlfn.XLOOKUP(G542,[1]!tblProductMaster[SKU],[1]!tblProductMaster[Unit Cost])</f>
        <v>2.4</v>
      </c>
      <c r="P542" s="8">
        <f t="shared" si="42"/>
        <v>1495.2</v>
      </c>
      <c r="Q542" s="8">
        <f t="shared" si="43"/>
        <v>2236.5699999999997</v>
      </c>
      <c r="R542" s="4">
        <f t="shared" si="44"/>
        <v>0.59933222036727873</v>
      </c>
      <c r="S542" t="s">
        <v>87</v>
      </c>
      <c r="T542">
        <f>Table6[[#This Row],[Discount]]*Table6[[#This Row],[List Price]]*Table6[[#This Row],[Units]]</f>
        <v>0</v>
      </c>
    </row>
    <row r="543" spans="1:20" x14ac:dyDescent="0.2">
      <c r="A543" t="s">
        <v>636</v>
      </c>
      <c r="B543" s="2">
        <v>46336.627720899312</v>
      </c>
      <c r="C543" t="s">
        <v>93</v>
      </c>
      <c r="D543" t="s">
        <v>96</v>
      </c>
      <c r="E543" t="s">
        <v>40</v>
      </c>
      <c r="F543" t="s">
        <v>18</v>
      </c>
      <c r="G543" t="s">
        <v>42</v>
      </c>
      <c r="H543" t="str">
        <f>_xlfn.XLOOKUP(Table6[[#This Row],[SKU]],tblProductMaster[SKU],tblProductMaster[Product])</f>
        <v>Detergent Capsules</v>
      </c>
      <c r="I543">
        <v>417</v>
      </c>
      <c r="J543">
        <f>_xlfn.XLOOKUP(G543,[1]!tblProductMaster[SKU],[1]!tblProductMaster[List Price])</f>
        <v>11.99</v>
      </c>
      <c r="K543" t="s">
        <v>89</v>
      </c>
      <c r="L543" s="3">
        <v>0.1</v>
      </c>
      <c r="M543" s="9">
        <f t="shared" si="40"/>
        <v>10.791</v>
      </c>
      <c r="N543" s="8">
        <f t="shared" si="41"/>
        <v>4499.8469999999998</v>
      </c>
      <c r="O543" s="9">
        <f>_xlfn.XLOOKUP(G543,[1]!tblProductMaster[SKU],[1]!tblProductMaster[Unit Cost])</f>
        <v>5.2</v>
      </c>
      <c r="P543" s="8">
        <f t="shared" si="42"/>
        <v>2168.4</v>
      </c>
      <c r="Q543" s="8">
        <f t="shared" si="43"/>
        <v>2331.4469999999997</v>
      </c>
      <c r="R543" s="4">
        <f t="shared" si="44"/>
        <v>0.51811694930960983</v>
      </c>
      <c r="S543" t="s">
        <v>99</v>
      </c>
      <c r="T543">
        <f>Table6[[#This Row],[Discount]]*Table6[[#This Row],[List Price]]*Table6[[#This Row],[Units]]</f>
        <v>499.983</v>
      </c>
    </row>
    <row r="544" spans="1:20" x14ac:dyDescent="0.2">
      <c r="A544" t="s">
        <v>637</v>
      </c>
      <c r="B544" s="2">
        <v>46347.094137594948</v>
      </c>
      <c r="C544" t="s">
        <v>98</v>
      </c>
      <c r="D544" t="s">
        <v>85</v>
      </c>
      <c r="E544" t="s">
        <v>25</v>
      </c>
      <c r="F544" t="s">
        <v>7</v>
      </c>
      <c r="G544" t="s">
        <v>24</v>
      </c>
      <c r="H544" t="str">
        <f>_xlfn.XLOOKUP(Table6[[#This Row],[SKU]],tblProductMaster[SKU],tblProductMaster[Product])</f>
        <v>Body Lotion 400ml</v>
      </c>
      <c r="I544">
        <v>1051</v>
      </c>
      <c r="J544">
        <f>_xlfn.XLOOKUP(G544,[1]!tblProductMaster[SKU],[1]!tblProductMaster[List Price])</f>
        <v>7.99</v>
      </c>
      <c r="K544" t="s">
        <v>89</v>
      </c>
      <c r="L544" s="3">
        <v>0.1</v>
      </c>
      <c r="M544" s="9">
        <f t="shared" si="40"/>
        <v>7.1910000000000007</v>
      </c>
      <c r="N544" s="8">
        <f t="shared" si="41"/>
        <v>7557.7410000000009</v>
      </c>
      <c r="O544" s="9">
        <f>_xlfn.XLOOKUP(G544,[1]!tblProductMaster[SKU],[1]!tblProductMaster[Unit Cost])</f>
        <v>3.1</v>
      </c>
      <c r="P544" s="8">
        <f t="shared" si="42"/>
        <v>3258.1</v>
      </c>
      <c r="Q544" s="8">
        <f t="shared" si="43"/>
        <v>4299.6410000000014</v>
      </c>
      <c r="R544" s="4">
        <f t="shared" si="44"/>
        <v>0.56890557641496331</v>
      </c>
      <c r="S544" t="s">
        <v>99</v>
      </c>
      <c r="T544">
        <f>Table6[[#This Row],[Discount]]*Table6[[#This Row],[List Price]]*Table6[[#This Row],[Units]]</f>
        <v>839.74900000000002</v>
      </c>
    </row>
    <row r="545" spans="1:20" x14ac:dyDescent="0.2">
      <c r="A545" t="s">
        <v>638</v>
      </c>
      <c r="B545" s="2">
        <v>46375.288670806265</v>
      </c>
      <c r="C545" t="s">
        <v>98</v>
      </c>
      <c r="D545" t="s">
        <v>104</v>
      </c>
      <c r="E545" t="s">
        <v>25</v>
      </c>
      <c r="F545" t="s">
        <v>7</v>
      </c>
      <c r="G545" t="s">
        <v>24</v>
      </c>
      <c r="H545" t="str">
        <f>_xlfn.XLOOKUP(Table6[[#This Row],[SKU]],tblProductMaster[SKU],tblProductMaster[Product])</f>
        <v>Body Lotion 400ml</v>
      </c>
      <c r="I545">
        <v>622</v>
      </c>
      <c r="J545">
        <f>_xlfn.XLOOKUP(G545,[1]!tblProductMaster[SKU],[1]!tblProductMaster[List Price])</f>
        <v>7.99</v>
      </c>
      <c r="K545" t="s">
        <v>89</v>
      </c>
      <c r="L545" s="3">
        <v>0.3</v>
      </c>
      <c r="M545" s="9">
        <f t="shared" si="40"/>
        <v>5.593</v>
      </c>
      <c r="N545" s="8">
        <f t="shared" si="41"/>
        <v>3478.846</v>
      </c>
      <c r="O545" s="9">
        <f>_xlfn.XLOOKUP(G545,[1]!tblProductMaster[SKU],[1]!tblProductMaster[Unit Cost])</f>
        <v>3.1</v>
      </c>
      <c r="P545" s="8">
        <f t="shared" si="42"/>
        <v>1928.2</v>
      </c>
      <c r="Q545" s="8">
        <f t="shared" si="43"/>
        <v>1550.646</v>
      </c>
      <c r="R545" s="4">
        <f t="shared" si="44"/>
        <v>0.44573574110495262</v>
      </c>
      <c r="S545" t="s">
        <v>94</v>
      </c>
      <c r="T545">
        <f>Table6[[#This Row],[Discount]]*Table6[[#This Row],[List Price]]*Table6[[#This Row],[Units]]</f>
        <v>1490.934</v>
      </c>
    </row>
    <row r="546" spans="1:20" x14ac:dyDescent="0.2">
      <c r="A546" t="s">
        <v>639</v>
      </c>
      <c r="B546" s="2">
        <v>46205.84535968511</v>
      </c>
      <c r="C546" t="s">
        <v>84</v>
      </c>
      <c r="D546" t="s">
        <v>96</v>
      </c>
      <c r="E546" t="s">
        <v>40</v>
      </c>
      <c r="F546" t="s">
        <v>18</v>
      </c>
      <c r="G546" t="s">
        <v>42</v>
      </c>
      <c r="H546" t="str">
        <f>_xlfn.XLOOKUP(Table6[[#This Row],[SKU]],tblProductMaster[SKU],tblProductMaster[Product])</f>
        <v>Detergent Capsules</v>
      </c>
      <c r="I546">
        <v>705</v>
      </c>
      <c r="J546">
        <f>_xlfn.XLOOKUP(G546,[1]!tblProductMaster[SKU],[1]!tblProductMaster[List Price])</f>
        <v>11.99</v>
      </c>
      <c r="K546" t="s">
        <v>86</v>
      </c>
      <c r="L546" s="3">
        <v>0</v>
      </c>
      <c r="M546" s="9">
        <f t="shared" si="40"/>
        <v>11.99</v>
      </c>
      <c r="N546" s="8">
        <f t="shared" si="41"/>
        <v>8452.9500000000007</v>
      </c>
      <c r="O546" s="9">
        <f>_xlfn.XLOOKUP(G546,[1]!tblProductMaster[SKU],[1]!tblProductMaster[Unit Cost])</f>
        <v>5.2</v>
      </c>
      <c r="P546" s="8">
        <f t="shared" si="42"/>
        <v>3666</v>
      </c>
      <c r="Q546" s="8">
        <f t="shared" si="43"/>
        <v>4786.9500000000007</v>
      </c>
      <c r="R546" s="4">
        <f t="shared" si="44"/>
        <v>0.56630525437864887</v>
      </c>
      <c r="S546" t="s">
        <v>87</v>
      </c>
      <c r="T546">
        <f>Table6[[#This Row],[Discount]]*Table6[[#This Row],[List Price]]*Table6[[#This Row],[Units]]</f>
        <v>0</v>
      </c>
    </row>
    <row r="547" spans="1:20" x14ac:dyDescent="0.2">
      <c r="A547" t="s">
        <v>640</v>
      </c>
      <c r="B547" s="2">
        <v>46243.744686986029</v>
      </c>
      <c r="C547" t="s">
        <v>98</v>
      </c>
      <c r="D547" t="s">
        <v>96</v>
      </c>
      <c r="E547" t="s">
        <v>56</v>
      </c>
      <c r="F547" t="s">
        <v>18</v>
      </c>
      <c r="G547" t="s">
        <v>60</v>
      </c>
      <c r="H547" t="str">
        <f>_xlfn.XLOOKUP(Table6[[#This Row],[SKU]],tblProductMaster[SKU],tblProductMaster[Product])</f>
        <v>Sensitive Toothpaste</v>
      </c>
      <c r="I547">
        <v>202</v>
      </c>
      <c r="J547">
        <f>_xlfn.XLOOKUP(G547,[1]!tblProductMaster[SKU],[1]!tblProductMaster[List Price])</f>
        <v>4.49</v>
      </c>
      <c r="K547" t="s">
        <v>86</v>
      </c>
      <c r="L547" s="3">
        <v>0</v>
      </c>
      <c r="M547" s="9">
        <f t="shared" si="40"/>
        <v>4.49</v>
      </c>
      <c r="N547" s="8">
        <f t="shared" si="41"/>
        <v>906.98</v>
      </c>
      <c r="O547" s="9">
        <f>_xlfn.XLOOKUP(G547,[1]!tblProductMaster[SKU],[1]!tblProductMaster[Unit Cost])</f>
        <v>1.7</v>
      </c>
      <c r="P547" s="8">
        <f t="shared" si="42"/>
        <v>343.4</v>
      </c>
      <c r="Q547" s="8">
        <f t="shared" si="43"/>
        <v>563.58000000000004</v>
      </c>
      <c r="R547" s="4">
        <f t="shared" si="44"/>
        <v>0.6213808463251671</v>
      </c>
      <c r="S547" t="s">
        <v>87</v>
      </c>
      <c r="T547">
        <f>Table6[[#This Row],[Discount]]*Table6[[#This Row],[List Price]]*Table6[[#This Row],[Units]]</f>
        <v>0</v>
      </c>
    </row>
    <row r="548" spans="1:20" x14ac:dyDescent="0.2">
      <c r="A548" t="s">
        <v>641</v>
      </c>
      <c r="B548" s="2">
        <v>46161.538278434477</v>
      </c>
      <c r="C548" t="s">
        <v>84</v>
      </c>
      <c r="D548" t="s">
        <v>96</v>
      </c>
      <c r="E548" t="s">
        <v>40</v>
      </c>
      <c r="F548" t="s">
        <v>7</v>
      </c>
      <c r="G548" t="s">
        <v>44</v>
      </c>
      <c r="H548" t="str">
        <f>_xlfn.XLOOKUP(Table6[[#This Row],[SKU]],tblProductMaster[SKU],tblProductMaster[Product])</f>
        <v>Fabric Softener</v>
      </c>
      <c r="I548">
        <v>208</v>
      </c>
      <c r="J548">
        <f>_xlfn.XLOOKUP(G548,[1]!tblProductMaster[SKU],[1]!tblProductMaster[List Price])</f>
        <v>6.99</v>
      </c>
      <c r="K548" t="s">
        <v>86</v>
      </c>
      <c r="L548" s="3">
        <v>0</v>
      </c>
      <c r="M548" s="9">
        <f t="shared" si="40"/>
        <v>6.99</v>
      </c>
      <c r="N548" s="8">
        <f t="shared" si="41"/>
        <v>1453.92</v>
      </c>
      <c r="O548" s="9">
        <f>_xlfn.XLOOKUP(G548,[1]!tblProductMaster[SKU],[1]!tblProductMaster[Unit Cost])</f>
        <v>2.9</v>
      </c>
      <c r="P548" s="8">
        <f t="shared" si="42"/>
        <v>603.19999999999993</v>
      </c>
      <c r="Q548" s="8">
        <f t="shared" si="43"/>
        <v>850.72000000000014</v>
      </c>
      <c r="R548" s="4">
        <f t="shared" si="44"/>
        <v>0.58512160228898435</v>
      </c>
      <c r="S548" t="s">
        <v>87</v>
      </c>
      <c r="T548">
        <f>Table6[[#This Row],[Discount]]*Table6[[#This Row],[List Price]]*Table6[[#This Row],[Units]]</f>
        <v>0</v>
      </c>
    </row>
    <row r="549" spans="1:20" x14ac:dyDescent="0.2">
      <c r="A549" t="s">
        <v>642</v>
      </c>
      <c r="B549" s="2">
        <v>46091.156678344472</v>
      </c>
      <c r="C549" t="s">
        <v>84</v>
      </c>
      <c r="D549" t="s">
        <v>85</v>
      </c>
      <c r="E549" t="s">
        <v>56</v>
      </c>
      <c r="F549" t="s">
        <v>18</v>
      </c>
      <c r="G549" t="s">
        <v>60</v>
      </c>
      <c r="H549" t="str">
        <f>_xlfn.XLOOKUP(Table6[[#This Row],[SKU]],tblProductMaster[SKU],tblProductMaster[Product])</f>
        <v>Sensitive Toothpaste</v>
      </c>
      <c r="I549">
        <v>308</v>
      </c>
      <c r="J549">
        <f>_xlfn.XLOOKUP(G549,[1]!tblProductMaster[SKU],[1]!tblProductMaster[List Price])</f>
        <v>4.49</v>
      </c>
      <c r="K549" t="s">
        <v>86</v>
      </c>
      <c r="L549" s="3">
        <v>0</v>
      </c>
      <c r="M549" s="9">
        <f t="shared" si="40"/>
        <v>4.49</v>
      </c>
      <c r="N549" s="8">
        <f t="shared" si="41"/>
        <v>1382.92</v>
      </c>
      <c r="O549" s="9">
        <f>_xlfn.XLOOKUP(G549,[1]!tblProductMaster[SKU],[1]!tblProductMaster[Unit Cost])</f>
        <v>1.7</v>
      </c>
      <c r="P549" s="8">
        <f t="shared" si="42"/>
        <v>523.6</v>
      </c>
      <c r="Q549" s="8">
        <f t="shared" si="43"/>
        <v>859.32</v>
      </c>
      <c r="R549" s="4">
        <f t="shared" si="44"/>
        <v>0.62138084632516699</v>
      </c>
      <c r="S549" t="s">
        <v>87</v>
      </c>
      <c r="T549">
        <f>Table6[[#This Row],[Discount]]*Table6[[#This Row],[List Price]]*Table6[[#This Row],[Units]]</f>
        <v>0</v>
      </c>
    </row>
    <row r="550" spans="1:20" x14ac:dyDescent="0.2">
      <c r="A550" t="s">
        <v>643</v>
      </c>
      <c r="B550" s="2">
        <v>46044.294338337451</v>
      </c>
      <c r="C550" t="s">
        <v>84</v>
      </c>
      <c r="D550" t="s">
        <v>96</v>
      </c>
      <c r="E550" t="s">
        <v>56</v>
      </c>
      <c r="F550" t="s">
        <v>7</v>
      </c>
      <c r="G550" t="s">
        <v>58</v>
      </c>
      <c r="H550" t="str">
        <f>_xlfn.XLOOKUP(Table6[[#This Row],[SKU]],tblProductMaster[SKU],tblProductMaster[Product])</f>
        <v>Whitening Toothpaste</v>
      </c>
      <c r="I550">
        <v>732</v>
      </c>
      <c r="J550">
        <f>_xlfn.XLOOKUP(G550,[1]!tblProductMaster[SKU],[1]!tblProductMaster[List Price])</f>
        <v>4.99</v>
      </c>
      <c r="K550" t="s">
        <v>86</v>
      </c>
      <c r="L550" s="3">
        <v>0</v>
      </c>
      <c r="M550" s="9">
        <f t="shared" si="40"/>
        <v>4.99</v>
      </c>
      <c r="N550" s="8">
        <f t="shared" si="41"/>
        <v>3652.6800000000003</v>
      </c>
      <c r="O550" s="9">
        <f>_xlfn.XLOOKUP(G550,[1]!tblProductMaster[SKU],[1]!tblProductMaster[Unit Cost])</f>
        <v>1.8</v>
      </c>
      <c r="P550" s="8">
        <f t="shared" si="42"/>
        <v>1317.6000000000001</v>
      </c>
      <c r="Q550" s="8">
        <f t="shared" si="43"/>
        <v>2335.08</v>
      </c>
      <c r="R550" s="4">
        <f t="shared" si="44"/>
        <v>0.63927855711422843</v>
      </c>
      <c r="S550" t="s">
        <v>87</v>
      </c>
      <c r="T550">
        <f>Table6[[#This Row],[Discount]]*Table6[[#This Row],[List Price]]*Table6[[#This Row],[Units]]</f>
        <v>0</v>
      </c>
    </row>
    <row r="551" spans="1:20" x14ac:dyDescent="0.2">
      <c r="A551" t="s">
        <v>644</v>
      </c>
      <c r="B551" s="2">
        <v>46360.835319083737</v>
      </c>
      <c r="C551" t="s">
        <v>84</v>
      </c>
      <c r="D551" t="s">
        <v>85</v>
      </c>
      <c r="E551" t="s">
        <v>25</v>
      </c>
      <c r="F551" t="s">
        <v>15</v>
      </c>
      <c r="G551" t="s">
        <v>35</v>
      </c>
      <c r="H551" t="str">
        <f>_xlfn.XLOOKUP(Table6[[#This Row],[SKU]],tblProductMaster[SKU],tblProductMaster[Product])</f>
        <v>Hand Cream</v>
      </c>
      <c r="I551">
        <v>798</v>
      </c>
      <c r="J551">
        <f>_xlfn.XLOOKUP(G551,[1]!tblProductMaster[SKU],[1]!tblProductMaster[List Price])</f>
        <v>4.99</v>
      </c>
      <c r="K551" t="s">
        <v>86</v>
      </c>
      <c r="L551" s="3">
        <v>0</v>
      </c>
      <c r="M551" s="9">
        <f t="shared" si="40"/>
        <v>4.99</v>
      </c>
      <c r="N551" s="8">
        <f t="shared" si="41"/>
        <v>3982.02</v>
      </c>
      <c r="O551" s="9">
        <f>_xlfn.XLOOKUP(G551,[1]!tblProductMaster[SKU],[1]!tblProductMaster[Unit Cost])</f>
        <v>2.1</v>
      </c>
      <c r="P551" s="8">
        <f t="shared" si="42"/>
        <v>1675.8000000000002</v>
      </c>
      <c r="Q551" s="8">
        <f t="shared" si="43"/>
        <v>2306.2199999999998</v>
      </c>
      <c r="R551" s="4">
        <f t="shared" si="44"/>
        <v>0.57915831663326645</v>
      </c>
      <c r="S551" t="s">
        <v>87</v>
      </c>
      <c r="T551">
        <f>Table6[[#This Row],[Discount]]*Table6[[#This Row],[List Price]]*Table6[[#This Row],[Units]]</f>
        <v>0</v>
      </c>
    </row>
    <row r="552" spans="1:20" x14ac:dyDescent="0.2">
      <c r="A552" t="s">
        <v>645</v>
      </c>
      <c r="B552" s="2">
        <v>46060.417445422943</v>
      </c>
      <c r="C552" t="s">
        <v>84</v>
      </c>
      <c r="D552" t="s">
        <v>85</v>
      </c>
      <c r="E552" t="s">
        <v>56</v>
      </c>
      <c r="F552" t="s">
        <v>15</v>
      </c>
      <c r="G552" t="s">
        <v>62</v>
      </c>
      <c r="H552" t="str">
        <f>_xlfn.XLOOKUP(Table6[[#This Row],[SKU]],tblProductMaster[SKU],tblProductMaster[Product])</f>
        <v>Mouthwash 500ml</v>
      </c>
      <c r="I552">
        <v>288</v>
      </c>
      <c r="J552">
        <f>_xlfn.XLOOKUP(G552,[1]!tblProductMaster[SKU],[1]!tblProductMaster[List Price])</f>
        <v>5.99</v>
      </c>
      <c r="K552" t="s">
        <v>86</v>
      </c>
      <c r="L552" s="3">
        <v>0</v>
      </c>
      <c r="M552" s="9">
        <f t="shared" si="40"/>
        <v>5.99</v>
      </c>
      <c r="N552" s="8">
        <f t="shared" si="41"/>
        <v>1725.1200000000001</v>
      </c>
      <c r="O552" s="9">
        <f>_xlfn.XLOOKUP(G552,[1]!tblProductMaster[SKU],[1]!tblProductMaster[Unit Cost])</f>
        <v>2.4</v>
      </c>
      <c r="P552" s="8">
        <f t="shared" si="42"/>
        <v>691.19999999999993</v>
      </c>
      <c r="Q552" s="8">
        <f t="shared" si="43"/>
        <v>1033.92</v>
      </c>
      <c r="R552" s="4">
        <f t="shared" si="44"/>
        <v>0.59933222036727885</v>
      </c>
      <c r="S552" t="s">
        <v>87</v>
      </c>
      <c r="T552">
        <f>Table6[[#This Row],[Discount]]*Table6[[#This Row],[List Price]]*Table6[[#This Row],[Units]]</f>
        <v>0</v>
      </c>
    </row>
    <row r="553" spans="1:20" x14ac:dyDescent="0.2">
      <c r="A553" t="s">
        <v>646</v>
      </c>
      <c r="B553" s="2">
        <v>46044.803121352445</v>
      </c>
      <c r="C553" t="s">
        <v>98</v>
      </c>
      <c r="D553" t="s">
        <v>85</v>
      </c>
      <c r="E553" t="s">
        <v>8</v>
      </c>
      <c r="F553" t="s">
        <v>7</v>
      </c>
      <c r="G553" t="s">
        <v>12</v>
      </c>
      <c r="H553" t="str">
        <f>_xlfn.XLOOKUP(Table6[[#This Row],[SKU]],tblProductMaster[SKU],tblProductMaster[Product])</f>
        <v>Conditioner 250ml</v>
      </c>
      <c r="I553">
        <v>741</v>
      </c>
      <c r="J553">
        <f>_xlfn.XLOOKUP(G553,[1]!tblProductMaster[SKU],[1]!tblProductMaster[List Price])</f>
        <v>5.49</v>
      </c>
      <c r="K553" t="s">
        <v>89</v>
      </c>
      <c r="L553" s="3">
        <v>0.3</v>
      </c>
      <c r="M553" s="9">
        <f t="shared" si="40"/>
        <v>3.843</v>
      </c>
      <c r="N553" s="8">
        <f t="shared" si="41"/>
        <v>2847.663</v>
      </c>
      <c r="O553" s="9">
        <f>_xlfn.XLOOKUP(G553,[1]!tblProductMaster[SKU],[1]!tblProductMaster[Unit Cost])</f>
        <v>2.2000000000000002</v>
      </c>
      <c r="P553" s="8">
        <f t="shared" si="42"/>
        <v>1630.2</v>
      </c>
      <c r="Q553" s="8">
        <f t="shared" si="43"/>
        <v>1217.463</v>
      </c>
      <c r="R553" s="4">
        <f t="shared" si="44"/>
        <v>0.42753057507155867</v>
      </c>
      <c r="S553" t="s">
        <v>90</v>
      </c>
      <c r="T553">
        <f>Table6[[#This Row],[Discount]]*Table6[[#This Row],[List Price]]*Table6[[#This Row],[Units]]</f>
        <v>1220.4269999999999</v>
      </c>
    </row>
    <row r="554" spans="1:20" x14ac:dyDescent="0.2">
      <c r="A554" t="s">
        <v>647</v>
      </c>
      <c r="B554" s="2">
        <v>46374.714103356338</v>
      </c>
      <c r="C554" t="s">
        <v>93</v>
      </c>
      <c r="D554" t="s">
        <v>104</v>
      </c>
      <c r="E554" t="s">
        <v>56</v>
      </c>
      <c r="F554" t="s">
        <v>18</v>
      </c>
      <c r="G554" t="s">
        <v>60</v>
      </c>
      <c r="H554" t="str">
        <f>_xlfn.XLOOKUP(Table6[[#This Row],[SKU]],tblProductMaster[SKU],tblProductMaster[Product])</f>
        <v>Sensitive Toothpaste</v>
      </c>
      <c r="I554">
        <v>207</v>
      </c>
      <c r="J554">
        <f>_xlfn.XLOOKUP(G554,[1]!tblProductMaster[SKU],[1]!tblProductMaster[List Price])</f>
        <v>4.49</v>
      </c>
      <c r="K554" t="s">
        <v>86</v>
      </c>
      <c r="L554" s="3">
        <v>0</v>
      </c>
      <c r="M554" s="9">
        <f t="shared" si="40"/>
        <v>4.49</v>
      </c>
      <c r="N554" s="8">
        <f t="shared" si="41"/>
        <v>929.43000000000006</v>
      </c>
      <c r="O554" s="9">
        <f>_xlfn.XLOOKUP(G554,[1]!tblProductMaster[SKU],[1]!tblProductMaster[Unit Cost])</f>
        <v>1.7</v>
      </c>
      <c r="P554" s="8">
        <f t="shared" si="42"/>
        <v>351.9</v>
      </c>
      <c r="Q554" s="8">
        <f t="shared" si="43"/>
        <v>577.53000000000009</v>
      </c>
      <c r="R554" s="4">
        <f t="shared" si="44"/>
        <v>0.6213808463251671</v>
      </c>
      <c r="S554" t="s">
        <v>87</v>
      </c>
      <c r="T554">
        <f>Table6[[#This Row],[Discount]]*Table6[[#This Row],[List Price]]*Table6[[#This Row],[Units]]</f>
        <v>0</v>
      </c>
    </row>
    <row r="555" spans="1:20" x14ac:dyDescent="0.2">
      <c r="A555" t="s">
        <v>648</v>
      </c>
      <c r="B555" s="2">
        <v>46089.960474942891</v>
      </c>
      <c r="C555" t="s">
        <v>98</v>
      </c>
      <c r="D555" t="s">
        <v>85</v>
      </c>
      <c r="E555" t="s">
        <v>25</v>
      </c>
      <c r="F555" t="s">
        <v>18</v>
      </c>
      <c r="G555" t="s">
        <v>37</v>
      </c>
      <c r="H555" t="str">
        <f>_xlfn.XLOOKUP(Table6[[#This Row],[SKU]],tblProductMaster[SKU],tblProductMaster[Product])</f>
        <v>Body Wash</v>
      </c>
      <c r="I555">
        <v>580</v>
      </c>
      <c r="J555">
        <f>_xlfn.XLOOKUP(G555,[1]!tblProductMaster[SKU],[1]!tblProductMaster[List Price])</f>
        <v>5.49</v>
      </c>
      <c r="K555" t="s">
        <v>89</v>
      </c>
      <c r="L555" s="3">
        <v>0.2</v>
      </c>
      <c r="M555" s="9">
        <f t="shared" si="40"/>
        <v>4.3920000000000003</v>
      </c>
      <c r="N555" s="8">
        <f t="shared" si="41"/>
        <v>2547.36</v>
      </c>
      <c r="O555" s="9">
        <f>_xlfn.XLOOKUP(G555,[1]!tblProductMaster[SKU],[1]!tblProductMaster[Unit Cost])</f>
        <v>2.2999999999999998</v>
      </c>
      <c r="P555" s="8">
        <f t="shared" si="42"/>
        <v>1334</v>
      </c>
      <c r="Q555" s="8">
        <f t="shared" si="43"/>
        <v>1213.3600000000001</v>
      </c>
      <c r="R555" s="4">
        <f t="shared" si="44"/>
        <v>0.47632058287795997</v>
      </c>
      <c r="S555" t="s">
        <v>99</v>
      </c>
      <c r="T555">
        <f>Table6[[#This Row],[Discount]]*Table6[[#This Row],[List Price]]*Table6[[#This Row],[Units]]</f>
        <v>636.84</v>
      </c>
    </row>
    <row r="556" spans="1:20" x14ac:dyDescent="0.2">
      <c r="A556" t="s">
        <v>649</v>
      </c>
      <c r="B556" s="2">
        <v>46207.99815515001</v>
      </c>
      <c r="C556" t="s">
        <v>84</v>
      </c>
      <c r="D556" t="s">
        <v>104</v>
      </c>
      <c r="E556" t="s">
        <v>40</v>
      </c>
      <c r="F556" t="s">
        <v>7</v>
      </c>
      <c r="G556" t="s">
        <v>44</v>
      </c>
      <c r="H556" t="str">
        <f>_xlfn.XLOOKUP(Table6[[#This Row],[SKU]],tblProductMaster[SKU],tblProductMaster[Product])</f>
        <v>Fabric Softener</v>
      </c>
      <c r="I556">
        <v>680</v>
      </c>
      <c r="J556">
        <f>_xlfn.XLOOKUP(G556,[1]!tblProductMaster[SKU],[1]!tblProductMaster[List Price])</f>
        <v>6.99</v>
      </c>
      <c r="K556" t="s">
        <v>86</v>
      </c>
      <c r="L556" s="3">
        <v>0</v>
      </c>
      <c r="M556" s="9">
        <f t="shared" si="40"/>
        <v>6.99</v>
      </c>
      <c r="N556" s="8">
        <f t="shared" si="41"/>
        <v>4753.2</v>
      </c>
      <c r="O556" s="9">
        <f>_xlfn.XLOOKUP(G556,[1]!tblProductMaster[SKU],[1]!tblProductMaster[Unit Cost])</f>
        <v>2.9</v>
      </c>
      <c r="P556" s="8">
        <f t="shared" si="42"/>
        <v>1972</v>
      </c>
      <c r="Q556" s="8">
        <f t="shared" si="43"/>
        <v>2781.2</v>
      </c>
      <c r="R556" s="4">
        <f t="shared" si="44"/>
        <v>0.58512160228898424</v>
      </c>
      <c r="S556" t="s">
        <v>87</v>
      </c>
      <c r="T556">
        <f>Table6[[#This Row],[Discount]]*Table6[[#This Row],[List Price]]*Table6[[#This Row],[Units]]</f>
        <v>0</v>
      </c>
    </row>
    <row r="557" spans="1:20" x14ac:dyDescent="0.2">
      <c r="A557" t="s">
        <v>650</v>
      </c>
      <c r="B557" s="2">
        <v>46178.034324832275</v>
      </c>
      <c r="C557" t="s">
        <v>98</v>
      </c>
      <c r="D557" t="s">
        <v>104</v>
      </c>
      <c r="E557" t="s">
        <v>8</v>
      </c>
      <c r="F557" t="s">
        <v>7</v>
      </c>
      <c r="G557" t="s">
        <v>6</v>
      </c>
      <c r="H557" t="str">
        <f>_xlfn.XLOOKUP(Table6[[#This Row],[SKU]],tblProductMaster[SKU],tblProductMaster[Product])</f>
        <v>Shampoo 250ml</v>
      </c>
      <c r="I557">
        <v>648</v>
      </c>
      <c r="J557">
        <f>_xlfn.XLOOKUP(G557,[1]!tblProductMaster[SKU],[1]!tblProductMaster[List Price])</f>
        <v>5.99</v>
      </c>
      <c r="K557" t="s">
        <v>86</v>
      </c>
      <c r="L557" s="3">
        <v>0</v>
      </c>
      <c r="M557" s="9">
        <f t="shared" si="40"/>
        <v>5.99</v>
      </c>
      <c r="N557" s="8">
        <f t="shared" si="41"/>
        <v>3881.52</v>
      </c>
      <c r="O557" s="9">
        <f>_xlfn.XLOOKUP(G557,[1]!tblProductMaster[SKU],[1]!tblProductMaster[Unit Cost])</f>
        <v>2.4</v>
      </c>
      <c r="P557" s="8">
        <f t="shared" si="42"/>
        <v>1555.2</v>
      </c>
      <c r="Q557" s="8">
        <f t="shared" si="43"/>
        <v>2326.3199999999997</v>
      </c>
      <c r="R557" s="4">
        <f t="shared" si="44"/>
        <v>0.59933222036727873</v>
      </c>
      <c r="S557" t="s">
        <v>87</v>
      </c>
      <c r="T557">
        <f>Table6[[#This Row],[Discount]]*Table6[[#This Row],[List Price]]*Table6[[#This Row],[Units]]</f>
        <v>0</v>
      </c>
    </row>
    <row r="558" spans="1:20" x14ac:dyDescent="0.2">
      <c r="A558" t="s">
        <v>651</v>
      </c>
      <c r="B558" s="2">
        <v>46213.437538225466</v>
      </c>
      <c r="C558" t="s">
        <v>84</v>
      </c>
      <c r="D558" t="s">
        <v>85</v>
      </c>
      <c r="E558" t="s">
        <v>25</v>
      </c>
      <c r="F558" t="s">
        <v>15</v>
      </c>
      <c r="G558" t="s">
        <v>29</v>
      </c>
      <c r="H558" t="str">
        <f>_xlfn.XLOOKUP(Table6[[#This Row],[SKU]],tblProductMaster[SKU],tblProductMaster[Product])</f>
        <v>Shower Gel 250ml</v>
      </c>
      <c r="I558">
        <v>797</v>
      </c>
      <c r="J558">
        <f>_xlfn.XLOOKUP(G558,[1]!tblProductMaster[SKU],[1]!tblProductMaster[List Price])</f>
        <v>4.49</v>
      </c>
      <c r="K558" t="s">
        <v>86</v>
      </c>
      <c r="L558" s="3">
        <v>0</v>
      </c>
      <c r="M558" s="9">
        <f t="shared" si="40"/>
        <v>4.49</v>
      </c>
      <c r="N558" s="8">
        <f t="shared" si="41"/>
        <v>3578.53</v>
      </c>
      <c r="O558" s="9">
        <f>_xlfn.XLOOKUP(G558,[1]!tblProductMaster[SKU],[1]!tblProductMaster[Unit Cost])</f>
        <v>1.9</v>
      </c>
      <c r="P558" s="8">
        <f t="shared" si="42"/>
        <v>1514.3</v>
      </c>
      <c r="Q558" s="8">
        <f t="shared" si="43"/>
        <v>2064.2300000000005</v>
      </c>
      <c r="R558" s="4">
        <f t="shared" si="44"/>
        <v>0.57683741648106912</v>
      </c>
      <c r="S558" t="s">
        <v>87</v>
      </c>
      <c r="T558">
        <f>Table6[[#This Row],[Discount]]*Table6[[#This Row],[List Price]]*Table6[[#This Row],[Units]]</f>
        <v>0</v>
      </c>
    </row>
    <row r="559" spans="1:20" x14ac:dyDescent="0.2">
      <c r="A559" t="s">
        <v>652</v>
      </c>
      <c r="B559" s="2">
        <v>46136.650530997569</v>
      </c>
      <c r="C559" t="s">
        <v>93</v>
      </c>
      <c r="D559" t="s">
        <v>85</v>
      </c>
      <c r="E559" t="s">
        <v>56</v>
      </c>
      <c r="F559" t="s">
        <v>7</v>
      </c>
      <c r="G559" t="s">
        <v>58</v>
      </c>
      <c r="H559" t="str">
        <f>_xlfn.XLOOKUP(Table6[[#This Row],[SKU]],tblProductMaster[SKU],tblProductMaster[Product])</f>
        <v>Whitening Toothpaste</v>
      </c>
      <c r="I559">
        <v>534</v>
      </c>
      <c r="J559">
        <f>_xlfn.XLOOKUP(G559,[1]!tblProductMaster[SKU],[1]!tblProductMaster[List Price])</f>
        <v>4.99</v>
      </c>
      <c r="K559" t="s">
        <v>86</v>
      </c>
      <c r="L559" s="3">
        <v>0</v>
      </c>
      <c r="M559" s="9">
        <f t="shared" si="40"/>
        <v>4.99</v>
      </c>
      <c r="N559" s="8">
        <f t="shared" si="41"/>
        <v>2664.6600000000003</v>
      </c>
      <c r="O559" s="9">
        <f>_xlfn.XLOOKUP(G559,[1]!tblProductMaster[SKU],[1]!tblProductMaster[Unit Cost])</f>
        <v>1.8</v>
      </c>
      <c r="P559" s="8">
        <f t="shared" si="42"/>
        <v>961.2</v>
      </c>
      <c r="Q559" s="8">
        <f t="shared" si="43"/>
        <v>1703.4600000000003</v>
      </c>
      <c r="R559" s="4">
        <f t="shared" si="44"/>
        <v>0.63927855711422843</v>
      </c>
      <c r="S559" t="s">
        <v>87</v>
      </c>
      <c r="T559">
        <f>Table6[[#This Row],[Discount]]*Table6[[#This Row],[List Price]]*Table6[[#This Row],[Units]]</f>
        <v>0</v>
      </c>
    </row>
    <row r="560" spans="1:20" x14ac:dyDescent="0.2">
      <c r="A560" t="s">
        <v>653</v>
      </c>
      <c r="B560" s="2">
        <v>46152.762906885619</v>
      </c>
      <c r="C560" t="s">
        <v>84</v>
      </c>
      <c r="D560" t="s">
        <v>104</v>
      </c>
      <c r="E560" t="s">
        <v>40</v>
      </c>
      <c r="F560" t="s">
        <v>18</v>
      </c>
      <c r="G560" t="s">
        <v>50</v>
      </c>
      <c r="H560" t="str">
        <f>_xlfn.XLOOKUP(Table6[[#This Row],[SKU]],tblProductMaster[SKU],tblProductMaster[Product])</f>
        <v>Sensitive Detergent</v>
      </c>
      <c r="I560">
        <v>494</v>
      </c>
      <c r="J560">
        <f>_xlfn.XLOOKUP(G560,[1]!tblProductMaster[SKU],[1]!tblProductMaster[List Price])</f>
        <v>8.99</v>
      </c>
      <c r="K560" t="s">
        <v>89</v>
      </c>
      <c r="L560" s="3">
        <v>0.2</v>
      </c>
      <c r="M560" s="9">
        <f t="shared" si="40"/>
        <v>7.1920000000000002</v>
      </c>
      <c r="N560" s="8">
        <f t="shared" si="41"/>
        <v>3552.848</v>
      </c>
      <c r="O560" s="9">
        <f>_xlfn.XLOOKUP(G560,[1]!tblProductMaster[SKU],[1]!tblProductMaster[Unit Cost])</f>
        <v>4</v>
      </c>
      <c r="P560" s="8">
        <f t="shared" si="42"/>
        <v>1976</v>
      </c>
      <c r="Q560" s="8">
        <f t="shared" si="43"/>
        <v>1576.848</v>
      </c>
      <c r="R560" s="4">
        <f t="shared" si="44"/>
        <v>0.44382647385984425</v>
      </c>
      <c r="S560" t="s">
        <v>94</v>
      </c>
      <c r="T560">
        <f>Table6[[#This Row],[Discount]]*Table6[[#This Row],[List Price]]*Table6[[#This Row],[Units]]</f>
        <v>888.21199999999999</v>
      </c>
    </row>
    <row r="561" spans="1:20" x14ac:dyDescent="0.2">
      <c r="A561" t="s">
        <v>654</v>
      </c>
      <c r="B561" s="2">
        <v>46163.177612126936</v>
      </c>
      <c r="C561" t="s">
        <v>98</v>
      </c>
      <c r="D561" t="s">
        <v>85</v>
      </c>
      <c r="E561" t="s">
        <v>40</v>
      </c>
      <c r="F561" t="s">
        <v>18</v>
      </c>
      <c r="G561" t="s">
        <v>54</v>
      </c>
      <c r="H561" t="str">
        <f>_xlfn.XLOOKUP(Table6[[#This Row],[SKU]],tblProductMaster[SKU],tblProductMaster[Product])</f>
        <v>Fabric Softener</v>
      </c>
      <c r="I561">
        <v>730</v>
      </c>
      <c r="J561">
        <f>_xlfn.XLOOKUP(G561,[1]!tblProductMaster[SKU],[1]!tblProductMaster[List Price])</f>
        <v>5.49</v>
      </c>
      <c r="K561" t="s">
        <v>89</v>
      </c>
      <c r="L561" s="3">
        <v>0.3</v>
      </c>
      <c r="M561" s="9">
        <f t="shared" si="40"/>
        <v>3.843</v>
      </c>
      <c r="N561" s="8">
        <f t="shared" si="41"/>
        <v>2805.39</v>
      </c>
      <c r="O561" s="9">
        <f>_xlfn.XLOOKUP(G561,[1]!tblProductMaster[SKU],[1]!tblProductMaster[Unit Cost])</f>
        <v>2.4</v>
      </c>
      <c r="P561" s="8">
        <f t="shared" si="42"/>
        <v>1752</v>
      </c>
      <c r="Q561" s="8">
        <f t="shared" si="43"/>
        <v>1053.3899999999999</v>
      </c>
      <c r="R561" s="4">
        <f t="shared" si="44"/>
        <v>0.37548790007806399</v>
      </c>
      <c r="S561" t="s">
        <v>90</v>
      </c>
      <c r="T561">
        <f>Table6[[#This Row],[Discount]]*Table6[[#This Row],[List Price]]*Table6[[#This Row],[Units]]</f>
        <v>1202.31</v>
      </c>
    </row>
    <row r="562" spans="1:20" x14ac:dyDescent="0.2">
      <c r="A562" t="s">
        <v>655</v>
      </c>
      <c r="B562" s="2">
        <v>46193.092513319541</v>
      </c>
      <c r="C562" t="s">
        <v>98</v>
      </c>
      <c r="D562" t="s">
        <v>104</v>
      </c>
      <c r="E562" t="s">
        <v>40</v>
      </c>
      <c r="F562" t="s">
        <v>15</v>
      </c>
      <c r="G562" t="s">
        <v>52</v>
      </c>
      <c r="H562" t="str">
        <f>_xlfn.XLOOKUP(Table6[[#This Row],[SKU]],tblProductMaster[SKU],tblProductMaster[Product])</f>
        <v>Laundry Pods</v>
      </c>
      <c r="I562">
        <v>912</v>
      </c>
      <c r="J562">
        <f>_xlfn.XLOOKUP(G562,[1]!tblProductMaster[SKU],[1]!tblProductMaster[List Price])</f>
        <v>10.49</v>
      </c>
      <c r="K562" t="s">
        <v>89</v>
      </c>
      <c r="L562" s="3">
        <v>0.1</v>
      </c>
      <c r="M562" s="9">
        <f t="shared" si="40"/>
        <v>9.4410000000000007</v>
      </c>
      <c r="N562" s="8">
        <f t="shared" si="41"/>
        <v>8610.1920000000009</v>
      </c>
      <c r="O562" s="9">
        <f>_xlfn.XLOOKUP(G562,[1]!tblProductMaster[SKU],[1]!tblProductMaster[Unit Cost])</f>
        <v>4.5999999999999996</v>
      </c>
      <c r="P562" s="8">
        <f t="shared" si="42"/>
        <v>4195.2</v>
      </c>
      <c r="Q562" s="8">
        <f t="shared" si="43"/>
        <v>4414.9920000000011</v>
      </c>
      <c r="R562" s="4">
        <f t="shared" si="44"/>
        <v>0.51276347844508008</v>
      </c>
      <c r="S562" t="s">
        <v>94</v>
      </c>
      <c r="T562">
        <f>Table6[[#This Row],[Discount]]*Table6[[#This Row],[List Price]]*Table6[[#This Row],[Units]]</f>
        <v>956.6880000000001</v>
      </c>
    </row>
    <row r="563" spans="1:20" x14ac:dyDescent="0.2">
      <c r="A563" t="s">
        <v>656</v>
      </c>
      <c r="B563" s="2">
        <v>46112.379667197427</v>
      </c>
      <c r="C563" t="s">
        <v>84</v>
      </c>
      <c r="D563" t="s">
        <v>85</v>
      </c>
      <c r="E563" t="s">
        <v>40</v>
      </c>
      <c r="F563" t="s">
        <v>18</v>
      </c>
      <c r="G563" t="s">
        <v>50</v>
      </c>
      <c r="H563" t="str">
        <f>_xlfn.XLOOKUP(Table6[[#This Row],[SKU]],tblProductMaster[SKU],tblProductMaster[Product])</f>
        <v>Sensitive Detergent</v>
      </c>
      <c r="I563">
        <v>717</v>
      </c>
      <c r="J563">
        <f>_xlfn.XLOOKUP(G563,[1]!tblProductMaster[SKU],[1]!tblProductMaster[List Price])</f>
        <v>8.99</v>
      </c>
      <c r="K563" t="s">
        <v>89</v>
      </c>
      <c r="L563" s="3">
        <v>0.2</v>
      </c>
      <c r="M563" s="9">
        <f t="shared" si="40"/>
        <v>7.1920000000000002</v>
      </c>
      <c r="N563" s="8">
        <f t="shared" si="41"/>
        <v>5156.6639999999998</v>
      </c>
      <c r="O563" s="9">
        <f>_xlfn.XLOOKUP(G563,[1]!tblProductMaster[SKU],[1]!tblProductMaster[Unit Cost])</f>
        <v>4</v>
      </c>
      <c r="P563" s="8">
        <f t="shared" si="42"/>
        <v>2868</v>
      </c>
      <c r="Q563" s="8">
        <f t="shared" si="43"/>
        <v>2288.6639999999998</v>
      </c>
      <c r="R563" s="4">
        <f t="shared" si="44"/>
        <v>0.44382647385984425</v>
      </c>
      <c r="S563" t="s">
        <v>99</v>
      </c>
      <c r="T563">
        <f>Table6[[#This Row],[Discount]]*Table6[[#This Row],[List Price]]*Table6[[#This Row],[Units]]</f>
        <v>1289.1659999999999</v>
      </c>
    </row>
    <row r="564" spans="1:20" x14ac:dyDescent="0.2">
      <c r="A564" t="s">
        <v>657</v>
      </c>
      <c r="B564" s="2">
        <v>46089.784422166842</v>
      </c>
      <c r="C564" t="s">
        <v>84</v>
      </c>
      <c r="D564" t="s">
        <v>85</v>
      </c>
      <c r="E564" t="s">
        <v>56</v>
      </c>
      <c r="F564" t="s">
        <v>18</v>
      </c>
      <c r="G564" t="s">
        <v>68</v>
      </c>
      <c r="H564" t="str">
        <f>_xlfn.XLOOKUP(Table6[[#This Row],[SKU]],tblProductMaster[SKU],tblProductMaster[Product])</f>
        <v>Kids Toothpaste</v>
      </c>
      <c r="I564">
        <v>487</v>
      </c>
      <c r="J564">
        <f>_xlfn.XLOOKUP(G564,[1]!tblProductMaster[SKU],[1]!tblProductMaster[List Price])</f>
        <v>3.29</v>
      </c>
      <c r="K564" t="s">
        <v>86</v>
      </c>
      <c r="L564" s="3">
        <v>0</v>
      </c>
      <c r="M564" s="9">
        <f t="shared" si="40"/>
        <v>3.29</v>
      </c>
      <c r="N564" s="8">
        <f t="shared" si="41"/>
        <v>1602.23</v>
      </c>
      <c r="O564" s="9">
        <f>_xlfn.XLOOKUP(G564,[1]!tblProductMaster[SKU],[1]!tblProductMaster[Unit Cost])</f>
        <v>1.1000000000000001</v>
      </c>
      <c r="P564" s="8">
        <f t="shared" si="42"/>
        <v>535.70000000000005</v>
      </c>
      <c r="Q564" s="8">
        <f t="shared" si="43"/>
        <v>1066.53</v>
      </c>
      <c r="R564" s="4">
        <f t="shared" si="44"/>
        <v>0.66565349544072949</v>
      </c>
      <c r="S564" t="s">
        <v>87</v>
      </c>
      <c r="T564">
        <f>Table6[[#This Row],[Discount]]*Table6[[#This Row],[List Price]]*Table6[[#This Row],[Units]]</f>
        <v>0</v>
      </c>
    </row>
    <row r="565" spans="1:20" x14ac:dyDescent="0.2">
      <c r="A565" t="s">
        <v>658</v>
      </c>
      <c r="B565" s="2">
        <v>46295.196499149301</v>
      </c>
      <c r="C565" t="s">
        <v>84</v>
      </c>
      <c r="D565" t="s">
        <v>96</v>
      </c>
      <c r="E565" t="s">
        <v>8</v>
      </c>
      <c r="F565" t="s">
        <v>7</v>
      </c>
      <c r="G565" t="s">
        <v>6</v>
      </c>
      <c r="H565" t="str">
        <f>_xlfn.XLOOKUP(Table6[[#This Row],[SKU]],tblProductMaster[SKU],tblProductMaster[Product])</f>
        <v>Shampoo 250ml</v>
      </c>
      <c r="I565">
        <v>750</v>
      </c>
      <c r="J565">
        <f>_xlfn.XLOOKUP(G565,[1]!tblProductMaster[SKU],[1]!tblProductMaster[List Price])</f>
        <v>5.99</v>
      </c>
      <c r="K565" t="s">
        <v>89</v>
      </c>
      <c r="L565" s="3">
        <v>0.1</v>
      </c>
      <c r="M565" s="9">
        <f t="shared" si="40"/>
        <v>5.391</v>
      </c>
      <c r="N565" s="8">
        <f t="shared" si="41"/>
        <v>4043.25</v>
      </c>
      <c r="O565" s="9">
        <f>_xlfn.XLOOKUP(G565,[1]!tblProductMaster[SKU],[1]!tblProductMaster[Unit Cost])</f>
        <v>2.4</v>
      </c>
      <c r="P565" s="8">
        <f t="shared" si="42"/>
        <v>1800</v>
      </c>
      <c r="Q565" s="8">
        <f t="shared" si="43"/>
        <v>2243.25</v>
      </c>
      <c r="R565" s="4">
        <f t="shared" si="44"/>
        <v>0.5548135781858653</v>
      </c>
      <c r="S565" t="s">
        <v>90</v>
      </c>
      <c r="T565">
        <f>Table6[[#This Row],[Discount]]*Table6[[#This Row],[List Price]]*Table6[[#This Row],[Units]]</f>
        <v>449.25000000000006</v>
      </c>
    </row>
    <row r="566" spans="1:20" x14ac:dyDescent="0.2">
      <c r="A566" t="s">
        <v>659</v>
      </c>
      <c r="B566" s="2">
        <v>46182.723067596038</v>
      </c>
      <c r="C566" t="s">
        <v>98</v>
      </c>
      <c r="D566" t="s">
        <v>104</v>
      </c>
      <c r="E566" t="s">
        <v>56</v>
      </c>
      <c r="F566" t="s">
        <v>7</v>
      </c>
      <c r="G566" t="s">
        <v>66</v>
      </c>
      <c r="H566" t="str">
        <f>_xlfn.XLOOKUP(Table6[[#This Row],[SKU]],tblProductMaster[SKU],tblProductMaster[Product])</f>
        <v>Electric Brush Heads</v>
      </c>
      <c r="I566">
        <v>488</v>
      </c>
      <c r="J566">
        <f>_xlfn.XLOOKUP(G566,[1]!tblProductMaster[SKU],[1]!tblProductMaster[List Price])</f>
        <v>12.99</v>
      </c>
      <c r="K566" t="s">
        <v>86</v>
      </c>
      <c r="L566" s="3">
        <v>0</v>
      </c>
      <c r="M566" s="9">
        <f t="shared" si="40"/>
        <v>12.99</v>
      </c>
      <c r="N566" s="8">
        <f t="shared" si="41"/>
        <v>6339.12</v>
      </c>
      <c r="O566" s="9">
        <f>_xlfn.XLOOKUP(G566,[1]!tblProductMaster[SKU],[1]!tblProductMaster[Unit Cost])</f>
        <v>5.2</v>
      </c>
      <c r="P566" s="8">
        <f t="shared" si="42"/>
        <v>2537.6</v>
      </c>
      <c r="Q566" s="8">
        <f t="shared" si="43"/>
        <v>3801.52</v>
      </c>
      <c r="R566" s="4">
        <f t="shared" si="44"/>
        <v>0.59969207082371057</v>
      </c>
      <c r="S566" t="s">
        <v>87</v>
      </c>
      <c r="T566">
        <f>Table6[[#This Row],[Discount]]*Table6[[#This Row],[List Price]]*Table6[[#This Row],[Units]]</f>
        <v>0</v>
      </c>
    </row>
    <row r="567" spans="1:20" x14ac:dyDescent="0.2">
      <c r="A567" t="s">
        <v>660</v>
      </c>
      <c r="B567" s="2">
        <v>46180.051290324569</v>
      </c>
      <c r="C567" t="s">
        <v>93</v>
      </c>
      <c r="D567" t="s">
        <v>96</v>
      </c>
      <c r="E567" t="s">
        <v>8</v>
      </c>
      <c r="F567" t="s">
        <v>18</v>
      </c>
      <c r="G567" t="s">
        <v>20</v>
      </c>
      <c r="H567" t="str">
        <f>_xlfn.XLOOKUP(Table6[[#This Row],[SKU]],tblProductMaster[SKU],tblProductMaster[Product])</f>
        <v>Hair Oil</v>
      </c>
      <c r="I567">
        <v>730</v>
      </c>
      <c r="J567">
        <f>_xlfn.XLOOKUP(G567,[1]!tblProductMaster[SKU],[1]!tblProductMaster[List Price])</f>
        <v>7.49</v>
      </c>
      <c r="K567" t="s">
        <v>86</v>
      </c>
      <c r="L567" s="3">
        <v>0</v>
      </c>
      <c r="M567" s="9">
        <f t="shared" si="40"/>
        <v>7.49</v>
      </c>
      <c r="N567" s="8">
        <f t="shared" si="41"/>
        <v>5467.7</v>
      </c>
      <c r="O567" s="9">
        <f>_xlfn.XLOOKUP(G567,[1]!tblProductMaster[SKU],[1]!tblProductMaster[Unit Cost])</f>
        <v>3.1</v>
      </c>
      <c r="P567" s="8">
        <f t="shared" si="42"/>
        <v>2263</v>
      </c>
      <c r="Q567" s="8">
        <f t="shared" si="43"/>
        <v>3204.7</v>
      </c>
      <c r="R567" s="4">
        <f t="shared" si="44"/>
        <v>0.58611481975967961</v>
      </c>
      <c r="S567" t="s">
        <v>87</v>
      </c>
      <c r="T567">
        <f>Table6[[#This Row],[Discount]]*Table6[[#This Row],[List Price]]*Table6[[#This Row],[Units]]</f>
        <v>0</v>
      </c>
    </row>
    <row r="568" spans="1:20" x14ac:dyDescent="0.2">
      <c r="A568" t="s">
        <v>661</v>
      </c>
      <c r="B568" s="2">
        <v>46109.216345419089</v>
      </c>
      <c r="C568" t="s">
        <v>98</v>
      </c>
      <c r="D568" t="s">
        <v>85</v>
      </c>
      <c r="E568" t="s">
        <v>40</v>
      </c>
      <c r="F568" t="s">
        <v>15</v>
      </c>
      <c r="G568" t="s">
        <v>46</v>
      </c>
      <c r="H568" t="str">
        <f>_xlfn.XLOOKUP(Table6[[#This Row],[SKU]],tblProductMaster[SKU],tblProductMaster[Product])</f>
        <v>Stain Remover</v>
      </c>
      <c r="I568">
        <v>1120</v>
      </c>
      <c r="J568">
        <f>_xlfn.XLOOKUP(G568,[1]!tblProductMaster[SKU],[1]!tblProductMaster[List Price])</f>
        <v>5.99</v>
      </c>
      <c r="K568" t="s">
        <v>89</v>
      </c>
      <c r="L568" s="3">
        <v>0.3</v>
      </c>
      <c r="M568" s="9">
        <f t="shared" si="40"/>
        <v>4.1929999999999996</v>
      </c>
      <c r="N568" s="8">
        <f t="shared" si="41"/>
        <v>4696.16</v>
      </c>
      <c r="O568" s="9">
        <f>_xlfn.XLOOKUP(G568,[1]!tblProductMaster[SKU],[1]!tblProductMaster[Unit Cost])</f>
        <v>2.5</v>
      </c>
      <c r="P568" s="8">
        <f t="shared" si="42"/>
        <v>2800</v>
      </c>
      <c r="Q568" s="8">
        <f t="shared" si="43"/>
        <v>1896.1599999999999</v>
      </c>
      <c r="R568" s="4">
        <f t="shared" si="44"/>
        <v>0.40376818507035533</v>
      </c>
      <c r="S568" t="s">
        <v>99</v>
      </c>
      <c r="T568">
        <f>Table6[[#This Row],[Discount]]*Table6[[#This Row],[List Price]]*Table6[[#This Row],[Units]]</f>
        <v>2012.6399999999999</v>
      </c>
    </row>
    <row r="569" spans="1:20" x14ac:dyDescent="0.2">
      <c r="A569" t="s">
        <v>662</v>
      </c>
      <c r="B569" s="2">
        <v>46309.819189434573</v>
      </c>
      <c r="C569" t="s">
        <v>93</v>
      </c>
      <c r="D569" t="s">
        <v>85</v>
      </c>
      <c r="E569" t="s">
        <v>40</v>
      </c>
      <c r="F569" t="s">
        <v>7</v>
      </c>
      <c r="G569" t="s">
        <v>44</v>
      </c>
      <c r="H569" t="str">
        <f>_xlfn.XLOOKUP(Table6[[#This Row],[SKU]],tblProductMaster[SKU],tblProductMaster[Product])</f>
        <v>Fabric Softener</v>
      </c>
      <c r="I569">
        <v>629</v>
      </c>
      <c r="J569">
        <f>_xlfn.XLOOKUP(G569,[1]!tblProductMaster[SKU],[1]!tblProductMaster[List Price])</f>
        <v>6.99</v>
      </c>
      <c r="K569" t="s">
        <v>86</v>
      </c>
      <c r="L569" s="3">
        <v>0</v>
      </c>
      <c r="M569" s="9">
        <f t="shared" si="40"/>
        <v>6.99</v>
      </c>
      <c r="N569" s="8">
        <f t="shared" si="41"/>
        <v>4396.71</v>
      </c>
      <c r="O569" s="9">
        <f>_xlfn.XLOOKUP(G569,[1]!tblProductMaster[SKU],[1]!tblProductMaster[Unit Cost])</f>
        <v>2.9</v>
      </c>
      <c r="P569" s="8">
        <f t="shared" si="42"/>
        <v>1824.1</v>
      </c>
      <c r="Q569" s="8">
        <f t="shared" si="43"/>
        <v>2572.61</v>
      </c>
      <c r="R569" s="4">
        <f t="shared" si="44"/>
        <v>0.58512160228898424</v>
      </c>
      <c r="S569" t="s">
        <v>87</v>
      </c>
      <c r="T569">
        <f>Table6[[#This Row],[Discount]]*Table6[[#This Row],[List Price]]*Table6[[#This Row],[Units]]</f>
        <v>0</v>
      </c>
    </row>
    <row r="570" spans="1:20" x14ac:dyDescent="0.2">
      <c r="A570" t="s">
        <v>663</v>
      </c>
      <c r="B570" s="2">
        <v>46225.584030558995</v>
      </c>
      <c r="C570" t="s">
        <v>84</v>
      </c>
      <c r="D570" t="s">
        <v>96</v>
      </c>
      <c r="E570" t="s">
        <v>40</v>
      </c>
      <c r="F570" t="s">
        <v>18</v>
      </c>
      <c r="G570" t="s">
        <v>50</v>
      </c>
      <c r="H570" t="str">
        <f>_xlfn.XLOOKUP(Table6[[#This Row],[SKU]],tblProductMaster[SKU],tblProductMaster[Product])</f>
        <v>Sensitive Detergent</v>
      </c>
      <c r="I570">
        <v>763</v>
      </c>
      <c r="J570">
        <f>_xlfn.XLOOKUP(G570,[1]!tblProductMaster[SKU],[1]!tblProductMaster[List Price])</f>
        <v>8.99</v>
      </c>
      <c r="K570" t="s">
        <v>86</v>
      </c>
      <c r="L570" s="3">
        <v>0</v>
      </c>
      <c r="M570" s="9">
        <f t="shared" si="40"/>
        <v>8.99</v>
      </c>
      <c r="N570" s="8">
        <f t="shared" si="41"/>
        <v>6859.37</v>
      </c>
      <c r="O570" s="9">
        <f>_xlfn.XLOOKUP(G570,[1]!tblProductMaster[SKU],[1]!tblProductMaster[Unit Cost])</f>
        <v>4</v>
      </c>
      <c r="P570" s="8">
        <f t="shared" si="42"/>
        <v>3052</v>
      </c>
      <c r="Q570" s="8">
        <f t="shared" si="43"/>
        <v>3807.37</v>
      </c>
      <c r="R570" s="4">
        <f t="shared" si="44"/>
        <v>0.55506117908787544</v>
      </c>
      <c r="S570" t="s">
        <v>87</v>
      </c>
      <c r="T570">
        <f>Table6[[#This Row],[Discount]]*Table6[[#This Row],[List Price]]*Table6[[#This Row],[Units]]</f>
        <v>0</v>
      </c>
    </row>
    <row r="571" spans="1:20" x14ac:dyDescent="0.2">
      <c r="A571" t="s">
        <v>664</v>
      </c>
      <c r="B571" s="2">
        <v>46093.816512151112</v>
      </c>
      <c r="C571" t="s">
        <v>84</v>
      </c>
      <c r="D571" t="s">
        <v>85</v>
      </c>
      <c r="E571" t="s">
        <v>8</v>
      </c>
      <c r="F571" t="s">
        <v>15</v>
      </c>
      <c r="G571" t="s">
        <v>16</v>
      </c>
      <c r="H571" t="str">
        <f>_xlfn.XLOOKUP(Table6[[#This Row],[SKU]],tblProductMaster[SKU],tblProductMaster[Product])</f>
        <v>Conditioner 250ml</v>
      </c>
      <c r="I571">
        <v>255</v>
      </c>
      <c r="J571">
        <f>_xlfn.XLOOKUP(G571,[1]!tblProductMaster[SKU],[1]!tblProductMaster[List Price])</f>
        <v>4.79</v>
      </c>
      <c r="K571" t="s">
        <v>86</v>
      </c>
      <c r="L571" s="3">
        <v>0</v>
      </c>
      <c r="M571" s="9">
        <f t="shared" si="40"/>
        <v>4.79</v>
      </c>
      <c r="N571" s="8">
        <f t="shared" si="41"/>
        <v>1221.45</v>
      </c>
      <c r="O571" s="9">
        <f>_xlfn.XLOOKUP(G571,[1]!tblProductMaster[SKU],[1]!tblProductMaster[Unit Cost])</f>
        <v>2</v>
      </c>
      <c r="P571" s="8">
        <f t="shared" si="42"/>
        <v>510</v>
      </c>
      <c r="Q571" s="8">
        <f t="shared" si="43"/>
        <v>711.45</v>
      </c>
      <c r="R571" s="4">
        <f t="shared" si="44"/>
        <v>0.58246346555323592</v>
      </c>
      <c r="S571" t="s">
        <v>87</v>
      </c>
      <c r="T571">
        <f>Table6[[#This Row],[Discount]]*Table6[[#This Row],[List Price]]*Table6[[#This Row],[Units]]</f>
        <v>0</v>
      </c>
    </row>
    <row r="572" spans="1:20" x14ac:dyDescent="0.2">
      <c r="A572" t="s">
        <v>665</v>
      </c>
      <c r="B572" s="2">
        <v>46283.597540548726</v>
      </c>
      <c r="C572" t="s">
        <v>98</v>
      </c>
      <c r="D572" t="s">
        <v>104</v>
      </c>
      <c r="E572" t="s">
        <v>8</v>
      </c>
      <c r="F572" t="s">
        <v>7</v>
      </c>
      <c r="G572" t="s">
        <v>12</v>
      </c>
      <c r="H572" t="str">
        <f>_xlfn.XLOOKUP(Table6[[#This Row],[SKU]],tblProductMaster[SKU],tblProductMaster[Product])</f>
        <v>Conditioner 250ml</v>
      </c>
      <c r="I572">
        <v>620</v>
      </c>
      <c r="J572">
        <f>_xlfn.XLOOKUP(G572,[1]!tblProductMaster[SKU],[1]!tblProductMaster[List Price])</f>
        <v>5.49</v>
      </c>
      <c r="K572" t="s">
        <v>86</v>
      </c>
      <c r="L572" s="3">
        <v>0</v>
      </c>
      <c r="M572" s="9">
        <f t="shared" si="40"/>
        <v>5.49</v>
      </c>
      <c r="N572" s="8">
        <f t="shared" si="41"/>
        <v>3403.8</v>
      </c>
      <c r="O572" s="9">
        <f>_xlfn.XLOOKUP(G572,[1]!tblProductMaster[SKU],[1]!tblProductMaster[Unit Cost])</f>
        <v>2.2000000000000002</v>
      </c>
      <c r="P572" s="8">
        <f t="shared" si="42"/>
        <v>1364</v>
      </c>
      <c r="Q572" s="8">
        <f t="shared" si="43"/>
        <v>2039.8000000000002</v>
      </c>
      <c r="R572" s="4">
        <f t="shared" si="44"/>
        <v>0.59927140255009115</v>
      </c>
      <c r="S572" t="s">
        <v>87</v>
      </c>
      <c r="T572">
        <f>Table6[[#This Row],[Discount]]*Table6[[#This Row],[List Price]]*Table6[[#This Row],[Units]]</f>
        <v>0</v>
      </c>
    </row>
    <row r="573" spans="1:20" x14ac:dyDescent="0.2">
      <c r="A573" t="s">
        <v>666</v>
      </c>
      <c r="B573" s="2">
        <v>46340.444182437175</v>
      </c>
      <c r="C573" t="s">
        <v>93</v>
      </c>
      <c r="D573" t="s">
        <v>96</v>
      </c>
      <c r="E573" t="s">
        <v>40</v>
      </c>
      <c r="F573" t="s">
        <v>15</v>
      </c>
      <c r="G573" t="s">
        <v>52</v>
      </c>
      <c r="H573" t="str">
        <f>_xlfn.XLOOKUP(Table6[[#This Row],[SKU]],tblProductMaster[SKU],tblProductMaster[Product])</f>
        <v>Laundry Pods</v>
      </c>
      <c r="I573">
        <v>487</v>
      </c>
      <c r="J573">
        <f>_xlfn.XLOOKUP(G573,[1]!tblProductMaster[SKU],[1]!tblProductMaster[List Price])</f>
        <v>10.49</v>
      </c>
      <c r="K573" t="s">
        <v>86</v>
      </c>
      <c r="L573" s="3">
        <v>0</v>
      </c>
      <c r="M573" s="9">
        <f t="shared" si="40"/>
        <v>10.49</v>
      </c>
      <c r="N573" s="8">
        <f t="shared" si="41"/>
        <v>5108.63</v>
      </c>
      <c r="O573" s="9">
        <f>_xlfn.XLOOKUP(G573,[1]!tblProductMaster[SKU],[1]!tblProductMaster[Unit Cost])</f>
        <v>4.5999999999999996</v>
      </c>
      <c r="P573" s="8">
        <f t="shared" si="42"/>
        <v>2240.1999999999998</v>
      </c>
      <c r="Q573" s="8">
        <f t="shared" si="43"/>
        <v>2868.4300000000003</v>
      </c>
      <c r="R573" s="4">
        <f t="shared" si="44"/>
        <v>0.56148713060057198</v>
      </c>
      <c r="S573" t="s">
        <v>87</v>
      </c>
      <c r="T573">
        <f>Table6[[#This Row],[Discount]]*Table6[[#This Row],[List Price]]*Table6[[#This Row],[Units]]</f>
        <v>0</v>
      </c>
    </row>
    <row r="574" spans="1:20" x14ac:dyDescent="0.2">
      <c r="A574" t="s">
        <v>667</v>
      </c>
      <c r="B574" s="2">
        <v>46214.59799062743</v>
      </c>
      <c r="C574" t="s">
        <v>84</v>
      </c>
      <c r="D574" t="s">
        <v>85</v>
      </c>
      <c r="E574" t="s">
        <v>56</v>
      </c>
      <c r="F574" t="s">
        <v>7</v>
      </c>
      <c r="G574" t="s">
        <v>64</v>
      </c>
      <c r="H574" t="str">
        <f>_xlfn.XLOOKUP(Table6[[#This Row],[SKU]],tblProductMaster[SKU],tblProductMaster[Product])</f>
        <v>Toothbrush</v>
      </c>
      <c r="I574">
        <v>220</v>
      </c>
      <c r="J574">
        <f>_xlfn.XLOOKUP(G574,[1]!tblProductMaster[SKU],[1]!tblProductMaster[List Price])</f>
        <v>3.99</v>
      </c>
      <c r="K574" t="s">
        <v>86</v>
      </c>
      <c r="L574" s="3">
        <v>0</v>
      </c>
      <c r="M574" s="9">
        <f t="shared" si="40"/>
        <v>3.99</v>
      </c>
      <c r="N574" s="8">
        <f t="shared" si="41"/>
        <v>877.80000000000007</v>
      </c>
      <c r="O574" s="9">
        <f>_xlfn.XLOOKUP(G574,[1]!tblProductMaster[SKU],[1]!tblProductMaster[Unit Cost])</f>
        <v>1.5</v>
      </c>
      <c r="P574" s="8">
        <f t="shared" si="42"/>
        <v>330</v>
      </c>
      <c r="Q574" s="8">
        <f t="shared" si="43"/>
        <v>547.80000000000007</v>
      </c>
      <c r="R574" s="4">
        <f t="shared" si="44"/>
        <v>0.62406015037593987</v>
      </c>
      <c r="S574" t="s">
        <v>87</v>
      </c>
      <c r="T574">
        <f>Table6[[#This Row],[Discount]]*Table6[[#This Row],[List Price]]*Table6[[#This Row],[Units]]</f>
        <v>0</v>
      </c>
    </row>
    <row r="575" spans="1:20" x14ac:dyDescent="0.2">
      <c r="A575" t="s">
        <v>668</v>
      </c>
      <c r="B575" s="2">
        <v>46122.434959663166</v>
      </c>
      <c r="C575" t="s">
        <v>93</v>
      </c>
      <c r="D575" t="s">
        <v>104</v>
      </c>
      <c r="E575" t="s">
        <v>56</v>
      </c>
      <c r="F575" t="s">
        <v>7</v>
      </c>
      <c r="G575" t="s">
        <v>58</v>
      </c>
      <c r="H575" t="str">
        <f>_xlfn.XLOOKUP(Table6[[#This Row],[SKU]],tblProductMaster[SKU],tblProductMaster[Product])</f>
        <v>Whitening Toothpaste</v>
      </c>
      <c r="I575">
        <v>698</v>
      </c>
      <c r="J575">
        <f>_xlfn.XLOOKUP(G575,[1]!tblProductMaster[SKU],[1]!tblProductMaster[List Price])</f>
        <v>4.99</v>
      </c>
      <c r="K575" t="s">
        <v>89</v>
      </c>
      <c r="L575" s="3">
        <v>0.3</v>
      </c>
      <c r="M575" s="9">
        <f t="shared" si="40"/>
        <v>3.4929999999999999</v>
      </c>
      <c r="N575" s="8">
        <f t="shared" si="41"/>
        <v>2438.114</v>
      </c>
      <c r="O575" s="9">
        <f>_xlfn.XLOOKUP(G575,[1]!tblProductMaster[SKU],[1]!tblProductMaster[Unit Cost])</f>
        <v>1.8</v>
      </c>
      <c r="P575" s="8">
        <f t="shared" si="42"/>
        <v>1256.4000000000001</v>
      </c>
      <c r="Q575" s="8">
        <f t="shared" si="43"/>
        <v>1181.7139999999999</v>
      </c>
      <c r="R575" s="4">
        <f t="shared" si="44"/>
        <v>0.48468365302032634</v>
      </c>
      <c r="S575" t="s">
        <v>94</v>
      </c>
      <c r="T575">
        <f>Table6[[#This Row],[Discount]]*Table6[[#This Row],[List Price]]*Table6[[#This Row],[Units]]</f>
        <v>1044.9060000000002</v>
      </c>
    </row>
    <row r="576" spans="1:20" x14ac:dyDescent="0.2">
      <c r="A576" t="s">
        <v>669</v>
      </c>
      <c r="B576" s="2">
        <v>46264.285161843814</v>
      </c>
      <c r="C576" t="s">
        <v>84</v>
      </c>
      <c r="D576" t="s">
        <v>104</v>
      </c>
      <c r="E576" t="s">
        <v>56</v>
      </c>
      <c r="F576" t="s">
        <v>18</v>
      </c>
      <c r="G576" t="s">
        <v>68</v>
      </c>
      <c r="H576" t="str">
        <f>_xlfn.XLOOKUP(Table6[[#This Row],[SKU]],tblProductMaster[SKU],tblProductMaster[Product])</f>
        <v>Kids Toothpaste</v>
      </c>
      <c r="I576">
        <v>408</v>
      </c>
      <c r="J576">
        <f>_xlfn.XLOOKUP(G576,[1]!tblProductMaster[SKU],[1]!tblProductMaster[List Price])</f>
        <v>3.29</v>
      </c>
      <c r="K576" t="s">
        <v>89</v>
      </c>
      <c r="L576" s="3">
        <v>0.1</v>
      </c>
      <c r="M576" s="9">
        <f t="shared" si="40"/>
        <v>2.9610000000000003</v>
      </c>
      <c r="N576" s="8">
        <f t="shared" si="41"/>
        <v>1208.0880000000002</v>
      </c>
      <c r="O576" s="9">
        <f>_xlfn.XLOOKUP(G576,[1]!tblProductMaster[SKU],[1]!tblProductMaster[Unit Cost])</f>
        <v>1.1000000000000001</v>
      </c>
      <c r="P576" s="8">
        <f t="shared" si="42"/>
        <v>448.8</v>
      </c>
      <c r="Q576" s="8">
        <f t="shared" si="43"/>
        <v>759.28800000000024</v>
      </c>
      <c r="R576" s="4">
        <f t="shared" si="44"/>
        <v>0.62850388382303291</v>
      </c>
      <c r="S576" t="s">
        <v>94</v>
      </c>
      <c r="T576">
        <f>Table6[[#This Row],[Discount]]*Table6[[#This Row],[List Price]]*Table6[[#This Row],[Units]]</f>
        <v>134.232</v>
      </c>
    </row>
    <row r="577" spans="1:20" x14ac:dyDescent="0.2">
      <c r="A577" t="s">
        <v>670</v>
      </c>
      <c r="B577" s="2">
        <v>46285.747274006615</v>
      </c>
      <c r="C577" t="s">
        <v>98</v>
      </c>
      <c r="D577" t="s">
        <v>85</v>
      </c>
      <c r="E577" t="s">
        <v>56</v>
      </c>
      <c r="F577" t="s">
        <v>18</v>
      </c>
      <c r="G577" t="s">
        <v>60</v>
      </c>
      <c r="H577" t="str">
        <f>_xlfn.XLOOKUP(Table6[[#This Row],[SKU]],tblProductMaster[SKU],tblProductMaster[Product])</f>
        <v>Sensitive Toothpaste</v>
      </c>
      <c r="I577">
        <v>448</v>
      </c>
      <c r="J577">
        <f>_xlfn.XLOOKUP(G577,[1]!tblProductMaster[SKU],[1]!tblProductMaster[List Price])</f>
        <v>4.49</v>
      </c>
      <c r="K577" t="s">
        <v>86</v>
      </c>
      <c r="L577" s="3">
        <v>0</v>
      </c>
      <c r="M577" s="9">
        <f t="shared" si="40"/>
        <v>4.49</v>
      </c>
      <c r="N577" s="8">
        <f t="shared" si="41"/>
        <v>2011.52</v>
      </c>
      <c r="O577" s="9">
        <f>_xlfn.XLOOKUP(G577,[1]!tblProductMaster[SKU],[1]!tblProductMaster[Unit Cost])</f>
        <v>1.7</v>
      </c>
      <c r="P577" s="8">
        <f t="shared" si="42"/>
        <v>761.6</v>
      </c>
      <c r="Q577" s="8">
        <f t="shared" si="43"/>
        <v>1249.92</v>
      </c>
      <c r="R577" s="4">
        <f t="shared" si="44"/>
        <v>0.6213808463251671</v>
      </c>
      <c r="S577" t="s">
        <v>87</v>
      </c>
      <c r="T577">
        <f>Table6[[#This Row],[Discount]]*Table6[[#This Row],[List Price]]*Table6[[#This Row],[Units]]</f>
        <v>0</v>
      </c>
    </row>
    <row r="578" spans="1:20" x14ac:dyDescent="0.2">
      <c r="A578" t="s">
        <v>671</v>
      </c>
      <c r="B578" s="2">
        <v>46352.49781758133</v>
      </c>
      <c r="C578" t="s">
        <v>93</v>
      </c>
      <c r="D578" t="s">
        <v>85</v>
      </c>
      <c r="E578" t="s">
        <v>8</v>
      </c>
      <c r="F578" t="s">
        <v>7</v>
      </c>
      <c r="G578" t="s">
        <v>6</v>
      </c>
      <c r="H578" t="str">
        <f>_xlfn.XLOOKUP(Table6[[#This Row],[SKU]],tblProductMaster[SKU],tblProductMaster[Product])</f>
        <v>Shampoo 250ml</v>
      </c>
      <c r="I578">
        <v>614</v>
      </c>
      <c r="J578">
        <f>_xlfn.XLOOKUP(G578,[1]!tblProductMaster[SKU],[1]!tblProductMaster[List Price])</f>
        <v>5.99</v>
      </c>
      <c r="K578" t="s">
        <v>89</v>
      </c>
      <c r="L578" s="3">
        <v>0.1</v>
      </c>
      <c r="M578" s="9">
        <f t="shared" si="40"/>
        <v>5.391</v>
      </c>
      <c r="N578" s="8">
        <f t="shared" si="41"/>
        <v>3310.0740000000001</v>
      </c>
      <c r="O578" s="9">
        <f>_xlfn.XLOOKUP(G578,[1]!tblProductMaster[SKU],[1]!tblProductMaster[Unit Cost])</f>
        <v>2.4</v>
      </c>
      <c r="P578" s="8">
        <f t="shared" si="42"/>
        <v>1473.6</v>
      </c>
      <c r="Q578" s="8">
        <f t="shared" si="43"/>
        <v>1836.4740000000002</v>
      </c>
      <c r="R578" s="4">
        <f t="shared" si="44"/>
        <v>0.55481357818586541</v>
      </c>
      <c r="S578" t="s">
        <v>94</v>
      </c>
      <c r="T578">
        <f>Table6[[#This Row],[Discount]]*Table6[[#This Row],[List Price]]*Table6[[#This Row],[Units]]</f>
        <v>367.78600000000006</v>
      </c>
    </row>
    <row r="579" spans="1:20" x14ac:dyDescent="0.2">
      <c r="A579" t="s">
        <v>672</v>
      </c>
      <c r="B579" s="2">
        <v>46169.310927655533</v>
      </c>
      <c r="C579" t="s">
        <v>93</v>
      </c>
      <c r="D579" t="s">
        <v>85</v>
      </c>
      <c r="E579" t="s">
        <v>25</v>
      </c>
      <c r="F579" t="s">
        <v>15</v>
      </c>
      <c r="G579" t="s">
        <v>29</v>
      </c>
      <c r="H579" t="str">
        <f>_xlfn.XLOOKUP(Table6[[#This Row],[SKU]],tblProductMaster[SKU],tblProductMaster[Product])</f>
        <v>Shower Gel 250ml</v>
      </c>
      <c r="I579">
        <v>391</v>
      </c>
      <c r="J579">
        <f>_xlfn.XLOOKUP(G579,[1]!tblProductMaster[SKU],[1]!tblProductMaster[List Price])</f>
        <v>4.49</v>
      </c>
      <c r="K579" t="s">
        <v>86</v>
      </c>
      <c r="L579" s="3">
        <v>0</v>
      </c>
      <c r="M579" s="9">
        <f t="shared" ref="M579:M642" si="45">J579*(1-L579)</f>
        <v>4.49</v>
      </c>
      <c r="N579" s="8">
        <f t="shared" ref="N579:N642" si="46">M579*I579</f>
        <v>1755.5900000000001</v>
      </c>
      <c r="O579" s="9">
        <f>_xlfn.XLOOKUP(G579,[1]!tblProductMaster[SKU],[1]!tblProductMaster[Unit Cost])</f>
        <v>1.9</v>
      </c>
      <c r="P579" s="8">
        <f t="shared" ref="P579:P642" si="47">O579*I579</f>
        <v>742.9</v>
      </c>
      <c r="Q579" s="8">
        <f t="shared" ref="Q579:Q642" si="48">N579-P579</f>
        <v>1012.6900000000002</v>
      </c>
      <c r="R579" s="4">
        <f t="shared" ref="R579:R642" si="49">Q579/N579</f>
        <v>0.57683741648106912</v>
      </c>
      <c r="S579" t="s">
        <v>87</v>
      </c>
      <c r="T579">
        <f>Table6[[#This Row],[Discount]]*Table6[[#This Row],[List Price]]*Table6[[#This Row],[Units]]</f>
        <v>0</v>
      </c>
    </row>
    <row r="580" spans="1:20" x14ac:dyDescent="0.2">
      <c r="A580" t="s">
        <v>673</v>
      </c>
      <c r="B580" s="2">
        <v>46116.999930641781</v>
      </c>
      <c r="C580" t="s">
        <v>84</v>
      </c>
      <c r="D580" t="s">
        <v>104</v>
      </c>
      <c r="E580" t="s">
        <v>25</v>
      </c>
      <c r="F580" t="s">
        <v>18</v>
      </c>
      <c r="G580" t="s">
        <v>37</v>
      </c>
      <c r="H580" t="str">
        <f>_xlfn.XLOOKUP(Table6[[#This Row],[SKU]],tblProductMaster[SKU],tblProductMaster[Product])</f>
        <v>Body Wash</v>
      </c>
      <c r="I580">
        <v>460</v>
      </c>
      <c r="J580">
        <f>_xlfn.XLOOKUP(G580,[1]!tblProductMaster[SKU],[1]!tblProductMaster[List Price])</f>
        <v>5.49</v>
      </c>
      <c r="K580" t="s">
        <v>86</v>
      </c>
      <c r="L580" s="3">
        <v>0</v>
      </c>
      <c r="M580" s="9">
        <f t="shared" si="45"/>
        <v>5.49</v>
      </c>
      <c r="N580" s="8">
        <f t="shared" si="46"/>
        <v>2525.4</v>
      </c>
      <c r="O580" s="9">
        <f>_xlfn.XLOOKUP(G580,[1]!tblProductMaster[SKU],[1]!tblProductMaster[Unit Cost])</f>
        <v>2.2999999999999998</v>
      </c>
      <c r="P580" s="8">
        <f t="shared" si="47"/>
        <v>1058</v>
      </c>
      <c r="Q580" s="8">
        <f t="shared" si="48"/>
        <v>1467.4</v>
      </c>
      <c r="R580" s="4">
        <f t="shared" si="49"/>
        <v>0.58105646630236796</v>
      </c>
      <c r="S580" t="s">
        <v>87</v>
      </c>
      <c r="T580">
        <f>Table6[[#This Row],[Discount]]*Table6[[#This Row],[List Price]]*Table6[[#This Row],[Units]]</f>
        <v>0</v>
      </c>
    </row>
    <row r="581" spans="1:20" x14ac:dyDescent="0.2">
      <c r="A581" t="s">
        <v>674</v>
      </c>
      <c r="B581" s="2">
        <v>46195.787223253603</v>
      </c>
      <c r="C581" t="s">
        <v>84</v>
      </c>
      <c r="D581" t="s">
        <v>96</v>
      </c>
      <c r="E581" t="s">
        <v>8</v>
      </c>
      <c r="F581" t="s">
        <v>15</v>
      </c>
      <c r="G581" t="s">
        <v>16</v>
      </c>
      <c r="H581" t="str">
        <f>_xlfn.XLOOKUP(Table6[[#This Row],[SKU]],tblProductMaster[SKU],tblProductMaster[Product])</f>
        <v>Conditioner 250ml</v>
      </c>
      <c r="I581">
        <v>1133</v>
      </c>
      <c r="J581">
        <f>_xlfn.XLOOKUP(G581,[1]!tblProductMaster[SKU],[1]!tblProductMaster[List Price])</f>
        <v>4.79</v>
      </c>
      <c r="K581" t="s">
        <v>89</v>
      </c>
      <c r="L581" s="3">
        <v>0.1</v>
      </c>
      <c r="M581" s="9">
        <f t="shared" si="45"/>
        <v>4.3109999999999999</v>
      </c>
      <c r="N581" s="8">
        <f t="shared" si="46"/>
        <v>4884.3630000000003</v>
      </c>
      <c r="O581" s="9">
        <f>_xlfn.XLOOKUP(G581,[1]!tblProductMaster[SKU],[1]!tblProductMaster[Unit Cost])</f>
        <v>2</v>
      </c>
      <c r="P581" s="8">
        <f t="shared" si="47"/>
        <v>2266</v>
      </c>
      <c r="Q581" s="8">
        <f t="shared" si="48"/>
        <v>2618.3630000000003</v>
      </c>
      <c r="R581" s="4">
        <f t="shared" si="49"/>
        <v>0.53607051728137323</v>
      </c>
      <c r="S581" t="s">
        <v>99</v>
      </c>
      <c r="T581">
        <f>Table6[[#This Row],[Discount]]*Table6[[#This Row],[List Price]]*Table6[[#This Row],[Units]]</f>
        <v>542.70699999999999</v>
      </c>
    </row>
    <row r="582" spans="1:20" x14ac:dyDescent="0.2">
      <c r="A582" t="s">
        <v>675</v>
      </c>
      <c r="B582" s="2">
        <v>46059.36189204274</v>
      </c>
      <c r="C582" t="s">
        <v>84</v>
      </c>
      <c r="D582" t="s">
        <v>85</v>
      </c>
      <c r="E582" t="s">
        <v>56</v>
      </c>
      <c r="F582" t="s">
        <v>18</v>
      </c>
      <c r="G582" t="s">
        <v>60</v>
      </c>
      <c r="H582" t="str">
        <f>_xlfn.XLOOKUP(Table6[[#This Row],[SKU]],tblProductMaster[SKU],tblProductMaster[Product])</f>
        <v>Sensitive Toothpaste</v>
      </c>
      <c r="I582">
        <v>467</v>
      </c>
      <c r="J582">
        <f>_xlfn.XLOOKUP(G582,[1]!tblProductMaster[SKU],[1]!tblProductMaster[List Price])</f>
        <v>4.49</v>
      </c>
      <c r="K582" t="s">
        <v>89</v>
      </c>
      <c r="L582" s="3">
        <v>0.2</v>
      </c>
      <c r="M582" s="9">
        <f t="shared" si="45"/>
        <v>3.5920000000000005</v>
      </c>
      <c r="N582" s="8">
        <f t="shared" si="46"/>
        <v>1677.4640000000002</v>
      </c>
      <c r="O582" s="9">
        <f>_xlfn.XLOOKUP(G582,[1]!tblProductMaster[SKU],[1]!tblProductMaster[Unit Cost])</f>
        <v>1.7</v>
      </c>
      <c r="P582" s="8">
        <f t="shared" si="47"/>
        <v>793.9</v>
      </c>
      <c r="Q582" s="8">
        <f t="shared" si="48"/>
        <v>883.56400000000019</v>
      </c>
      <c r="R582" s="4">
        <f t="shared" si="49"/>
        <v>0.52672605790645888</v>
      </c>
      <c r="S582" t="s">
        <v>94</v>
      </c>
      <c r="T582">
        <f>Table6[[#This Row],[Discount]]*Table6[[#This Row],[List Price]]*Table6[[#This Row],[Units]]</f>
        <v>419.36600000000004</v>
      </c>
    </row>
    <row r="583" spans="1:20" x14ac:dyDescent="0.2">
      <c r="A583" t="s">
        <v>676</v>
      </c>
      <c r="B583" s="2">
        <v>46153.627065607732</v>
      </c>
      <c r="C583" t="s">
        <v>98</v>
      </c>
      <c r="D583" t="s">
        <v>104</v>
      </c>
      <c r="E583" t="s">
        <v>56</v>
      </c>
      <c r="F583" t="s">
        <v>15</v>
      </c>
      <c r="G583" t="s">
        <v>62</v>
      </c>
      <c r="H583" t="str">
        <f>_xlfn.XLOOKUP(Table6[[#This Row],[SKU]],tblProductMaster[SKU],tblProductMaster[Product])</f>
        <v>Mouthwash 500ml</v>
      </c>
      <c r="I583">
        <v>650</v>
      </c>
      <c r="J583">
        <f>_xlfn.XLOOKUP(G583,[1]!tblProductMaster[SKU],[1]!tblProductMaster[List Price])</f>
        <v>5.99</v>
      </c>
      <c r="K583" t="s">
        <v>86</v>
      </c>
      <c r="L583" s="3">
        <v>0</v>
      </c>
      <c r="M583" s="9">
        <f t="shared" si="45"/>
        <v>5.99</v>
      </c>
      <c r="N583" s="8">
        <f t="shared" si="46"/>
        <v>3893.5</v>
      </c>
      <c r="O583" s="9">
        <f>_xlfn.XLOOKUP(G583,[1]!tblProductMaster[SKU],[1]!tblProductMaster[Unit Cost])</f>
        <v>2.4</v>
      </c>
      <c r="P583" s="8">
        <f t="shared" si="47"/>
        <v>1560</v>
      </c>
      <c r="Q583" s="8">
        <f t="shared" si="48"/>
        <v>2333.5</v>
      </c>
      <c r="R583" s="4">
        <f t="shared" si="49"/>
        <v>0.59933222036727885</v>
      </c>
      <c r="S583" t="s">
        <v>87</v>
      </c>
      <c r="T583">
        <f>Table6[[#This Row],[Discount]]*Table6[[#This Row],[List Price]]*Table6[[#This Row],[Units]]</f>
        <v>0</v>
      </c>
    </row>
    <row r="584" spans="1:20" x14ac:dyDescent="0.2">
      <c r="A584" t="s">
        <v>677</v>
      </c>
      <c r="B584" s="2">
        <v>46170.879412237002</v>
      </c>
      <c r="C584" t="s">
        <v>93</v>
      </c>
      <c r="D584" t="s">
        <v>96</v>
      </c>
      <c r="E584" t="s">
        <v>56</v>
      </c>
      <c r="F584" t="s">
        <v>15</v>
      </c>
      <c r="G584" t="s">
        <v>62</v>
      </c>
      <c r="H584" t="str">
        <f>_xlfn.XLOOKUP(Table6[[#This Row],[SKU]],tblProductMaster[SKU],tblProductMaster[Product])</f>
        <v>Mouthwash 500ml</v>
      </c>
      <c r="I584">
        <v>204</v>
      </c>
      <c r="J584">
        <f>_xlfn.XLOOKUP(G584,[1]!tblProductMaster[SKU],[1]!tblProductMaster[List Price])</f>
        <v>5.99</v>
      </c>
      <c r="K584" t="s">
        <v>86</v>
      </c>
      <c r="L584" s="3">
        <v>0</v>
      </c>
      <c r="M584" s="9">
        <f t="shared" si="45"/>
        <v>5.99</v>
      </c>
      <c r="N584" s="8">
        <f t="shared" si="46"/>
        <v>1221.96</v>
      </c>
      <c r="O584" s="9">
        <f>_xlfn.XLOOKUP(G584,[1]!tblProductMaster[SKU],[1]!tblProductMaster[Unit Cost])</f>
        <v>2.4</v>
      </c>
      <c r="P584" s="8">
        <f t="shared" si="47"/>
        <v>489.59999999999997</v>
      </c>
      <c r="Q584" s="8">
        <f t="shared" si="48"/>
        <v>732.36000000000013</v>
      </c>
      <c r="R584" s="4">
        <f t="shared" si="49"/>
        <v>0.59933222036727885</v>
      </c>
      <c r="S584" t="s">
        <v>87</v>
      </c>
      <c r="T584">
        <f>Table6[[#This Row],[Discount]]*Table6[[#This Row],[List Price]]*Table6[[#This Row],[Units]]</f>
        <v>0</v>
      </c>
    </row>
    <row r="585" spans="1:20" x14ac:dyDescent="0.2">
      <c r="A585" t="s">
        <v>678</v>
      </c>
      <c r="B585" s="2">
        <v>46042.68479803083</v>
      </c>
      <c r="C585" t="s">
        <v>84</v>
      </c>
      <c r="D585" t="s">
        <v>96</v>
      </c>
      <c r="E585" t="s">
        <v>8</v>
      </c>
      <c r="F585" t="s">
        <v>15</v>
      </c>
      <c r="G585" t="s">
        <v>14</v>
      </c>
      <c r="H585" t="str">
        <f>_xlfn.XLOOKUP(Table6[[#This Row],[SKU]],tblProductMaster[SKU],tblProductMaster[Product])</f>
        <v>Shampoo 250ml</v>
      </c>
      <c r="I585">
        <v>448</v>
      </c>
      <c r="J585">
        <f>_xlfn.XLOOKUP(G585,[1]!tblProductMaster[SKU],[1]!tblProductMaster[List Price])</f>
        <v>4.99</v>
      </c>
      <c r="K585" t="s">
        <v>89</v>
      </c>
      <c r="L585" s="3">
        <v>0.3</v>
      </c>
      <c r="M585" s="9">
        <f t="shared" si="45"/>
        <v>3.4929999999999999</v>
      </c>
      <c r="N585" s="8">
        <f t="shared" si="46"/>
        <v>1564.864</v>
      </c>
      <c r="O585" s="9">
        <f>_xlfn.XLOOKUP(G585,[1]!tblProductMaster[SKU],[1]!tblProductMaster[Unit Cost])</f>
        <v>2.1</v>
      </c>
      <c r="P585" s="8">
        <f t="shared" si="47"/>
        <v>940.80000000000007</v>
      </c>
      <c r="Q585" s="8">
        <f t="shared" si="48"/>
        <v>624.06399999999996</v>
      </c>
      <c r="R585" s="4">
        <f t="shared" si="49"/>
        <v>0.39879759519038072</v>
      </c>
      <c r="S585" t="s">
        <v>99</v>
      </c>
      <c r="T585">
        <f>Table6[[#This Row],[Discount]]*Table6[[#This Row],[List Price]]*Table6[[#This Row],[Units]]</f>
        <v>670.65600000000006</v>
      </c>
    </row>
    <row r="586" spans="1:20" x14ac:dyDescent="0.2">
      <c r="A586" t="s">
        <v>679</v>
      </c>
      <c r="B586" s="2">
        <v>46380.033997549152</v>
      </c>
      <c r="C586" t="s">
        <v>84</v>
      </c>
      <c r="D586" t="s">
        <v>104</v>
      </c>
      <c r="E586" t="s">
        <v>25</v>
      </c>
      <c r="F586" t="s">
        <v>15</v>
      </c>
      <c r="G586" t="s">
        <v>29</v>
      </c>
      <c r="H586" t="str">
        <f>_xlfn.XLOOKUP(Table6[[#This Row],[SKU]],tblProductMaster[SKU],tblProductMaster[Product])</f>
        <v>Shower Gel 250ml</v>
      </c>
      <c r="I586">
        <v>659</v>
      </c>
      <c r="J586">
        <f>_xlfn.XLOOKUP(G586,[1]!tblProductMaster[SKU],[1]!tblProductMaster[List Price])</f>
        <v>4.49</v>
      </c>
      <c r="K586" t="s">
        <v>86</v>
      </c>
      <c r="L586" s="3">
        <v>0</v>
      </c>
      <c r="M586" s="9">
        <f t="shared" si="45"/>
        <v>4.49</v>
      </c>
      <c r="N586" s="8">
        <f t="shared" si="46"/>
        <v>2958.9100000000003</v>
      </c>
      <c r="O586" s="9">
        <f>_xlfn.XLOOKUP(G586,[1]!tblProductMaster[SKU],[1]!tblProductMaster[Unit Cost])</f>
        <v>1.9</v>
      </c>
      <c r="P586" s="8">
        <f t="shared" si="47"/>
        <v>1252.0999999999999</v>
      </c>
      <c r="Q586" s="8">
        <f t="shared" si="48"/>
        <v>1706.8100000000004</v>
      </c>
      <c r="R586" s="4">
        <f t="shared" si="49"/>
        <v>0.57683741648106912</v>
      </c>
      <c r="S586" t="s">
        <v>87</v>
      </c>
      <c r="T586">
        <f>Table6[[#This Row],[Discount]]*Table6[[#This Row],[List Price]]*Table6[[#This Row],[Units]]</f>
        <v>0</v>
      </c>
    </row>
    <row r="587" spans="1:20" x14ac:dyDescent="0.2">
      <c r="A587" t="s">
        <v>680</v>
      </c>
      <c r="B587" s="2">
        <v>46057.310300171957</v>
      </c>
      <c r="C587" t="s">
        <v>98</v>
      </c>
      <c r="D587" t="s">
        <v>85</v>
      </c>
      <c r="E587" t="s">
        <v>25</v>
      </c>
      <c r="F587" t="s">
        <v>18</v>
      </c>
      <c r="G587" t="s">
        <v>27</v>
      </c>
      <c r="H587" t="str">
        <f>_xlfn.XLOOKUP(Table6[[#This Row],[SKU]],tblProductMaster[SKU],tblProductMaster[Product])</f>
        <v>Face Cream 50ml</v>
      </c>
      <c r="I587">
        <v>545</v>
      </c>
      <c r="J587">
        <f>_xlfn.XLOOKUP(G587,[1]!tblProductMaster[SKU],[1]!tblProductMaster[List Price])</f>
        <v>9.99</v>
      </c>
      <c r="K587" t="s">
        <v>86</v>
      </c>
      <c r="L587" s="3">
        <v>0</v>
      </c>
      <c r="M587" s="9">
        <f t="shared" si="45"/>
        <v>9.99</v>
      </c>
      <c r="N587" s="8">
        <f t="shared" si="46"/>
        <v>5444.55</v>
      </c>
      <c r="O587" s="9">
        <f>_xlfn.XLOOKUP(G587,[1]!tblProductMaster[SKU],[1]!tblProductMaster[Unit Cost])</f>
        <v>4.2</v>
      </c>
      <c r="P587" s="8">
        <f t="shared" si="47"/>
        <v>2289</v>
      </c>
      <c r="Q587" s="8">
        <f t="shared" si="48"/>
        <v>3155.55</v>
      </c>
      <c r="R587" s="4">
        <f t="shared" si="49"/>
        <v>0.57957957957957962</v>
      </c>
      <c r="S587" t="s">
        <v>87</v>
      </c>
      <c r="T587">
        <f>Table6[[#This Row],[Discount]]*Table6[[#This Row],[List Price]]*Table6[[#This Row],[Units]]</f>
        <v>0</v>
      </c>
    </row>
    <row r="588" spans="1:20" x14ac:dyDescent="0.2">
      <c r="A588" t="s">
        <v>681</v>
      </c>
      <c r="B588" s="2">
        <v>46060.605618661066</v>
      </c>
      <c r="C588" t="s">
        <v>93</v>
      </c>
      <c r="D588" t="s">
        <v>85</v>
      </c>
      <c r="E588" t="s">
        <v>40</v>
      </c>
      <c r="F588" t="s">
        <v>7</v>
      </c>
      <c r="G588" t="s">
        <v>44</v>
      </c>
      <c r="H588" t="str">
        <f>_xlfn.XLOOKUP(Table6[[#This Row],[SKU]],tblProductMaster[SKU],tblProductMaster[Product])</f>
        <v>Fabric Softener</v>
      </c>
      <c r="I588">
        <v>645</v>
      </c>
      <c r="J588">
        <f>_xlfn.XLOOKUP(G588,[1]!tblProductMaster[SKU],[1]!tblProductMaster[List Price])</f>
        <v>6.99</v>
      </c>
      <c r="K588" t="s">
        <v>86</v>
      </c>
      <c r="L588" s="3">
        <v>0</v>
      </c>
      <c r="M588" s="9">
        <f t="shared" si="45"/>
        <v>6.99</v>
      </c>
      <c r="N588" s="8">
        <f t="shared" si="46"/>
        <v>4508.55</v>
      </c>
      <c r="O588" s="9">
        <f>_xlfn.XLOOKUP(G588,[1]!tblProductMaster[SKU],[1]!tblProductMaster[Unit Cost])</f>
        <v>2.9</v>
      </c>
      <c r="P588" s="8">
        <f t="shared" si="47"/>
        <v>1870.5</v>
      </c>
      <c r="Q588" s="8">
        <f t="shared" si="48"/>
        <v>2638.05</v>
      </c>
      <c r="R588" s="4">
        <f t="shared" si="49"/>
        <v>0.58512160228898424</v>
      </c>
      <c r="S588" t="s">
        <v>87</v>
      </c>
      <c r="T588">
        <f>Table6[[#This Row],[Discount]]*Table6[[#This Row],[List Price]]*Table6[[#This Row],[Units]]</f>
        <v>0</v>
      </c>
    </row>
    <row r="589" spans="1:20" x14ac:dyDescent="0.2">
      <c r="A589" t="s">
        <v>682</v>
      </c>
      <c r="B589" s="2">
        <v>46215.239745321509</v>
      </c>
      <c r="C589" t="s">
        <v>84</v>
      </c>
      <c r="D589" t="s">
        <v>85</v>
      </c>
      <c r="E589" t="s">
        <v>40</v>
      </c>
      <c r="F589" t="s">
        <v>15</v>
      </c>
      <c r="G589" t="s">
        <v>46</v>
      </c>
      <c r="H589" t="str">
        <f>_xlfn.XLOOKUP(Table6[[#This Row],[SKU]],tblProductMaster[SKU],tblProductMaster[Product])</f>
        <v>Stain Remover</v>
      </c>
      <c r="I589">
        <v>469</v>
      </c>
      <c r="J589">
        <f>_xlfn.XLOOKUP(G589,[1]!tblProductMaster[SKU],[1]!tblProductMaster[List Price])</f>
        <v>5.99</v>
      </c>
      <c r="K589" t="s">
        <v>86</v>
      </c>
      <c r="L589" s="3">
        <v>0</v>
      </c>
      <c r="M589" s="9">
        <f t="shared" si="45"/>
        <v>5.99</v>
      </c>
      <c r="N589" s="8">
        <f t="shared" si="46"/>
        <v>2809.31</v>
      </c>
      <c r="O589" s="9">
        <f>_xlfn.XLOOKUP(G589,[1]!tblProductMaster[SKU],[1]!tblProductMaster[Unit Cost])</f>
        <v>2.5</v>
      </c>
      <c r="P589" s="8">
        <f t="shared" si="47"/>
        <v>1172.5</v>
      </c>
      <c r="Q589" s="8">
        <f t="shared" si="48"/>
        <v>1636.81</v>
      </c>
      <c r="R589" s="4">
        <f t="shared" si="49"/>
        <v>0.58263772954924875</v>
      </c>
      <c r="S589" t="s">
        <v>87</v>
      </c>
      <c r="T589">
        <f>Table6[[#This Row],[Discount]]*Table6[[#This Row],[List Price]]*Table6[[#This Row],[Units]]</f>
        <v>0</v>
      </c>
    </row>
    <row r="590" spans="1:20" x14ac:dyDescent="0.2">
      <c r="A590" t="s">
        <v>683</v>
      </c>
      <c r="B590" s="2">
        <v>46079.504307198607</v>
      </c>
      <c r="C590" t="s">
        <v>93</v>
      </c>
      <c r="D590" t="s">
        <v>96</v>
      </c>
      <c r="E590" t="s">
        <v>8</v>
      </c>
      <c r="F590" t="s">
        <v>7</v>
      </c>
      <c r="G590" t="s">
        <v>6</v>
      </c>
      <c r="H590" t="str">
        <f>_xlfn.XLOOKUP(Table6[[#This Row],[SKU]],tblProductMaster[SKU],tblProductMaster[Product])</f>
        <v>Shampoo 250ml</v>
      </c>
      <c r="I590">
        <v>441</v>
      </c>
      <c r="J590">
        <f>_xlfn.XLOOKUP(G590,[1]!tblProductMaster[SKU],[1]!tblProductMaster[List Price])</f>
        <v>5.99</v>
      </c>
      <c r="K590" t="s">
        <v>86</v>
      </c>
      <c r="L590" s="3">
        <v>0</v>
      </c>
      <c r="M590" s="9">
        <f t="shared" si="45"/>
        <v>5.99</v>
      </c>
      <c r="N590" s="8">
        <f t="shared" si="46"/>
        <v>2641.59</v>
      </c>
      <c r="O590" s="9">
        <f>_xlfn.XLOOKUP(G590,[1]!tblProductMaster[SKU],[1]!tblProductMaster[Unit Cost])</f>
        <v>2.4</v>
      </c>
      <c r="P590" s="8">
        <f t="shared" si="47"/>
        <v>1058.3999999999999</v>
      </c>
      <c r="Q590" s="8">
        <f t="shared" si="48"/>
        <v>1583.1900000000003</v>
      </c>
      <c r="R590" s="4">
        <f t="shared" si="49"/>
        <v>0.59933222036727885</v>
      </c>
      <c r="S590" t="s">
        <v>87</v>
      </c>
      <c r="T590">
        <f>Table6[[#This Row],[Discount]]*Table6[[#This Row],[List Price]]*Table6[[#This Row],[Units]]</f>
        <v>0</v>
      </c>
    </row>
    <row r="591" spans="1:20" x14ac:dyDescent="0.2">
      <c r="A591" t="s">
        <v>684</v>
      </c>
      <c r="B591" s="2">
        <v>46067.584648635369</v>
      </c>
      <c r="C591" t="s">
        <v>98</v>
      </c>
      <c r="D591" t="s">
        <v>96</v>
      </c>
      <c r="E591" t="s">
        <v>56</v>
      </c>
      <c r="F591" t="s">
        <v>18</v>
      </c>
      <c r="G591" t="s">
        <v>68</v>
      </c>
      <c r="H591" t="str">
        <f>_xlfn.XLOOKUP(Table6[[#This Row],[SKU]],tblProductMaster[SKU],tblProductMaster[Product])</f>
        <v>Kids Toothpaste</v>
      </c>
      <c r="I591">
        <v>782</v>
      </c>
      <c r="J591">
        <f>_xlfn.XLOOKUP(G591,[1]!tblProductMaster[SKU],[1]!tblProductMaster[List Price])</f>
        <v>3.29</v>
      </c>
      <c r="K591" t="s">
        <v>89</v>
      </c>
      <c r="L591" s="3">
        <v>0.3</v>
      </c>
      <c r="M591" s="9">
        <f t="shared" si="45"/>
        <v>2.3029999999999999</v>
      </c>
      <c r="N591" s="8">
        <f t="shared" si="46"/>
        <v>1800.9459999999999</v>
      </c>
      <c r="O591" s="9">
        <f>_xlfn.XLOOKUP(G591,[1]!tblProductMaster[SKU],[1]!tblProductMaster[Unit Cost])</f>
        <v>1.1000000000000001</v>
      </c>
      <c r="P591" s="8">
        <f t="shared" si="47"/>
        <v>860.2</v>
      </c>
      <c r="Q591" s="8">
        <f t="shared" si="48"/>
        <v>940.74599999999987</v>
      </c>
      <c r="R591" s="4">
        <f t="shared" si="49"/>
        <v>0.52236213634389916</v>
      </c>
      <c r="S591" t="s">
        <v>99</v>
      </c>
      <c r="T591">
        <f>Table6[[#This Row],[Discount]]*Table6[[#This Row],[List Price]]*Table6[[#This Row],[Units]]</f>
        <v>771.83399999999995</v>
      </c>
    </row>
    <row r="592" spans="1:20" x14ac:dyDescent="0.2">
      <c r="A592" t="s">
        <v>685</v>
      </c>
      <c r="B592" s="2">
        <v>46321.45000384796</v>
      </c>
      <c r="C592" t="s">
        <v>84</v>
      </c>
      <c r="D592" t="s">
        <v>96</v>
      </c>
      <c r="E592" t="s">
        <v>56</v>
      </c>
      <c r="F592" t="s">
        <v>15</v>
      </c>
      <c r="G592" t="s">
        <v>55</v>
      </c>
      <c r="H592" t="str">
        <f>_xlfn.XLOOKUP(Table6[[#This Row],[SKU]],tblProductMaster[SKU],tblProductMaster[Product])</f>
        <v>Toothpaste 75ml</v>
      </c>
      <c r="I592">
        <v>494</v>
      </c>
      <c r="J592">
        <f>_xlfn.XLOOKUP(G592,[1]!tblProductMaster[SKU],[1]!tblProductMaster[List Price])</f>
        <v>3.49</v>
      </c>
      <c r="K592" t="s">
        <v>86</v>
      </c>
      <c r="L592" s="3">
        <v>0</v>
      </c>
      <c r="M592" s="9">
        <f t="shared" si="45"/>
        <v>3.49</v>
      </c>
      <c r="N592" s="8">
        <f t="shared" si="46"/>
        <v>1724.0600000000002</v>
      </c>
      <c r="O592" s="9">
        <f>_xlfn.XLOOKUP(G592,[1]!tblProductMaster[SKU],[1]!tblProductMaster[Unit Cost])</f>
        <v>1.2</v>
      </c>
      <c r="P592" s="8">
        <f t="shared" si="47"/>
        <v>592.79999999999995</v>
      </c>
      <c r="Q592" s="8">
        <f t="shared" si="48"/>
        <v>1131.2600000000002</v>
      </c>
      <c r="R592" s="4">
        <f t="shared" si="49"/>
        <v>0.65616045845272208</v>
      </c>
      <c r="S592" t="s">
        <v>87</v>
      </c>
      <c r="T592">
        <f>Table6[[#This Row],[Discount]]*Table6[[#This Row],[List Price]]*Table6[[#This Row],[Units]]</f>
        <v>0</v>
      </c>
    </row>
    <row r="593" spans="1:20" x14ac:dyDescent="0.2">
      <c r="A593" t="s">
        <v>686</v>
      </c>
      <c r="B593" s="2">
        <v>46227.052206152737</v>
      </c>
      <c r="C593" t="s">
        <v>98</v>
      </c>
      <c r="D593" t="s">
        <v>104</v>
      </c>
      <c r="E593" t="s">
        <v>40</v>
      </c>
      <c r="F593" t="s">
        <v>18</v>
      </c>
      <c r="G593" t="s">
        <v>54</v>
      </c>
      <c r="H593" t="str">
        <f>_xlfn.XLOOKUP(Table6[[#This Row],[SKU]],tblProductMaster[SKU],tblProductMaster[Product])</f>
        <v>Fabric Softener</v>
      </c>
      <c r="I593">
        <v>775</v>
      </c>
      <c r="J593">
        <f>_xlfn.XLOOKUP(G593,[1]!tblProductMaster[SKU],[1]!tblProductMaster[List Price])</f>
        <v>5.49</v>
      </c>
      <c r="K593" t="s">
        <v>86</v>
      </c>
      <c r="L593" s="3">
        <v>0</v>
      </c>
      <c r="M593" s="9">
        <f t="shared" si="45"/>
        <v>5.49</v>
      </c>
      <c r="N593" s="8">
        <f t="shared" si="46"/>
        <v>4254.75</v>
      </c>
      <c r="O593" s="9">
        <f>_xlfn.XLOOKUP(G593,[1]!tblProductMaster[SKU],[1]!tblProductMaster[Unit Cost])</f>
        <v>2.4</v>
      </c>
      <c r="P593" s="8">
        <f t="shared" si="47"/>
        <v>1860</v>
      </c>
      <c r="Q593" s="8">
        <f t="shared" si="48"/>
        <v>2394.75</v>
      </c>
      <c r="R593" s="4">
        <f t="shared" si="49"/>
        <v>0.56284153005464477</v>
      </c>
      <c r="S593" t="s">
        <v>87</v>
      </c>
      <c r="T593">
        <f>Table6[[#This Row],[Discount]]*Table6[[#This Row],[List Price]]*Table6[[#This Row],[Units]]</f>
        <v>0</v>
      </c>
    </row>
    <row r="594" spans="1:20" x14ac:dyDescent="0.2">
      <c r="A594" t="s">
        <v>687</v>
      </c>
      <c r="B594" s="2">
        <v>46062.312731166647</v>
      </c>
      <c r="C594" t="s">
        <v>84</v>
      </c>
      <c r="D594" t="s">
        <v>85</v>
      </c>
      <c r="E594" t="s">
        <v>8</v>
      </c>
      <c r="F594" t="s">
        <v>18</v>
      </c>
      <c r="G594" t="s">
        <v>17</v>
      </c>
      <c r="H594" t="str">
        <f>_xlfn.XLOOKUP(Table6[[#This Row],[SKU]],tblProductMaster[SKU],tblProductMaster[Product])</f>
        <v>Anti-Dandruff Shampoo</v>
      </c>
      <c r="I594">
        <v>633</v>
      </c>
      <c r="J594">
        <f>_xlfn.XLOOKUP(G594,[1]!tblProductMaster[SKU],[1]!tblProductMaster[List Price])</f>
        <v>6.49</v>
      </c>
      <c r="K594" t="s">
        <v>86</v>
      </c>
      <c r="L594" s="3">
        <v>0</v>
      </c>
      <c r="M594" s="9">
        <f t="shared" si="45"/>
        <v>6.49</v>
      </c>
      <c r="N594" s="8">
        <f t="shared" si="46"/>
        <v>4108.17</v>
      </c>
      <c r="O594" s="9">
        <f>_xlfn.XLOOKUP(G594,[1]!tblProductMaster[SKU],[1]!tblProductMaster[Unit Cost])</f>
        <v>2.8</v>
      </c>
      <c r="P594" s="8">
        <f t="shared" si="47"/>
        <v>1772.3999999999999</v>
      </c>
      <c r="Q594" s="8">
        <f t="shared" si="48"/>
        <v>2335.7700000000004</v>
      </c>
      <c r="R594" s="4">
        <f t="shared" si="49"/>
        <v>0.5685670261941449</v>
      </c>
      <c r="S594" t="s">
        <v>87</v>
      </c>
      <c r="T594">
        <f>Table6[[#This Row],[Discount]]*Table6[[#This Row],[List Price]]*Table6[[#This Row],[Units]]</f>
        <v>0</v>
      </c>
    </row>
    <row r="595" spans="1:20" x14ac:dyDescent="0.2">
      <c r="A595" t="s">
        <v>688</v>
      </c>
      <c r="B595" s="2">
        <v>46069.24436927669</v>
      </c>
      <c r="C595" t="s">
        <v>93</v>
      </c>
      <c r="D595" t="s">
        <v>85</v>
      </c>
      <c r="E595" t="s">
        <v>25</v>
      </c>
      <c r="F595" t="s">
        <v>15</v>
      </c>
      <c r="G595" t="s">
        <v>35</v>
      </c>
      <c r="H595" t="str">
        <f>_xlfn.XLOOKUP(Table6[[#This Row],[SKU]],tblProductMaster[SKU],tblProductMaster[Product])</f>
        <v>Hand Cream</v>
      </c>
      <c r="I595">
        <v>658</v>
      </c>
      <c r="J595">
        <f>_xlfn.XLOOKUP(G595,[1]!tblProductMaster[SKU],[1]!tblProductMaster[List Price])</f>
        <v>4.99</v>
      </c>
      <c r="K595" t="s">
        <v>86</v>
      </c>
      <c r="L595" s="3">
        <v>0</v>
      </c>
      <c r="M595" s="9">
        <f t="shared" si="45"/>
        <v>4.99</v>
      </c>
      <c r="N595" s="8">
        <f t="shared" si="46"/>
        <v>3283.42</v>
      </c>
      <c r="O595" s="9">
        <f>_xlfn.XLOOKUP(G595,[1]!tblProductMaster[SKU],[1]!tblProductMaster[Unit Cost])</f>
        <v>2.1</v>
      </c>
      <c r="P595" s="8">
        <f t="shared" si="47"/>
        <v>1381.8</v>
      </c>
      <c r="Q595" s="8">
        <f t="shared" si="48"/>
        <v>1901.6200000000001</v>
      </c>
      <c r="R595" s="4">
        <f t="shared" si="49"/>
        <v>0.57915831663326656</v>
      </c>
      <c r="S595" t="s">
        <v>87</v>
      </c>
      <c r="T595">
        <f>Table6[[#This Row],[Discount]]*Table6[[#This Row],[List Price]]*Table6[[#This Row],[Units]]</f>
        <v>0</v>
      </c>
    </row>
    <row r="596" spans="1:20" x14ac:dyDescent="0.2">
      <c r="A596" t="s">
        <v>689</v>
      </c>
      <c r="B596" s="2">
        <v>46243.609935430184</v>
      </c>
      <c r="C596" t="s">
        <v>93</v>
      </c>
      <c r="D596" t="s">
        <v>104</v>
      </c>
      <c r="E596" t="s">
        <v>40</v>
      </c>
      <c r="F596" t="s">
        <v>18</v>
      </c>
      <c r="G596" t="s">
        <v>54</v>
      </c>
      <c r="H596" t="str">
        <f>_xlfn.XLOOKUP(Table6[[#This Row],[SKU]],tblProductMaster[SKU],tblProductMaster[Product])</f>
        <v>Fabric Softener</v>
      </c>
      <c r="I596">
        <v>627</v>
      </c>
      <c r="J596">
        <f>_xlfn.XLOOKUP(G596,[1]!tblProductMaster[SKU],[1]!tblProductMaster[List Price])</f>
        <v>5.49</v>
      </c>
      <c r="K596" t="s">
        <v>86</v>
      </c>
      <c r="L596" s="3">
        <v>0</v>
      </c>
      <c r="M596" s="9">
        <f t="shared" si="45"/>
        <v>5.49</v>
      </c>
      <c r="N596" s="8">
        <f t="shared" si="46"/>
        <v>3442.23</v>
      </c>
      <c r="O596" s="9">
        <f>_xlfn.XLOOKUP(G596,[1]!tblProductMaster[SKU],[1]!tblProductMaster[Unit Cost])</f>
        <v>2.4</v>
      </c>
      <c r="P596" s="8">
        <f t="shared" si="47"/>
        <v>1504.8</v>
      </c>
      <c r="Q596" s="8">
        <f t="shared" si="48"/>
        <v>1937.43</v>
      </c>
      <c r="R596" s="4">
        <f t="shared" si="49"/>
        <v>0.56284153005464488</v>
      </c>
      <c r="S596" t="s">
        <v>87</v>
      </c>
      <c r="T596">
        <f>Table6[[#This Row],[Discount]]*Table6[[#This Row],[List Price]]*Table6[[#This Row],[Units]]</f>
        <v>0</v>
      </c>
    </row>
    <row r="597" spans="1:20" x14ac:dyDescent="0.2">
      <c r="A597" t="s">
        <v>690</v>
      </c>
      <c r="B597" s="2">
        <v>46126.335418832277</v>
      </c>
      <c r="C597" t="s">
        <v>93</v>
      </c>
      <c r="D597" t="s">
        <v>96</v>
      </c>
      <c r="E597" t="s">
        <v>40</v>
      </c>
      <c r="F597" t="s">
        <v>7</v>
      </c>
      <c r="G597" t="s">
        <v>48</v>
      </c>
      <c r="H597" t="str">
        <f>_xlfn.XLOOKUP(Table6[[#This Row],[SKU]],tblProductMaster[SKU],tblProductMaster[Product])</f>
        <v>Color Detergent</v>
      </c>
      <c r="I597">
        <v>380</v>
      </c>
      <c r="J597">
        <f>_xlfn.XLOOKUP(G597,[1]!tblProductMaster[SKU],[1]!tblProductMaster[List Price])</f>
        <v>9.49</v>
      </c>
      <c r="K597" t="s">
        <v>86</v>
      </c>
      <c r="L597" s="3">
        <v>0</v>
      </c>
      <c r="M597" s="9">
        <f t="shared" si="45"/>
        <v>9.49</v>
      </c>
      <c r="N597" s="8">
        <f t="shared" si="46"/>
        <v>3606.2000000000003</v>
      </c>
      <c r="O597" s="9">
        <f>_xlfn.XLOOKUP(G597,[1]!tblProductMaster[SKU],[1]!tblProductMaster[Unit Cost])</f>
        <v>4</v>
      </c>
      <c r="P597" s="8">
        <f t="shared" si="47"/>
        <v>1520</v>
      </c>
      <c r="Q597" s="8">
        <f t="shared" si="48"/>
        <v>2086.2000000000003</v>
      </c>
      <c r="R597" s="4">
        <f t="shared" si="49"/>
        <v>0.57850368809272923</v>
      </c>
      <c r="S597" t="s">
        <v>87</v>
      </c>
      <c r="T597">
        <f>Table6[[#This Row],[Discount]]*Table6[[#This Row],[List Price]]*Table6[[#This Row],[Units]]</f>
        <v>0</v>
      </c>
    </row>
    <row r="598" spans="1:20" x14ac:dyDescent="0.2">
      <c r="A598" t="s">
        <v>691</v>
      </c>
      <c r="B598" s="2">
        <v>46344.810189465548</v>
      </c>
      <c r="C598" t="s">
        <v>84</v>
      </c>
      <c r="D598" t="s">
        <v>96</v>
      </c>
      <c r="E598" t="s">
        <v>56</v>
      </c>
      <c r="F598" t="s">
        <v>15</v>
      </c>
      <c r="G598" t="s">
        <v>55</v>
      </c>
      <c r="H598" t="str">
        <f>_xlfn.XLOOKUP(Table6[[#This Row],[SKU]],tblProductMaster[SKU],tblProductMaster[Product])</f>
        <v>Toothpaste 75ml</v>
      </c>
      <c r="I598">
        <v>351</v>
      </c>
      <c r="J598">
        <f>_xlfn.XLOOKUP(G598,[1]!tblProductMaster[SKU],[1]!tblProductMaster[List Price])</f>
        <v>3.49</v>
      </c>
      <c r="K598" t="s">
        <v>86</v>
      </c>
      <c r="L598" s="3">
        <v>0</v>
      </c>
      <c r="M598" s="9">
        <f t="shared" si="45"/>
        <v>3.49</v>
      </c>
      <c r="N598" s="8">
        <f t="shared" si="46"/>
        <v>1224.99</v>
      </c>
      <c r="O598" s="9">
        <f>_xlfn.XLOOKUP(G598,[1]!tblProductMaster[SKU],[1]!tblProductMaster[Unit Cost])</f>
        <v>1.2</v>
      </c>
      <c r="P598" s="8">
        <f t="shared" si="47"/>
        <v>421.2</v>
      </c>
      <c r="Q598" s="8">
        <f t="shared" si="48"/>
        <v>803.79</v>
      </c>
      <c r="R598" s="4">
        <f t="shared" si="49"/>
        <v>0.65616045845272197</v>
      </c>
      <c r="S598" t="s">
        <v>87</v>
      </c>
      <c r="T598">
        <f>Table6[[#This Row],[Discount]]*Table6[[#This Row],[List Price]]*Table6[[#This Row],[Units]]</f>
        <v>0</v>
      </c>
    </row>
    <row r="599" spans="1:20" x14ac:dyDescent="0.2">
      <c r="A599" t="s">
        <v>692</v>
      </c>
      <c r="B599" s="2">
        <v>46353.217947240097</v>
      </c>
      <c r="C599" t="s">
        <v>98</v>
      </c>
      <c r="D599" t="s">
        <v>85</v>
      </c>
      <c r="E599" t="s">
        <v>56</v>
      </c>
      <c r="F599" t="s">
        <v>18</v>
      </c>
      <c r="G599" t="s">
        <v>60</v>
      </c>
      <c r="H599" t="str">
        <f>_xlfn.XLOOKUP(Table6[[#This Row],[SKU]],tblProductMaster[SKU],tblProductMaster[Product])</f>
        <v>Sensitive Toothpaste</v>
      </c>
      <c r="I599">
        <v>390</v>
      </c>
      <c r="J599">
        <f>_xlfn.XLOOKUP(G599,[1]!tblProductMaster[SKU],[1]!tblProductMaster[List Price])</f>
        <v>4.49</v>
      </c>
      <c r="K599" t="s">
        <v>86</v>
      </c>
      <c r="L599" s="3">
        <v>0</v>
      </c>
      <c r="M599" s="9">
        <f t="shared" si="45"/>
        <v>4.49</v>
      </c>
      <c r="N599" s="8">
        <f t="shared" si="46"/>
        <v>1751.1000000000001</v>
      </c>
      <c r="O599" s="9">
        <f>_xlfn.XLOOKUP(G599,[1]!tblProductMaster[SKU],[1]!tblProductMaster[Unit Cost])</f>
        <v>1.7</v>
      </c>
      <c r="P599" s="8">
        <f t="shared" si="47"/>
        <v>663</v>
      </c>
      <c r="Q599" s="8">
        <f t="shared" si="48"/>
        <v>1088.1000000000001</v>
      </c>
      <c r="R599" s="4">
        <f t="shared" si="49"/>
        <v>0.6213808463251671</v>
      </c>
      <c r="S599" t="s">
        <v>87</v>
      </c>
      <c r="T599">
        <f>Table6[[#This Row],[Discount]]*Table6[[#This Row],[List Price]]*Table6[[#This Row],[Units]]</f>
        <v>0</v>
      </c>
    </row>
    <row r="600" spans="1:20" x14ac:dyDescent="0.2">
      <c r="A600" t="s">
        <v>693</v>
      </c>
      <c r="B600" s="2">
        <v>46078.296818055205</v>
      </c>
      <c r="C600" t="s">
        <v>84</v>
      </c>
      <c r="D600" t="s">
        <v>96</v>
      </c>
      <c r="E600" t="s">
        <v>56</v>
      </c>
      <c r="F600" t="s">
        <v>15</v>
      </c>
      <c r="G600" t="s">
        <v>55</v>
      </c>
      <c r="H600" t="str">
        <f>_xlfn.XLOOKUP(Table6[[#This Row],[SKU]],tblProductMaster[SKU],tblProductMaster[Product])</f>
        <v>Toothpaste 75ml</v>
      </c>
      <c r="I600">
        <v>458</v>
      </c>
      <c r="J600">
        <f>_xlfn.XLOOKUP(G600,[1]!tblProductMaster[SKU],[1]!tblProductMaster[List Price])</f>
        <v>3.49</v>
      </c>
      <c r="K600" t="s">
        <v>86</v>
      </c>
      <c r="L600" s="3">
        <v>0</v>
      </c>
      <c r="M600" s="9">
        <f t="shared" si="45"/>
        <v>3.49</v>
      </c>
      <c r="N600" s="8">
        <f t="shared" si="46"/>
        <v>1598.42</v>
      </c>
      <c r="O600" s="9">
        <f>_xlfn.XLOOKUP(G600,[1]!tblProductMaster[SKU],[1]!tblProductMaster[Unit Cost])</f>
        <v>1.2</v>
      </c>
      <c r="P600" s="8">
        <f t="shared" si="47"/>
        <v>549.6</v>
      </c>
      <c r="Q600" s="8">
        <f t="shared" si="48"/>
        <v>1048.8200000000002</v>
      </c>
      <c r="R600" s="4">
        <f t="shared" si="49"/>
        <v>0.65616045845272208</v>
      </c>
      <c r="S600" t="s">
        <v>87</v>
      </c>
      <c r="T600">
        <f>Table6[[#This Row],[Discount]]*Table6[[#This Row],[List Price]]*Table6[[#This Row],[Units]]</f>
        <v>0</v>
      </c>
    </row>
    <row r="601" spans="1:20" x14ac:dyDescent="0.2">
      <c r="A601" t="s">
        <v>694</v>
      </c>
      <c r="B601" s="2">
        <v>46323.669087397451</v>
      </c>
      <c r="C601" t="s">
        <v>93</v>
      </c>
      <c r="D601" t="s">
        <v>85</v>
      </c>
      <c r="E601" t="s">
        <v>25</v>
      </c>
      <c r="F601" t="s">
        <v>7</v>
      </c>
      <c r="G601" t="s">
        <v>31</v>
      </c>
      <c r="H601" t="str">
        <f>_xlfn.XLOOKUP(Table6[[#This Row],[SKU]],tblProductMaster[SKU],tblProductMaster[Product])</f>
        <v>Facial Cleanser</v>
      </c>
      <c r="I601">
        <v>277</v>
      </c>
      <c r="J601">
        <f>_xlfn.XLOOKUP(G601,[1]!tblProductMaster[SKU],[1]!tblProductMaster[List Price])</f>
        <v>8.49</v>
      </c>
      <c r="K601" t="s">
        <v>86</v>
      </c>
      <c r="L601" s="3">
        <v>0</v>
      </c>
      <c r="M601" s="9">
        <f t="shared" si="45"/>
        <v>8.49</v>
      </c>
      <c r="N601" s="8">
        <f t="shared" si="46"/>
        <v>2351.73</v>
      </c>
      <c r="O601" s="9">
        <f>_xlfn.XLOOKUP(G601,[1]!tblProductMaster[SKU],[1]!tblProductMaster[Unit Cost])</f>
        <v>3.5</v>
      </c>
      <c r="P601" s="8">
        <f t="shared" si="47"/>
        <v>969.5</v>
      </c>
      <c r="Q601" s="8">
        <f t="shared" si="48"/>
        <v>1382.23</v>
      </c>
      <c r="R601" s="4">
        <f t="shared" si="49"/>
        <v>0.58775029446407534</v>
      </c>
      <c r="S601" t="s">
        <v>87</v>
      </c>
      <c r="T601">
        <f>Table6[[#This Row],[Discount]]*Table6[[#This Row],[List Price]]*Table6[[#This Row],[Units]]</f>
        <v>0</v>
      </c>
    </row>
    <row r="602" spans="1:20" x14ac:dyDescent="0.2">
      <c r="A602" t="s">
        <v>695</v>
      </c>
      <c r="B602" s="2">
        <v>46286.134823122578</v>
      </c>
      <c r="C602" t="s">
        <v>93</v>
      </c>
      <c r="D602" t="s">
        <v>104</v>
      </c>
      <c r="E602" t="s">
        <v>8</v>
      </c>
      <c r="F602" t="s">
        <v>7</v>
      </c>
      <c r="G602" t="s">
        <v>12</v>
      </c>
      <c r="H602" t="str">
        <f>_xlfn.XLOOKUP(Table6[[#This Row],[SKU]],tblProductMaster[SKU],tblProductMaster[Product])</f>
        <v>Conditioner 250ml</v>
      </c>
      <c r="I602">
        <v>780</v>
      </c>
      <c r="J602">
        <f>_xlfn.XLOOKUP(G602,[1]!tblProductMaster[SKU],[1]!tblProductMaster[List Price])</f>
        <v>5.49</v>
      </c>
      <c r="K602" t="s">
        <v>86</v>
      </c>
      <c r="L602" s="3">
        <v>0</v>
      </c>
      <c r="M602" s="9">
        <f t="shared" si="45"/>
        <v>5.49</v>
      </c>
      <c r="N602" s="8">
        <f t="shared" si="46"/>
        <v>4282.2</v>
      </c>
      <c r="O602" s="9">
        <f>_xlfn.XLOOKUP(G602,[1]!tblProductMaster[SKU],[1]!tblProductMaster[Unit Cost])</f>
        <v>2.2000000000000002</v>
      </c>
      <c r="P602" s="8">
        <f t="shared" si="47"/>
        <v>1716.0000000000002</v>
      </c>
      <c r="Q602" s="8">
        <f t="shared" si="48"/>
        <v>2566.1999999999998</v>
      </c>
      <c r="R602" s="4">
        <f t="shared" si="49"/>
        <v>0.59927140255009104</v>
      </c>
      <c r="S602" t="s">
        <v>87</v>
      </c>
      <c r="T602">
        <f>Table6[[#This Row],[Discount]]*Table6[[#This Row],[List Price]]*Table6[[#This Row],[Units]]</f>
        <v>0</v>
      </c>
    </row>
    <row r="603" spans="1:20" x14ac:dyDescent="0.2">
      <c r="A603" t="s">
        <v>696</v>
      </c>
      <c r="B603" s="2">
        <v>46167.191997525813</v>
      </c>
      <c r="C603" t="s">
        <v>93</v>
      </c>
      <c r="D603" t="s">
        <v>104</v>
      </c>
      <c r="E603" t="s">
        <v>8</v>
      </c>
      <c r="F603" t="s">
        <v>15</v>
      </c>
      <c r="G603" t="s">
        <v>22</v>
      </c>
      <c r="H603" t="str">
        <f>_xlfn.XLOOKUP(Table6[[#This Row],[SKU]],tblProductMaster[SKU],tblProductMaster[Product])</f>
        <v>Styling Gel</v>
      </c>
      <c r="I603">
        <v>748</v>
      </c>
      <c r="J603">
        <f>_xlfn.XLOOKUP(G603,[1]!tblProductMaster[SKU],[1]!tblProductMaster[List Price])</f>
        <v>4.49</v>
      </c>
      <c r="K603" t="s">
        <v>86</v>
      </c>
      <c r="L603" s="3">
        <v>0</v>
      </c>
      <c r="M603" s="9">
        <f t="shared" si="45"/>
        <v>4.49</v>
      </c>
      <c r="N603" s="8">
        <f t="shared" si="46"/>
        <v>3358.52</v>
      </c>
      <c r="O603" s="9">
        <f>_xlfn.XLOOKUP(G603,[1]!tblProductMaster[SKU],[1]!tblProductMaster[Unit Cost])</f>
        <v>1.9</v>
      </c>
      <c r="P603" s="8">
        <f t="shared" si="47"/>
        <v>1421.2</v>
      </c>
      <c r="Q603" s="8">
        <f t="shared" si="48"/>
        <v>1937.32</v>
      </c>
      <c r="R603" s="4">
        <f t="shared" si="49"/>
        <v>0.57683741648106901</v>
      </c>
      <c r="S603" t="s">
        <v>87</v>
      </c>
      <c r="T603">
        <f>Table6[[#This Row],[Discount]]*Table6[[#This Row],[List Price]]*Table6[[#This Row],[Units]]</f>
        <v>0</v>
      </c>
    </row>
    <row r="604" spans="1:20" x14ac:dyDescent="0.2">
      <c r="A604" t="s">
        <v>697</v>
      </c>
      <c r="B604" s="2">
        <v>46313.959384949158</v>
      </c>
      <c r="C604" t="s">
        <v>84</v>
      </c>
      <c r="D604" t="s">
        <v>96</v>
      </c>
      <c r="E604" t="s">
        <v>40</v>
      </c>
      <c r="F604" t="s">
        <v>15</v>
      </c>
      <c r="G604" t="s">
        <v>52</v>
      </c>
      <c r="H604" t="str">
        <f>_xlfn.XLOOKUP(Table6[[#This Row],[SKU]],tblProductMaster[SKU],tblProductMaster[Product])</f>
        <v>Laundry Pods</v>
      </c>
      <c r="I604">
        <v>356</v>
      </c>
      <c r="J604">
        <f>_xlfn.XLOOKUP(G604,[1]!tblProductMaster[SKU],[1]!tblProductMaster[List Price])</f>
        <v>10.49</v>
      </c>
      <c r="K604" t="s">
        <v>86</v>
      </c>
      <c r="L604" s="3">
        <v>0</v>
      </c>
      <c r="M604" s="9">
        <f t="shared" si="45"/>
        <v>10.49</v>
      </c>
      <c r="N604" s="8">
        <f t="shared" si="46"/>
        <v>3734.44</v>
      </c>
      <c r="O604" s="9">
        <f>_xlfn.XLOOKUP(G604,[1]!tblProductMaster[SKU],[1]!tblProductMaster[Unit Cost])</f>
        <v>4.5999999999999996</v>
      </c>
      <c r="P604" s="8">
        <f t="shared" si="47"/>
        <v>1637.6</v>
      </c>
      <c r="Q604" s="8">
        <f t="shared" si="48"/>
        <v>2096.84</v>
      </c>
      <c r="R604" s="4">
        <f t="shared" si="49"/>
        <v>0.56148713060057198</v>
      </c>
      <c r="S604" t="s">
        <v>87</v>
      </c>
      <c r="T604">
        <f>Table6[[#This Row],[Discount]]*Table6[[#This Row],[List Price]]*Table6[[#This Row],[Units]]</f>
        <v>0</v>
      </c>
    </row>
    <row r="605" spans="1:20" x14ac:dyDescent="0.2">
      <c r="A605" t="s">
        <v>698</v>
      </c>
      <c r="B605" s="2">
        <v>46364.382073088957</v>
      </c>
      <c r="C605" t="s">
        <v>98</v>
      </c>
      <c r="D605" t="s">
        <v>85</v>
      </c>
      <c r="E605" t="s">
        <v>40</v>
      </c>
      <c r="F605" t="s">
        <v>15</v>
      </c>
      <c r="G605" t="s">
        <v>52</v>
      </c>
      <c r="H605" t="str">
        <f>_xlfn.XLOOKUP(Table6[[#This Row],[SKU]],tblProductMaster[SKU],tblProductMaster[Product])</f>
        <v>Laundry Pods</v>
      </c>
      <c r="I605">
        <v>698</v>
      </c>
      <c r="J605">
        <f>_xlfn.XLOOKUP(G605,[1]!tblProductMaster[SKU],[1]!tblProductMaster[List Price])</f>
        <v>10.49</v>
      </c>
      <c r="K605" t="s">
        <v>86</v>
      </c>
      <c r="L605" s="3">
        <v>0</v>
      </c>
      <c r="M605" s="9">
        <f t="shared" si="45"/>
        <v>10.49</v>
      </c>
      <c r="N605" s="8">
        <f t="shared" si="46"/>
        <v>7322.02</v>
      </c>
      <c r="O605" s="9">
        <f>_xlfn.XLOOKUP(G605,[1]!tblProductMaster[SKU],[1]!tblProductMaster[Unit Cost])</f>
        <v>4.5999999999999996</v>
      </c>
      <c r="P605" s="8">
        <f t="shared" si="47"/>
        <v>3210.7999999999997</v>
      </c>
      <c r="Q605" s="8">
        <f t="shared" si="48"/>
        <v>4111.2200000000012</v>
      </c>
      <c r="R605" s="4">
        <f t="shared" si="49"/>
        <v>0.56148713060057209</v>
      </c>
      <c r="S605" t="s">
        <v>87</v>
      </c>
      <c r="T605">
        <f>Table6[[#This Row],[Discount]]*Table6[[#This Row],[List Price]]*Table6[[#This Row],[Units]]</f>
        <v>0</v>
      </c>
    </row>
    <row r="606" spans="1:20" x14ac:dyDescent="0.2">
      <c r="A606" t="s">
        <v>699</v>
      </c>
      <c r="B606" s="2">
        <v>46246.758598437002</v>
      </c>
      <c r="C606" t="s">
        <v>98</v>
      </c>
      <c r="D606" t="s">
        <v>104</v>
      </c>
      <c r="E606" t="s">
        <v>40</v>
      </c>
      <c r="F606" t="s">
        <v>18</v>
      </c>
      <c r="G606" t="s">
        <v>50</v>
      </c>
      <c r="H606" t="str">
        <f>_xlfn.XLOOKUP(Table6[[#This Row],[SKU]],tblProductMaster[SKU],tblProductMaster[Product])</f>
        <v>Sensitive Detergent</v>
      </c>
      <c r="I606">
        <v>408</v>
      </c>
      <c r="J606">
        <f>_xlfn.XLOOKUP(G606,[1]!tblProductMaster[SKU],[1]!tblProductMaster[List Price])</f>
        <v>8.99</v>
      </c>
      <c r="K606" t="s">
        <v>86</v>
      </c>
      <c r="L606" s="3">
        <v>0</v>
      </c>
      <c r="M606" s="9">
        <f t="shared" si="45"/>
        <v>8.99</v>
      </c>
      <c r="N606" s="8">
        <f t="shared" si="46"/>
        <v>3667.92</v>
      </c>
      <c r="O606" s="9">
        <f>_xlfn.XLOOKUP(G606,[1]!tblProductMaster[SKU],[1]!tblProductMaster[Unit Cost])</f>
        <v>4</v>
      </c>
      <c r="P606" s="8">
        <f t="shared" si="47"/>
        <v>1632</v>
      </c>
      <c r="Q606" s="8">
        <f t="shared" si="48"/>
        <v>2035.92</v>
      </c>
      <c r="R606" s="4">
        <f t="shared" si="49"/>
        <v>0.55506117908787544</v>
      </c>
      <c r="S606" t="s">
        <v>87</v>
      </c>
      <c r="T606">
        <f>Table6[[#This Row],[Discount]]*Table6[[#This Row],[List Price]]*Table6[[#This Row],[Units]]</f>
        <v>0</v>
      </c>
    </row>
    <row r="607" spans="1:20" x14ac:dyDescent="0.2">
      <c r="A607" t="s">
        <v>700</v>
      </c>
      <c r="B607" s="2">
        <v>46148.420949480911</v>
      </c>
      <c r="C607" t="s">
        <v>93</v>
      </c>
      <c r="D607" t="s">
        <v>96</v>
      </c>
      <c r="E607" t="s">
        <v>56</v>
      </c>
      <c r="F607" t="s">
        <v>15</v>
      </c>
      <c r="G607" t="s">
        <v>62</v>
      </c>
      <c r="H607" t="str">
        <f>_xlfn.XLOOKUP(Table6[[#This Row],[SKU]],tblProductMaster[SKU],tblProductMaster[Product])</f>
        <v>Mouthwash 500ml</v>
      </c>
      <c r="I607">
        <v>1061</v>
      </c>
      <c r="J607">
        <f>_xlfn.XLOOKUP(G607,[1]!tblProductMaster[SKU],[1]!tblProductMaster[List Price])</f>
        <v>5.99</v>
      </c>
      <c r="K607" t="s">
        <v>89</v>
      </c>
      <c r="L607" s="3">
        <v>0.2</v>
      </c>
      <c r="M607" s="9">
        <f t="shared" si="45"/>
        <v>4.7920000000000007</v>
      </c>
      <c r="N607" s="8">
        <f t="shared" si="46"/>
        <v>5084.3120000000008</v>
      </c>
      <c r="O607" s="9">
        <f>_xlfn.XLOOKUP(G607,[1]!tblProductMaster[SKU],[1]!tblProductMaster[Unit Cost])</f>
        <v>2.4</v>
      </c>
      <c r="P607" s="8">
        <f t="shared" si="47"/>
        <v>2546.4</v>
      </c>
      <c r="Q607" s="8">
        <f t="shared" si="48"/>
        <v>2537.9120000000007</v>
      </c>
      <c r="R607" s="4">
        <f t="shared" si="49"/>
        <v>0.49916527545909856</v>
      </c>
      <c r="S607" t="s">
        <v>99</v>
      </c>
      <c r="T607">
        <f>Table6[[#This Row],[Discount]]*Table6[[#This Row],[List Price]]*Table6[[#This Row],[Units]]</f>
        <v>1271.0780000000002</v>
      </c>
    </row>
    <row r="608" spans="1:20" x14ac:dyDescent="0.2">
      <c r="A608" t="s">
        <v>701</v>
      </c>
      <c r="B608" s="2">
        <v>46088.60842618288</v>
      </c>
      <c r="C608" t="s">
        <v>93</v>
      </c>
      <c r="D608" t="s">
        <v>104</v>
      </c>
      <c r="E608" t="s">
        <v>40</v>
      </c>
      <c r="F608" t="s">
        <v>7</v>
      </c>
      <c r="G608" t="s">
        <v>48</v>
      </c>
      <c r="H608" t="str">
        <f>_xlfn.XLOOKUP(Table6[[#This Row],[SKU]],tblProductMaster[SKU],tblProductMaster[Product])</f>
        <v>Color Detergent</v>
      </c>
      <c r="I608">
        <v>407</v>
      </c>
      <c r="J608">
        <f>_xlfn.XLOOKUP(G608,[1]!tblProductMaster[SKU],[1]!tblProductMaster[List Price])</f>
        <v>9.49</v>
      </c>
      <c r="K608" t="s">
        <v>86</v>
      </c>
      <c r="L608" s="3">
        <v>0</v>
      </c>
      <c r="M608" s="9">
        <f t="shared" si="45"/>
        <v>9.49</v>
      </c>
      <c r="N608" s="8">
        <f t="shared" si="46"/>
        <v>3862.4300000000003</v>
      </c>
      <c r="O608" s="9">
        <f>_xlfn.XLOOKUP(G608,[1]!tblProductMaster[SKU],[1]!tblProductMaster[Unit Cost])</f>
        <v>4</v>
      </c>
      <c r="P608" s="8">
        <f t="shared" si="47"/>
        <v>1628</v>
      </c>
      <c r="Q608" s="8">
        <f t="shared" si="48"/>
        <v>2234.4300000000003</v>
      </c>
      <c r="R608" s="4">
        <f t="shared" si="49"/>
        <v>0.57850368809272923</v>
      </c>
      <c r="S608" t="s">
        <v>87</v>
      </c>
      <c r="T608">
        <f>Table6[[#This Row],[Discount]]*Table6[[#This Row],[List Price]]*Table6[[#This Row],[Units]]</f>
        <v>0</v>
      </c>
    </row>
    <row r="609" spans="1:20" x14ac:dyDescent="0.2">
      <c r="A609" t="s">
        <v>702</v>
      </c>
      <c r="B609" s="2">
        <v>46056.547443015574</v>
      </c>
      <c r="C609" t="s">
        <v>93</v>
      </c>
      <c r="D609" t="s">
        <v>85</v>
      </c>
      <c r="E609" t="s">
        <v>40</v>
      </c>
      <c r="F609" t="s">
        <v>18</v>
      </c>
      <c r="G609" t="s">
        <v>50</v>
      </c>
      <c r="H609" t="str">
        <f>_xlfn.XLOOKUP(Table6[[#This Row],[SKU]],tblProductMaster[SKU],tblProductMaster[Product])</f>
        <v>Sensitive Detergent</v>
      </c>
      <c r="I609">
        <v>864</v>
      </c>
      <c r="J609">
        <f>_xlfn.XLOOKUP(G609,[1]!tblProductMaster[SKU],[1]!tblProductMaster[List Price])</f>
        <v>8.99</v>
      </c>
      <c r="K609" t="s">
        <v>89</v>
      </c>
      <c r="L609" s="3">
        <v>0.3</v>
      </c>
      <c r="M609" s="9">
        <f t="shared" si="45"/>
        <v>6.2930000000000001</v>
      </c>
      <c r="N609" s="8">
        <f t="shared" si="46"/>
        <v>5437.152</v>
      </c>
      <c r="O609" s="9">
        <f>_xlfn.XLOOKUP(G609,[1]!tblProductMaster[SKU],[1]!tblProductMaster[Unit Cost])</f>
        <v>4</v>
      </c>
      <c r="P609" s="8">
        <f t="shared" si="47"/>
        <v>3456</v>
      </c>
      <c r="Q609" s="8">
        <f t="shared" si="48"/>
        <v>1981.152</v>
      </c>
      <c r="R609" s="4">
        <f t="shared" si="49"/>
        <v>0.36437311298267916</v>
      </c>
      <c r="S609" t="s">
        <v>94</v>
      </c>
      <c r="T609">
        <f>Table6[[#This Row],[Discount]]*Table6[[#This Row],[List Price]]*Table6[[#This Row],[Units]]</f>
        <v>2330.2080000000001</v>
      </c>
    </row>
    <row r="610" spans="1:20" x14ac:dyDescent="0.2">
      <c r="A610" t="s">
        <v>703</v>
      </c>
      <c r="B610" s="2">
        <v>46301.317312620238</v>
      </c>
      <c r="C610" t="s">
        <v>93</v>
      </c>
      <c r="D610" t="s">
        <v>104</v>
      </c>
      <c r="E610" t="s">
        <v>40</v>
      </c>
      <c r="F610" t="s">
        <v>18</v>
      </c>
      <c r="G610" t="s">
        <v>50</v>
      </c>
      <c r="H610" t="str">
        <f>_xlfn.XLOOKUP(Table6[[#This Row],[SKU]],tblProductMaster[SKU],tblProductMaster[Product])</f>
        <v>Sensitive Detergent</v>
      </c>
      <c r="I610">
        <v>224</v>
      </c>
      <c r="J610">
        <f>_xlfn.XLOOKUP(G610,[1]!tblProductMaster[SKU],[1]!tblProductMaster[List Price])</f>
        <v>8.99</v>
      </c>
      <c r="K610" t="s">
        <v>86</v>
      </c>
      <c r="L610" s="3">
        <v>0</v>
      </c>
      <c r="M610" s="9">
        <f t="shared" si="45"/>
        <v>8.99</v>
      </c>
      <c r="N610" s="8">
        <f t="shared" si="46"/>
        <v>2013.76</v>
      </c>
      <c r="O610" s="9">
        <f>_xlfn.XLOOKUP(G610,[1]!tblProductMaster[SKU],[1]!tblProductMaster[Unit Cost])</f>
        <v>4</v>
      </c>
      <c r="P610" s="8">
        <f t="shared" si="47"/>
        <v>896</v>
      </c>
      <c r="Q610" s="8">
        <f t="shared" si="48"/>
        <v>1117.76</v>
      </c>
      <c r="R610" s="4">
        <f t="shared" si="49"/>
        <v>0.55506117908787544</v>
      </c>
      <c r="S610" t="s">
        <v>87</v>
      </c>
      <c r="T610">
        <f>Table6[[#This Row],[Discount]]*Table6[[#This Row],[List Price]]*Table6[[#This Row],[Units]]</f>
        <v>0</v>
      </c>
    </row>
    <row r="611" spans="1:20" x14ac:dyDescent="0.2">
      <c r="A611" t="s">
        <v>704</v>
      </c>
      <c r="B611" s="2">
        <v>46316.284423997808</v>
      </c>
      <c r="C611" t="s">
        <v>93</v>
      </c>
      <c r="D611" t="s">
        <v>96</v>
      </c>
      <c r="E611" t="s">
        <v>56</v>
      </c>
      <c r="F611" t="s">
        <v>18</v>
      </c>
      <c r="G611" t="s">
        <v>68</v>
      </c>
      <c r="H611" t="str">
        <f>_xlfn.XLOOKUP(Table6[[#This Row],[SKU]],tblProductMaster[SKU],tblProductMaster[Product])</f>
        <v>Kids Toothpaste</v>
      </c>
      <c r="I611">
        <v>1199</v>
      </c>
      <c r="J611">
        <f>_xlfn.XLOOKUP(G611,[1]!tblProductMaster[SKU],[1]!tblProductMaster[List Price])</f>
        <v>3.29</v>
      </c>
      <c r="K611" t="s">
        <v>89</v>
      </c>
      <c r="L611" s="3">
        <v>0.3</v>
      </c>
      <c r="M611" s="9">
        <f t="shared" si="45"/>
        <v>2.3029999999999999</v>
      </c>
      <c r="N611" s="8">
        <f t="shared" si="46"/>
        <v>2761.297</v>
      </c>
      <c r="O611" s="9">
        <f>_xlfn.XLOOKUP(G611,[1]!tblProductMaster[SKU],[1]!tblProductMaster[Unit Cost])</f>
        <v>1.1000000000000001</v>
      </c>
      <c r="P611" s="8">
        <f t="shared" si="47"/>
        <v>1318.9</v>
      </c>
      <c r="Q611" s="8">
        <f t="shared" si="48"/>
        <v>1442.3969999999999</v>
      </c>
      <c r="R611" s="4">
        <f t="shared" si="49"/>
        <v>0.52236213634389927</v>
      </c>
      <c r="S611" t="s">
        <v>99</v>
      </c>
      <c r="T611">
        <f>Table6[[#This Row],[Discount]]*Table6[[#This Row],[List Price]]*Table6[[#This Row],[Units]]</f>
        <v>1183.413</v>
      </c>
    </row>
    <row r="612" spans="1:20" x14ac:dyDescent="0.2">
      <c r="A612" t="s">
        <v>705</v>
      </c>
      <c r="B612" s="2">
        <v>46382.368844357239</v>
      </c>
      <c r="C612" t="s">
        <v>93</v>
      </c>
      <c r="D612" t="s">
        <v>96</v>
      </c>
      <c r="E612" t="s">
        <v>25</v>
      </c>
      <c r="F612" t="s">
        <v>15</v>
      </c>
      <c r="G612" t="s">
        <v>29</v>
      </c>
      <c r="H612" t="str">
        <f>_xlfn.XLOOKUP(Table6[[#This Row],[SKU]],tblProductMaster[SKU],tblProductMaster[Product])</f>
        <v>Shower Gel 250ml</v>
      </c>
      <c r="I612">
        <v>630</v>
      </c>
      <c r="J612">
        <f>_xlfn.XLOOKUP(G612,[1]!tblProductMaster[SKU],[1]!tblProductMaster[List Price])</f>
        <v>4.49</v>
      </c>
      <c r="K612" t="s">
        <v>89</v>
      </c>
      <c r="L612" s="3">
        <v>0.3</v>
      </c>
      <c r="M612" s="9">
        <f t="shared" si="45"/>
        <v>3.1429999999999998</v>
      </c>
      <c r="N612" s="8">
        <f t="shared" si="46"/>
        <v>1980.09</v>
      </c>
      <c r="O612" s="9">
        <f>_xlfn.XLOOKUP(G612,[1]!tblProductMaster[SKU],[1]!tblProductMaster[Unit Cost])</f>
        <v>1.9</v>
      </c>
      <c r="P612" s="8">
        <f t="shared" si="47"/>
        <v>1197</v>
      </c>
      <c r="Q612" s="8">
        <f t="shared" si="48"/>
        <v>783.08999999999992</v>
      </c>
      <c r="R612" s="4">
        <f t="shared" si="49"/>
        <v>0.39548202354438433</v>
      </c>
      <c r="S612" t="s">
        <v>99</v>
      </c>
      <c r="T612">
        <f>Table6[[#This Row],[Discount]]*Table6[[#This Row],[List Price]]*Table6[[#This Row],[Units]]</f>
        <v>848.61</v>
      </c>
    </row>
    <row r="613" spans="1:20" x14ac:dyDescent="0.2">
      <c r="A613" t="s">
        <v>706</v>
      </c>
      <c r="B613" s="2">
        <v>46304.74460280333</v>
      </c>
      <c r="C613" t="s">
        <v>98</v>
      </c>
      <c r="D613" t="s">
        <v>85</v>
      </c>
      <c r="E613" t="s">
        <v>56</v>
      </c>
      <c r="F613" t="s">
        <v>7</v>
      </c>
      <c r="G613" t="s">
        <v>64</v>
      </c>
      <c r="H613" t="str">
        <f>_xlfn.XLOOKUP(Table6[[#This Row],[SKU]],tblProductMaster[SKU],tblProductMaster[Product])</f>
        <v>Toothbrush</v>
      </c>
      <c r="I613">
        <v>293</v>
      </c>
      <c r="J613">
        <f>_xlfn.XLOOKUP(G613,[1]!tblProductMaster[SKU],[1]!tblProductMaster[List Price])</f>
        <v>3.99</v>
      </c>
      <c r="K613" t="s">
        <v>86</v>
      </c>
      <c r="L613" s="3">
        <v>0</v>
      </c>
      <c r="M613" s="9">
        <f t="shared" si="45"/>
        <v>3.99</v>
      </c>
      <c r="N613" s="8">
        <f t="shared" si="46"/>
        <v>1169.0700000000002</v>
      </c>
      <c r="O613" s="9">
        <f>_xlfn.XLOOKUP(G613,[1]!tblProductMaster[SKU],[1]!tblProductMaster[Unit Cost])</f>
        <v>1.5</v>
      </c>
      <c r="P613" s="8">
        <f t="shared" si="47"/>
        <v>439.5</v>
      </c>
      <c r="Q613" s="8">
        <f t="shared" si="48"/>
        <v>729.57000000000016</v>
      </c>
      <c r="R613" s="4">
        <f t="shared" si="49"/>
        <v>0.62406015037593987</v>
      </c>
      <c r="S613" t="s">
        <v>87</v>
      </c>
      <c r="T613">
        <f>Table6[[#This Row],[Discount]]*Table6[[#This Row],[List Price]]*Table6[[#This Row],[Units]]</f>
        <v>0</v>
      </c>
    </row>
    <row r="614" spans="1:20" x14ac:dyDescent="0.2">
      <c r="A614" t="s">
        <v>707</v>
      </c>
      <c r="B614" s="2">
        <v>46083.440374317353</v>
      </c>
      <c r="C614" t="s">
        <v>98</v>
      </c>
      <c r="D614" t="s">
        <v>85</v>
      </c>
      <c r="E614" t="s">
        <v>40</v>
      </c>
      <c r="F614" t="s">
        <v>7</v>
      </c>
      <c r="G614" t="s">
        <v>48</v>
      </c>
      <c r="H614" t="str">
        <f>_xlfn.XLOOKUP(Table6[[#This Row],[SKU]],tblProductMaster[SKU],tblProductMaster[Product])</f>
        <v>Color Detergent</v>
      </c>
      <c r="I614">
        <v>699</v>
      </c>
      <c r="J614">
        <f>_xlfn.XLOOKUP(G614,[1]!tblProductMaster[SKU],[1]!tblProductMaster[List Price])</f>
        <v>9.49</v>
      </c>
      <c r="K614" t="s">
        <v>86</v>
      </c>
      <c r="L614" s="3">
        <v>0</v>
      </c>
      <c r="M614" s="9">
        <f t="shared" si="45"/>
        <v>9.49</v>
      </c>
      <c r="N614" s="8">
        <f t="shared" si="46"/>
        <v>6633.51</v>
      </c>
      <c r="O614" s="9">
        <f>_xlfn.XLOOKUP(G614,[1]!tblProductMaster[SKU],[1]!tblProductMaster[Unit Cost])</f>
        <v>4</v>
      </c>
      <c r="P614" s="8">
        <f t="shared" si="47"/>
        <v>2796</v>
      </c>
      <c r="Q614" s="8">
        <f t="shared" si="48"/>
        <v>3837.51</v>
      </c>
      <c r="R614" s="4">
        <f t="shared" si="49"/>
        <v>0.57850368809272923</v>
      </c>
      <c r="S614" t="s">
        <v>87</v>
      </c>
      <c r="T614">
        <f>Table6[[#This Row],[Discount]]*Table6[[#This Row],[List Price]]*Table6[[#This Row],[Units]]</f>
        <v>0</v>
      </c>
    </row>
    <row r="615" spans="1:20" x14ac:dyDescent="0.2">
      <c r="A615" t="s">
        <v>708</v>
      </c>
      <c r="B615" s="2">
        <v>46253.5336692212</v>
      </c>
      <c r="C615" t="s">
        <v>84</v>
      </c>
      <c r="D615" t="s">
        <v>96</v>
      </c>
      <c r="E615" t="s">
        <v>25</v>
      </c>
      <c r="F615" t="s">
        <v>15</v>
      </c>
      <c r="G615" t="s">
        <v>35</v>
      </c>
      <c r="H615" t="str">
        <f>_xlfn.XLOOKUP(Table6[[#This Row],[SKU]],tblProductMaster[SKU],tblProductMaster[Product])</f>
        <v>Hand Cream</v>
      </c>
      <c r="I615">
        <v>267</v>
      </c>
      <c r="J615">
        <f>_xlfn.XLOOKUP(G615,[1]!tblProductMaster[SKU],[1]!tblProductMaster[List Price])</f>
        <v>4.99</v>
      </c>
      <c r="K615" t="s">
        <v>86</v>
      </c>
      <c r="L615" s="3">
        <v>0</v>
      </c>
      <c r="M615" s="9">
        <f t="shared" si="45"/>
        <v>4.99</v>
      </c>
      <c r="N615" s="8">
        <f t="shared" si="46"/>
        <v>1332.3300000000002</v>
      </c>
      <c r="O615" s="9">
        <f>_xlfn.XLOOKUP(G615,[1]!tblProductMaster[SKU],[1]!tblProductMaster[Unit Cost])</f>
        <v>2.1</v>
      </c>
      <c r="P615" s="8">
        <f t="shared" si="47"/>
        <v>560.70000000000005</v>
      </c>
      <c r="Q615" s="8">
        <f t="shared" si="48"/>
        <v>771.63000000000011</v>
      </c>
      <c r="R615" s="4">
        <f t="shared" si="49"/>
        <v>0.57915831663326656</v>
      </c>
      <c r="S615" t="s">
        <v>87</v>
      </c>
      <c r="T615">
        <f>Table6[[#This Row],[Discount]]*Table6[[#This Row],[List Price]]*Table6[[#This Row],[Units]]</f>
        <v>0</v>
      </c>
    </row>
    <row r="616" spans="1:20" x14ac:dyDescent="0.2">
      <c r="A616" t="s">
        <v>709</v>
      </c>
      <c r="B616" s="2">
        <v>46267.939092941117</v>
      </c>
      <c r="C616" t="s">
        <v>84</v>
      </c>
      <c r="D616" t="s">
        <v>104</v>
      </c>
      <c r="E616" t="s">
        <v>8</v>
      </c>
      <c r="F616" t="s">
        <v>7</v>
      </c>
      <c r="G616" t="s">
        <v>12</v>
      </c>
      <c r="H616" t="str">
        <f>_xlfn.XLOOKUP(Table6[[#This Row],[SKU]],tblProductMaster[SKU],tblProductMaster[Product])</f>
        <v>Conditioner 250ml</v>
      </c>
      <c r="I616">
        <v>358</v>
      </c>
      <c r="J616">
        <f>_xlfn.XLOOKUP(G616,[1]!tblProductMaster[SKU],[1]!tblProductMaster[List Price])</f>
        <v>5.49</v>
      </c>
      <c r="K616" t="s">
        <v>86</v>
      </c>
      <c r="L616" s="3">
        <v>0</v>
      </c>
      <c r="M616" s="9">
        <f t="shared" si="45"/>
        <v>5.49</v>
      </c>
      <c r="N616" s="8">
        <f t="shared" si="46"/>
        <v>1965.42</v>
      </c>
      <c r="O616" s="9">
        <f>_xlfn.XLOOKUP(G616,[1]!tblProductMaster[SKU],[1]!tblProductMaster[Unit Cost])</f>
        <v>2.2000000000000002</v>
      </c>
      <c r="P616" s="8">
        <f t="shared" si="47"/>
        <v>787.6</v>
      </c>
      <c r="Q616" s="8">
        <f t="shared" si="48"/>
        <v>1177.8200000000002</v>
      </c>
      <c r="R616" s="4">
        <f t="shared" si="49"/>
        <v>0.59927140255009115</v>
      </c>
      <c r="S616" t="s">
        <v>87</v>
      </c>
      <c r="T616">
        <f>Table6[[#This Row],[Discount]]*Table6[[#This Row],[List Price]]*Table6[[#This Row],[Units]]</f>
        <v>0</v>
      </c>
    </row>
    <row r="617" spans="1:20" x14ac:dyDescent="0.2">
      <c r="A617" t="s">
        <v>710</v>
      </c>
      <c r="B617" s="2">
        <v>46158.036250434452</v>
      </c>
      <c r="C617" t="s">
        <v>98</v>
      </c>
      <c r="D617" t="s">
        <v>96</v>
      </c>
      <c r="E617" t="s">
        <v>25</v>
      </c>
      <c r="F617" t="s">
        <v>18</v>
      </c>
      <c r="G617" t="s">
        <v>37</v>
      </c>
      <c r="H617" t="str">
        <f>_xlfn.XLOOKUP(Table6[[#This Row],[SKU]],tblProductMaster[SKU],tblProductMaster[Product])</f>
        <v>Body Wash</v>
      </c>
      <c r="I617">
        <v>327</v>
      </c>
      <c r="J617">
        <f>_xlfn.XLOOKUP(G617,[1]!tblProductMaster[SKU],[1]!tblProductMaster[List Price])</f>
        <v>5.49</v>
      </c>
      <c r="K617" t="s">
        <v>86</v>
      </c>
      <c r="L617" s="3">
        <v>0</v>
      </c>
      <c r="M617" s="9">
        <f t="shared" si="45"/>
        <v>5.49</v>
      </c>
      <c r="N617" s="8">
        <f t="shared" si="46"/>
        <v>1795.23</v>
      </c>
      <c r="O617" s="9">
        <f>_xlfn.XLOOKUP(G617,[1]!tblProductMaster[SKU],[1]!tblProductMaster[Unit Cost])</f>
        <v>2.2999999999999998</v>
      </c>
      <c r="P617" s="8">
        <f t="shared" si="47"/>
        <v>752.09999999999991</v>
      </c>
      <c r="Q617" s="8">
        <f t="shared" si="48"/>
        <v>1043.1300000000001</v>
      </c>
      <c r="R617" s="4">
        <f t="shared" si="49"/>
        <v>0.58105646630236796</v>
      </c>
      <c r="S617" t="s">
        <v>87</v>
      </c>
      <c r="T617">
        <f>Table6[[#This Row],[Discount]]*Table6[[#This Row],[List Price]]*Table6[[#This Row],[Units]]</f>
        <v>0</v>
      </c>
    </row>
    <row r="618" spans="1:20" x14ac:dyDescent="0.2">
      <c r="A618" t="s">
        <v>711</v>
      </c>
      <c r="B618" s="2">
        <v>46125.35985267887</v>
      </c>
      <c r="C618" t="s">
        <v>93</v>
      </c>
      <c r="D618" t="s">
        <v>104</v>
      </c>
      <c r="E618" t="s">
        <v>40</v>
      </c>
      <c r="F618" t="s">
        <v>7</v>
      </c>
      <c r="G618" t="s">
        <v>44</v>
      </c>
      <c r="H618" t="str">
        <f>_xlfn.XLOOKUP(Table6[[#This Row],[SKU]],tblProductMaster[SKU],tblProductMaster[Product])</f>
        <v>Fabric Softener</v>
      </c>
      <c r="I618">
        <v>575</v>
      </c>
      <c r="J618">
        <f>_xlfn.XLOOKUP(G618,[1]!tblProductMaster[SKU],[1]!tblProductMaster[List Price])</f>
        <v>6.99</v>
      </c>
      <c r="K618" t="s">
        <v>86</v>
      </c>
      <c r="L618" s="3">
        <v>0</v>
      </c>
      <c r="M618" s="9">
        <f t="shared" si="45"/>
        <v>6.99</v>
      </c>
      <c r="N618" s="8">
        <f t="shared" si="46"/>
        <v>4019.25</v>
      </c>
      <c r="O618" s="9">
        <f>_xlfn.XLOOKUP(G618,[1]!tblProductMaster[SKU],[1]!tblProductMaster[Unit Cost])</f>
        <v>2.9</v>
      </c>
      <c r="P618" s="8">
        <f t="shared" si="47"/>
        <v>1667.5</v>
      </c>
      <c r="Q618" s="8">
        <f t="shared" si="48"/>
        <v>2351.75</v>
      </c>
      <c r="R618" s="4">
        <f t="shared" si="49"/>
        <v>0.58512160228898424</v>
      </c>
      <c r="S618" t="s">
        <v>87</v>
      </c>
      <c r="T618">
        <f>Table6[[#This Row],[Discount]]*Table6[[#This Row],[List Price]]*Table6[[#This Row],[Units]]</f>
        <v>0</v>
      </c>
    </row>
    <row r="619" spans="1:20" x14ac:dyDescent="0.2">
      <c r="A619" t="s">
        <v>712</v>
      </c>
      <c r="B619" s="2">
        <v>46046.528042611288</v>
      </c>
      <c r="C619" t="s">
        <v>93</v>
      </c>
      <c r="D619" t="s">
        <v>96</v>
      </c>
      <c r="E619" t="s">
        <v>40</v>
      </c>
      <c r="F619" t="s">
        <v>7</v>
      </c>
      <c r="G619" t="s">
        <v>48</v>
      </c>
      <c r="H619" t="str">
        <f>_xlfn.XLOOKUP(Table6[[#This Row],[SKU]],tblProductMaster[SKU],tblProductMaster[Product])</f>
        <v>Color Detergent</v>
      </c>
      <c r="I619">
        <v>1186</v>
      </c>
      <c r="J619">
        <f>_xlfn.XLOOKUP(G619,[1]!tblProductMaster[SKU],[1]!tblProductMaster[List Price])</f>
        <v>9.49</v>
      </c>
      <c r="K619" t="s">
        <v>89</v>
      </c>
      <c r="L619" s="3">
        <v>0.3</v>
      </c>
      <c r="M619" s="9">
        <f t="shared" si="45"/>
        <v>6.6429999999999998</v>
      </c>
      <c r="N619" s="8">
        <f t="shared" si="46"/>
        <v>7878.598</v>
      </c>
      <c r="O619" s="9">
        <f>_xlfn.XLOOKUP(G619,[1]!tblProductMaster[SKU],[1]!tblProductMaster[Unit Cost])</f>
        <v>4</v>
      </c>
      <c r="P619" s="8">
        <f t="shared" si="47"/>
        <v>4744</v>
      </c>
      <c r="Q619" s="8">
        <f t="shared" si="48"/>
        <v>3134.598</v>
      </c>
      <c r="R619" s="4">
        <f t="shared" si="49"/>
        <v>0.39786241156104168</v>
      </c>
      <c r="S619" t="s">
        <v>90</v>
      </c>
      <c r="T619">
        <f>Table6[[#This Row],[Discount]]*Table6[[#This Row],[List Price]]*Table6[[#This Row],[Units]]</f>
        <v>3376.5419999999999</v>
      </c>
    </row>
    <row r="620" spans="1:20" x14ac:dyDescent="0.2">
      <c r="A620" t="s">
        <v>713</v>
      </c>
      <c r="B620" s="2">
        <v>46064.449466366554</v>
      </c>
      <c r="C620" t="s">
        <v>93</v>
      </c>
      <c r="D620" t="s">
        <v>104</v>
      </c>
      <c r="E620" t="s">
        <v>56</v>
      </c>
      <c r="F620" t="s">
        <v>15</v>
      </c>
      <c r="G620" t="s">
        <v>62</v>
      </c>
      <c r="H620" t="str">
        <f>_xlfn.XLOOKUP(Table6[[#This Row],[SKU]],tblProductMaster[SKU],tblProductMaster[Product])</f>
        <v>Mouthwash 500ml</v>
      </c>
      <c r="I620">
        <v>205</v>
      </c>
      <c r="J620">
        <f>_xlfn.XLOOKUP(G620,[1]!tblProductMaster[SKU],[1]!tblProductMaster[List Price])</f>
        <v>5.99</v>
      </c>
      <c r="K620" t="s">
        <v>86</v>
      </c>
      <c r="L620" s="3">
        <v>0</v>
      </c>
      <c r="M620" s="9">
        <f t="shared" si="45"/>
        <v>5.99</v>
      </c>
      <c r="N620" s="8">
        <f t="shared" si="46"/>
        <v>1227.95</v>
      </c>
      <c r="O620" s="9">
        <f>_xlfn.XLOOKUP(G620,[1]!tblProductMaster[SKU],[1]!tblProductMaster[Unit Cost])</f>
        <v>2.4</v>
      </c>
      <c r="P620" s="8">
        <f t="shared" si="47"/>
        <v>492</v>
      </c>
      <c r="Q620" s="8">
        <f t="shared" si="48"/>
        <v>735.95</v>
      </c>
      <c r="R620" s="4">
        <f t="shared" si="49"/>
        <v>0.59933222036727885</v>
      </c>
      <c r="S620" t="s">
        <v>87</v>
      </c>
      <c r="T620">
        <f>Table6[[#This Row],[Discount]]*Table6[[#This Row],[List Price]]*Table6[[#This Row],[Units]]</f>
        <v>0</v>
      </c>
    </row>
    <row r="621" spans="1:20" x14ac:dyDescent="0.2">
      <c r="A621" t="s">
        <v>714</v>
      </c>
      <c r="B621" s="2">
        <v>46302.40642517541</v>
      </c>
      <c r="C621" t="s">
        <v>93</v>
      </c>
      <c r="D621" t="s">
        <v>96</v>
      </c>
      <c r="E621" t="s">
        <v>56</v>
      </c>
      <c r="F621" t="s">
        <v>18</v>
      </c>
      <c r="G621" t="s">
        <v>68</v>
      </c>
      <c r="H621" t="str">
        <f>_xlfn.XLOOKUP(Table6[[#This Row],[SKU]],tblProductMaster[SKU],tblProductMaster[Product])</f>
        <v>Kids Toothpaste</v>
      </c>
      <c r="I621">
        <v>803</v>
      </c>
      <c r="J621">
        <f>_xlfn.XLOOKUP(G621,[1]!tblProductMaster[SKU],[1]!tblProductMaster[List Price])</f>
        <v>3.29</v>
      </c>
      <c r="K621" t="s">
        <v>89</v>
      </c>
      <c r="L621" s="3">
        <v>0.2</v>
      </c>
      <c r="M621" s="9">
        <f t="shared" si="45"/>
        <v>2.6320000000000001</v>
      </c>
      <c r="N621" s="8">
        <f t="shared" si="46"/>
        <v>2113.4960000000001</v>
      </c>
      <c r="O621" s="9">
        <f>_xlfn.XLOOKUP(G621,[1]!tblProductMaster[SKU],[1]!tblProductMaster[Unit Cost])</f>
        <v>1.1000000000000001</v>
      </c>
      <c r="P621" s="8">
        <f t="shared" si="47"/>
        <v>883.30000000000007</v>
      </c>
      <c r="Q621" s="8">
        <f t="shared" si="48"/>
        <v>1230.1959999999999</v>
      </c>
      <c r="R621" s="4">
        <f t="shared" si="49"/>
        <v>0.58206686930091178</v>
      </c>
      <c r="S621" t="s">
        <v>99</v>
      </c>
      <c r="T621">
        <f>Table6[[#This Row],[Discount]]*Table6[[#This Row],[List Price]]*Table6[[#This Row],[Units]]</f>
        <v>528.37400000000002</v>
      </c>
    </row>
    <row r="622" spans="1:20" x14ac:dyDescent="0.2">
      <c r="A622" t="s">
        <v>715</v>
      </c>
      <c r="B622" s="2">
        <v>46110.124014970163</v>
      </c>
      <c r="C622" t="s">
        <v>84</v>
      </c>
      <c r="D622" t="s">
        <v>85</v>
      </c>
      <c r="E622" t="s">
        <v>8</v>
      </c>
      <c r="F622" t="s">
        <v>18</v>
      </c>
      <c r="G622" t="s">
        <v>17</v>
      </c>
      <c r="H622" t="str">
        <f>_xlfn.XLOOKUP(Table6[[#This Row],[SKU]],tblProductMaster[SKU],tblProductMaster[Product])</f>
        <v>Anti-Dandruff Shampoo</v>
      </c>
      <c r="I622">
        <v>359</v>
      </c>
      <c r="J622">
        <f>_xlfn.XLOOKUP(G622,[1]!tblProductMaster[SKU],[1]!tblProductMaster[List Price])</f>
        <v>6.49</v>
      </c>
      <c r="K622" t="s">
        <v>86</v>
      </c>
      <c r="L622" s="3">
        <v>0</v>
      </c>
      <c r="M622" s="9">
        <f t="shared" si="45"/>
        <v>6.49</v>
      </c>
      <c r="N622" s="8">
        <f t="shared" si="46"/>
        <v>2329.91</v>
      </c>
      <c r="O622" s="9">
        <f>_xlfn.XLOOKUP(G622,[1]!tblProductMaster[SKU],[1]!tblProductMaster[Unit Cost])</f>
        <v>2.8</v>
      </c>
      <c r="P622" s="8">
        <f t="shared" si="47"/>
        <v>1005.1999999999999</v>
      </c>
      <c r="Q622" s="8">
        <f t="shared" si="48"/>
        <v>1324.71</v>
      </c>
      <c r="R622" s="4">
        <f t="shared" si="49"/>
        <v>0.5685670261941449</v>
      </c>
      <c r="S622" t="s">
        <v>87</v>
      </c>
      <c r="T622">
        <f>Table6[[#This Row],[Discount]]*Table6[[#This Row],[List Price]]*Table6[[#This Row],[Units]]</f>
        <v>0</v>
      </c>
    </row>
    <row r="623" spans="1:20" x14ac:dyDescent="0.2">
      <c r="A623" t="s">
        <v>716</v>
      </c>
      <c r="B623" s="2">
        <v>46114.771561078545</v>
      </c>
      <c r="C623" t="s">
        <v>84</v>
      </c>
      <c r="D623" t="s">
        <v>85</v>
      </c>
      <c r="E623" t="s">
        <v>56</v>
      </c>
      <c r="F623" t="s">
        <v>7</v>
      </c>
      <c r="G623" t="s">
        <v>58</v>
      </c>
      <c r="H623" t="str">
        <f>_xlfn.XLOOKUP(Table6[[#This Row],[SKU]],tblProductMaster[SKU],tblProductMaster[Product])</f>
        <v>Whitening Toothpaste</v>
      </c>
      <c r="I623">
        <v>264</v>
      </c>
      <c r="J623">
        <f>_xlfn.XLOOKUP(G623,[1]!tblProductMaster[SKU],[1]!tblProductMaster[List Price])</f>
        <v>4.99</v>
      </c>
      <c r="K623" t="s">
        <v>86</v>
      </c>
      <c r="L623" s="3">
        <v>0</v>
      </c>
      <c r="M623" s="9">
        <f t="shared" si="45"/>
        <v>4.99</v>
      </c>
      <c r="N623" s="8">
        <f t="shared" si="46"/>
        <v>1317.3600000000001</v>
      </c>
      <c r="O623" s="9">
        <f>_xlfn.XLOOKUP(G623,[1]!tblProductMaster[SKU],[1]!tblProductMaster[Unit Cost])</f>
        <v>1.8</v>
      </c>
      <c r="P623" s="8">
        <f t="shared" si="47"/>
        <v>475.2</v>
      </c>
      <c r="Q623" s="8">
        <f t="shared" si="48"/>
        <v>842.16000000000008</v>
      </c>
      <c r="R623" s="4">
        <f t="shared" si="49"/>
        <v>0.63927855711422843</v>
      </c>
      <c r="S623" t="s">
        <v>87</v>
      </c>
      <c r="T623">
        <f>Table6[[#This Row],[Discount]]*Table6[[#This Row],[List Price]]*Table6[[#This Row],[Units]]</f>
        <v>0</v>
      </c>
    </row>
    <row r="624" spans="1:20" x14ac:dyDescent="0.2">
      <c r="A624" t="s">
        <v>717</v>
      </c>
      <c r="B624" s="2">
        <v>46376.360773720793</v>
      </c>
      <c r="C624" t="s">
        <v>93</v>
      </c>
      <c r="D624" t="s">
        <v>85</v>
      </c>
      <c r="E624" t="s">
        <v>8</v>
      </c>
      <c r="F624" t="s">
        <v>15</v>
      </c>
      <c r="G624" t="s">
        <v>14</v>
      </c>
      <c r="H624" t="str">
        <f>_xlfn.XLOOKUP(Table6[[#This Row],[SKU]],tblProductMaster[SKU],tblProductMaster[Product])</f>
        <v>Shampoo 250ml</v>
      </c>
      <c r="I624">
        <v>766</v>
      </c>
      <c r="J624">
        <f>_xlfn.XLOOKUP(G624,[1]!tblProductMaster[SKU],[1]!tblProductMaster[List Price])</f>
        <v>4.99</v>
      </c>
      <c r="K624" t="s">
        <v>86</v>
      </c>
      <c r="L624" s="3">
        <v>0</v>
      </c>
      <c r="M624" s="9">
        <f t="shared" si="45"/>
        <v>4.99</v>
      </c>
      <c r="N624" s="8">
        <f t="shared" si="46"/>
        <v>3822.34</v>
      </c>
      <c r="O624" s="9">
        <f>_xlfn.XLOOKUP(G624,[1]!tblProductMaster[SKU],[1]!tblProductMaster[Unit Cost])</f>
        <v>2.1</v>
      </c>
      <c r="P624" s="8">
        <f t="shared" si="47"/>
        <v>1608.6000000000001</v>
      </c>
      <c r="Q624" s="8">
        <f t="shared" si="48"/>
        <v>2213.7399999999998</v>
      </c>
      <c r="R624" s="4">
        <f t="shared" si="49"/>
        <v>0.57915831663326645</v>
      </c>
      <c r="S624" t="s">
        <v>87</v>
      </c>
      <c r="T624">
        <f>Table6[[#This Row],[Discount]]*Table6[[#This Row],[List Price]]*Table6[[#This Row],[Units]]</f>
        <v>0</v>
      </c>
    </row>
    <row r="625" spans="1:20" x14ac:dyDescent="0.2">
      <c r="A625" t="s">
        <v>718</v>
      </c>
      <c r="B625" s="2">
        <v>46208.707624021619</v>
      </c>
      <c r="C625" t="s">
        <v>93</v>
      </c>
      <c r="D625" t="s">
        <v>85</v>
      </c>
      <c r="E625" t="s">
        <v>56</v>
      </c>
      <c r="F625" t="s">
        <v>15</v>
      </c>
      <c r="G625" t="s">
        <v>55</v>
      </c>
      <c r="H625" t="str">
        <f>_xlfn.XLOOKUP(Table6[[#This Row],[SKU]],tblProductMaster[SKU],tblProductMaster[Product])</f>
        <v>Toothpaste 75ml</v>
      </c>
      <c r="I625">
        <v>274</v>
      </c>
      <c r="J625">
        <f>_xlfn.XLOOKUP(G625,[1]!tblProductMaster[SKU],[1]!tblProductMaster[List Price])</f>
        <v>3.49</v>
      </c>
      <c r="K625" t="s">
        <v>86</v>
      </c>
      <c r="L625" s="3">
        <v>0</v>
      </c>
      <c r="M625" s="9">
        <f t="shared" si="45"/>
        <v>3.49</v>
      </c>
      <c r="N625" s="8">
        <f t="shared" si="46"/>
        <v>956.2600000000001</v>
      </c>
      <c r="O625" s="9">
        <f>_xlfn.XLOOKUP(G625,[1]!tblProductMaster[SKU],[1]!tblProductMaster[Unit Cost])</f>
        <v>1.2</v>
      </c>
      <c r="P625" s="8">
        <f t="shared" si="47"/>
        <v>328.8</v>
      </c>
      <c r="Q625" s="8">
        <f t="shared" si="48"/>
        <v>627.46</v>
      </c>
      <c r="R625" s="4">
        <f t="shared" si="49"/>
        <v>0.65616045845272208</v>
      </c>
      <c r="S625" t="s">
        <v>87</v>
      </c>
      <c r="T625">
        <f>Table6[[#This Row],[Discount]]*Table6[[#This Row],[List Price]]*Table6[[#This Row],[Units]]</f>
        <v>0</v>
      </c>
    </row>
    <row r="626" spans="1:20" x14ac:dyDescent="0.2">
      <c r="A626" t="s">
        <v>719</v>
      </c>
      <c r="B626" s="2">
        <v>46103.77940474639</v>
      </c>
      <c r="C626" t="s">
        <v>84</v>
      </c>
      <c r="D626" t="s">
        <v>96</v>
      </c>
      <c r="E626" t="s">
        <v>40</v>
      </c>
      <c r="F626" t="s">
        <v>15</v>
      </c>
      <c r="G626" t="s">
        <v>39</v>
      </c>
      <c r="H626" t="str">
        <f>_xlfn.XLOOKUP(Table6[[#This Row],[SKU]],tblProductMaster[SKU],tblProductMaster[Product])</f>
        <v>Detergent 1L</v>
      </c>
      <c r="I626">
        <v>689</v>
      </c>
      <c r="J626">
        <f>_xlfn.XLOOKUP(G626,[1]!tblProductMaster[SKU],[1]!tblProductMaster[List Price])</f>
        <v>8.49</v>
      </c>
      <c r="K626" t="s">
        <v>86</v>
      </c>
      <c r="L626" s="3">
        <v>0</v>
      </c>
      <c r="M626" s="9">
        <f t="shared" si="45"/>
        <v>8.49</v>
      </c>
      <c r="N626" s="8">
        <f t="shared" si="46"/>
        <v>5849.6100000000006</v>
      </c>
      <c r="O626" s="9">
        <f>_xlfn.XLOOKUP(G626,[1]!tblProductMaster[SKU],[1]!tblProductMaster[Unit Cost])</f>
        <v>3.8</v>
      </c>
      <c r="P626" s="8">
        <f t="shared" si="47"/>
        <v>2618.1999999999998</v>
      </c>
      <c r="Q626" s="8">
        <f t="shared" si="48"/>
        <v>3231.4100000000008</v>
      </c>
      <c r="R626" s="4">
        <f t="shared" si="49"/>
        <v>0.55241460541813903</v>
      </c>
      <c r="S626" t="s">
        <v>87</v>
      </c>
      <c r="T626">
        <f>Table6[[#This Row],[Discount]]*Table6[[#This Row],[List Price]]*Table6[[#This Row],[Units]]</f>
        <v>0</v>
      </c>
    </row>
    <row r="627" spans="1:20" x14ac:dyDescent="0.2">
      <c r="A627" t="s">
        <v>720</v>
      </c>
      <c r="B627" s="2">
        <v>46089.591786515513</v>
      </c>
      <c r="C627" t="s">
        <v>93</v>
      </c>
      <c r="D627" t="s">
        <v>96</v>
      </c>
      <c r="E627" t="s">
        <v>40</v>
      </c>
      <c r="F627" t="s">
        <v>15</v>
      </c>
      <c r="G627" t="s">
        <v>39</v>
      </c>
      <c r="H627" t="str">
        <f>_xlfn.XLOOKUP(Table6[[#This Row],[SKU]],tblProductMaster[SKU],tblProductMaster[Product])</f>
        <v>Detergent 1L</v>
      </c>
      <c r="I627">
        <v>647</v>
      </c>
      <c r="J627">
        <f>_xlfn.XLOOKUP(G627,[1]!tblProductMaster[SKU],[1]!tblProductMaster[List Price])</f>
        <v>8.49</v>
      </c>
      <c r="K627" t="s">
        <v>86</v>
      </c>
      <c r="L627" s="3">
        <v>0</v>
      </c>
      <c r="M627" s="9">
        <f t="shared" si="45"/>
        <v>8.49</v>
      </c>
      <c r="N627" s="8">
        <f t="shared" si="46"/>
        <v>5493.03</v>
      </c>
      <c r="O627" s="9">
        <f>_xlfn.XLOOKUP(G627,[1]!tblProductMaster[SKU],[1]!tblProductMaster[Unit Cost])</f>
        <v>3.8</v>
      </c>
      <c r="P627" s="8">
        <f t="shared" si="47"/>
        <v>2458.6</v>
      </c>
      <c r="Q627" s="8">
        <f t="shared" si="48"/>
        <v>3034.43</v>
      </c>
      <c r="R627" s="4">
        <f t="shared" si="49"/>
        <v>0.55241460541813903</v>
      </c>
      <c r="S627" t="s">
        <v>87</v>
      </c>
      <c r="T627">
        <f>Table6[[#This Row],[Discount]]*Table6[[#This Row],[List Price]]*Table6[[#This Row],[Units]]</f>
        <v>0</v>
      </c>
    </row>
    <row r="628" spans="1:20" x14ac:dyDescent="0.2">
      <c r="A628" t="s">
        <v>721</v>
      </c>
      <c r="B628" s="2">
        <v>46159.48633650539</v>
      </c>
      <c r="C628" t="s">
        <v>93</v>
      </c>
      <c r="D628" t="s">
        <v>85</v>
      </c>
      <c r="E628" t="s">
        <v>8</v>
      </c>
      <c r="F628" t="s">
        <v>7</v>
      </c>
      <c r="G628" t="s">
        <v>10</v>
      </c>
      <c r="H628" t="str">
        <f>_xlfn.XLOOKUP(Table6[[#This Row],[SKU]],tblProductMaster[SKU],tblProductMaster[Product])</f>
        <v>Shampoo 500ml</v>
      </c>
      <c r="I628">
        <v>455</v>
      </c>
      <c r="J628">
        <f>_xlfn.XLOOKUP(G628,[1]!tblProductMaster[SKU],[1]!tblProductMaster[List Price])</f>
        <v>8.99</v>
      </c>
      <c r="K628" t="s">
        <v>89</v>
      </c>
      <c r="L628" s="3">
        <v>0.3</v>
      </c>
      <c r="M628" s="9">
        <f t="shared" si="45"/>
        <v>6.2930000000000001</v>
      </c>
      <c r="N628" s="8">
        <f t="shared" si="46"/>
        <v>2863.3150000000001</v>
      </c>
      <c r="O628" s="9">
        <f>_xlfn.XLOOKUP(G628,[1]!tblProductMaster[SKU],[1]!tblProductMaster[Unit Cost])</f>
        <v>3.6</v>
      </c>
      <c r="P628" s="8">
        <f t="shared" si="47"/>
        <v>1638</v>
      </c>
      <c r="Q628" s="8">
        <f t="shared" si="48"/>
        <v>1225.3150000000001</v>
      </c>
      <c r="R628" s="4">
        <f t="shared" si="49"/>
        <v>0.42793580168441125</v>
      </c>
      <c r="S628" t="s">
        <v>94</v>
      </c>
      <c r="T628">
        <f>Table6[[#This Row],[Discount]]*Table6[[#This Row],[List Price]]*Table6[[#This Row],[Units]]</f>
        <v>1227.135</v>
      </c>
    </row>
    <row r="629" spans="1:20" x14ac:dyDescent="0.2">
      <c r="A629" t="s">
        <v>722</v>
      </c>
      <c r="B629" s="2">
        <v>46373.719252179719</v>
      </c>
      <c r="C629" t="s">
        <v>84</v>
      </c>
      <c r="D629" t="s">
        <v>96</v>
      </c>
      <c r="E629" t="s">
        <v>56</v>
      </c>
      <c r="F629" t="s">
        <v>15</v>
      </c>
      <c r="G629" t="s">
        <v>62</v>
      </c>
      <c r="H629" t="str">
        <f>_xlfn.XLOOKUP(Table6[[#This Row],[SKU]],tblProductMaster[SKU],tblProductMaster[Product])</f>
        <v>Mouthwash 500ml</v>
      </c>
      <c r="I629">
        <v>233</v>
      </c>
      <c r="J629">
        <f>_xlfn.XLOOKUP(G629,[1]!tblProductMaster[SKU],[1]!tblProductMaster[List Price])</f>
        <v>5.99</v>
      </c>
      <c r="K629" t="s">
        <v>86</v>
      </c>
      <c r="L629" s="3">
        <v>0</v>
      </c>
      <c r="M629" s="9">
        <f t="shared" si="45"/>
        <v>5.99</v>
      </c>
      <c r="N629" s="8">
        <f t="shared" si="46"/>
        <v>1395.67</v>
      </c>
      <c r="O629" s="9">
        <f>_xlfn.XLOOKUP(G629,[1]!tblProductMaster[SKU],[1]!tblProductMaster[Unit Cost])</f>
        <v>2.4</v>
      </c>
      <c r="P629" s="8">
        <f t="shared" si="47"/>
        <v>559.19999999999993</v>
      </c>
      <c r="Q629" s="8">
        <f t="shared" si="48"/>
        <v>836.47000000000014</v>
      </c>
      <c r="R629" s="4">
        <f t="shared" si="49"/>
        <v>0.59933222036727885</v>
      </c>
      <c r="S629" t="s">
        <v>87</v>
      </c>
      <c r="T629">
        <f>Table6[[#This Row],[Discount]]*Table6[[#This Row],[List Price]]*Table6[[#This Row],[Units]]</f>
        <v>0</v>
      </c>
    </row>
    <row r="630" spans="1:20" x14ac:dyDescent="0.2">
      <c r="A630" t="s">
        <v>723</v>
      </c>
      <c r="B630" s="2">
        <v>46040.024659166796</v>
      </c>
      <c r="C630" t="s">
        <v>98</v>
      </c>
      <c r="D630" t="s">
        <v>85</v>
      </c>
      <c r="E630" t="s">
        <v>56</v>
      </c>
      <c r="F630" t="s">
        <v>7</v>
      </c>
      <c r="G630" t="s">
        <v>64</v>
      </c>
      <c r="H630" t="str">
        <f>_xlfn.XLOOKUP(Table6[[#This Row],[SKU]],tblProductMaster[SKU],tblProductMaster[Product])</f>
        <v>Toothbrush</v>
      </c>
      <c r="I630">
        <v>216</v>
      </c>
      <c r="J630">
        <f>_xlfn.XLOOKUP(G630,[1]!tblProductMaster[SKU],[1]!tblProductMaster[List Price])</f>
        <v>3.99</v>
      </c>
      <c r="K630" t="s">
        <v>86</v>
      </c>
      <c r="L630" s="3">
        <v>0</v>
      </c>
      <c r="M630" s="9">
        <f t="shared" si="45"/>
        <v>3.99</v>
      </c>
      <c r="N630" s="8">
        <f t="shared" si="46"/>
        <v>861.84</v>
      </c>
      <c r="O630" s="9">
        <f>_xlfn.XLOOKUP(G630,[1]!tblProductMaster[SKU],[1]!tblProductMaster[Unit Cost])</f>
        <v>1.5</v>
      </c>
      <c r="P630" s="8">
        <f t="shared" si="47"/>
        <v>324</v>
      </c>
      <c r="Q630" s="8">
        <f t="shared" si="48"/>
        <v>537.84</v>
      </c>
      <c r="R630" s="4">
        <f t="shared" si="49"/>
        <v>0.62406015037593987</v>
      </c>
      <c r="S630" t="s">
        <v>87</v>
      </c>
      <c r="T630">
        <f>Table6[[#This Row],[Discount]]*Table6[[#This Row],[List Price]]*Table6[[#This Row],[Units]]</f>
        <v>0</v>
      </c>
    </row>
    <row r="631" spans="1:20" x14ac:dyDescent="0.2">
      <c r="A631" t="s">
        <v>724</v>
      </c>
      <c r="B631" s="2">
        <v>46038.16887078969</v>
      </c>
      <c r="C631" t="s">
        <v>84</v>
      </c>
      <c r="D631" t="s">
        <v>104</v>
      </c>
      <c r="E631" t="s">
        <v>8</v>
      </c>
      <c r="F631" t="s">
        <v>18</v>
      </c>
      <c r="G631" t="s">
        <v>20</v>
      </c>
      <c r="H631" t="str">
        <f>_xlfn.XLOOKUP(Table6[[#This Row],[SKU]],tblProductMaster[SKU],tblProductMaster[Product])</f>
        <v>Hair Oil</v>
      </c>
      <c r="I631">
        <v>1182</v>
      </c>
      <c r="J631">
        <f>_xlfn.XLOOKUP(G631,[1]!tblProductMaster[SKU],[1]!tblProductMaster[List Price])</f>
        <v>7.49</v>
      </c>
      <c r="K631" t="s">
        <v>89</v>
      </c>
      <c r="L631" s="3">
        <v>0.1</v>
      </c>
      <c r="M631" s="9">
        <f t="shared" si="45"/>
        <v>6.7410000000000005</v>
      </c>
      <c r="N631" s="8">
        <f t="shared" si="46"/>
        <v>7967.862000000001</v>
      </c>
      <c r="O631" s="9">
        <f>_xlfn.XLOOKUP(G631,[1]!tblProductMaster[SKU],[1]!tblProductMaster[Unit Cost])</f>
        <v>3.1</v>
      </c>
      <c r="P631" s="8">
        <f t="shared" si="47"/>
        <v>3664.2000000000003</v>
      </c>
      <c r="Q631" s="8">
        <f t="shared" si="48"/>
        <v>4303.6620000000003</v>
      </c>
      <c r="R631" s="4">
        <f t="shared" si="49"/>
        <v>0.54012757751075502</v>
      </c>
      <c r="S631" t="s">
        <v>90</v>
      </c>
      <c r="T631">
        <f>Table6[[#This Row],[Discount]]*Table6[[#This Row],[List Price]]*Table6[[#This Row],[Units]]</f>
        <v>885.3180000000001</v>
      </c>
    </row>
    <row r="632" spans="1:20" x14ac:dyDescent="0.2">
      <c r="A632" t="s">
        <v>725</v>
      </c>
      <c r="B632" s="2">
        <v>46060.577255011973</v>
      </c>
      <c r="C632" t="s">
        <v>84</v>
      </c>
      <c r="D632" t="s">
        <v>85</v>
      </c>
      <c r="E632" t="s">
        <v>25</v>
      </c>
      <c r="F632" t="s">
        <v>15</v>
      </c>
      <c r="G632" t="s">
        <v>35</v>
      </c>
      <c r="H632" t="str">
        <f>_xlfn.XLOOKUP(Table6[[#This Row],[SKU]],tblProductMaster[SKU],tblProductMaster[Product])</f>
        <v>Hand Cream</v>
      </c>
      <c r="I632">
        <v>549</v>
      </c>
      <c r="J632">
        <f>_xlfn.XLOOKUP(G632,[1]!tblProductMaster[SKU],[1]!tblProductMaster[List Price])</f>
        <v>4.99</v>
      </c>
      <c r="K632" t="s">
        <v>89</v>
      </c>
      <c r="L632" s="3">
        <v>0.1</v>
      </c>
      <c r="M632" s="9">
        <f t="shared" si="45"/>
        <v>4.4910000000000005</v>
      </c>
      <c r="N632" s="8">
        <f t="shared" si="46"/>
        <v>2465.5590000000002</v>
      </c>
      <c r="O632" s="9">
        <f>_xlfn.XLOOKUP(G632,[1]!tblProductMaster[SKU],[1]!tblProductMaster[Unit Cost])</f>
        <v>2.1</v>
      </c>
      <c r="P632" s="8">
        <f t="shared" si="47"/>
        <v>1152.9000000000001</v>
      </c>
      <c r="Q632" s="8">
        <f t="shared" si="48"/>
        <v>1312.6590000000001</v>
      </c>
      <c r="R632" s="4">
        <f t="shared" si="49"/>
        <v>0.53239812959251842</v>
      </c>
      <c r="S632" t="s">
        <v>90</v>
      </c>
      <c r="T632">
        <f>Table6[[#This Row],[Discount]]*Table6[[#This Row],[List Price]]*Table6[[#This Row],[Units]]</f>
        <v>273.95100000000002</v>
      </c>
    </row>
    <row r="633" spans="1:20" x14ac:dyDescent="0.2">
      <c r="A633" t="s">
        <v>726</v>
      </c>
      <c r="B633" s="2">
        <v>46240.703589029465</v>
      </c>
      <c r="C633" t="s">
        <v>98</v>
      </c>
      <c r="D633" t="s">
        <v>96</v>
      </c>
      <c r="E633" t="s">
        <v>56</v>
      </c>
      <c r="F633" t="s">
        <v>7</v>
      </c>
      <c r="G633" t="s">
        <v>66</v>
      </c>
      <c r="H633" t="str">
        <f>_xlfn.XLOOKUP(Table6[[#This Row],[SKU]],tblProductMaster[SKU],tblProductMaster[Product])</f>
        <v>Electric Brush Heads</v>
      </c>
      <c r="I633">
        <v>756</v>
      </c>
      <c r="J633">
        <f>_xlfn.XLOOKUP(G633,[1]!tblProductMaster[SKU],[1]!tblProductMaster[List Price])</f>
        <v>12.99</v>
      </c>
      <c r="K633" t="s">
        <v>89</v>
      </c>
      <c r="L633" s="3">
        <v>0.3</v>
      </c>
      <c r="M633" s="9">
        <f t="shared" si="45"/>
        <v>9.093</v>
      </c>
      <c r="N633" s="8">
        <f t="shared" si="46"/>
        <v>6874.308</v>
      </c>
      <c r="O633" s="9">
        <f>_xlfn.XLOOKUP(G633,[1]!tblProductMaster[SKU],[1]!tblProductMaster[Unit Cost])</f>
        <v>5.2</v>
      </c>
      <c r="P633" s="8">
        <f t="shared" si="47"/>
        <v>3931.2000000000003</v>
      </c>
      <c r="Q633" s="8">
        <f t="shared" si="48"/>
        <v>2943.1079999999997</v>
      </c>
      <c r="R633" s="4">
        <f t="shared" si="49"/>
        <v>0.42813152974815788</v>
      </c>
      <c r="S633" t="s">
        <v>99</v>
      </c>
      <c r="T633">
        <f>Table6[[#This Row],[Discount]]*Table6[[#This Row],[List Price]]*Table6[[#This Row],[Units]]</f>
        <v>2946.1320000000001</v>
      </c>
    </row>
    <row r="634" spans="1:20" x14ac:dyDescent="0.2">
      <c r="A634" t="s">
        <v>727</v>
      </c>
      <c r="B634" s="2">
        <v>46244.986695270243</v>
      </c>
      <c r="C634" t="s">
        <v>93</v>
      </c>
      <c r="D634" t="s">
        <v>104</v>
      </c>
      <c r="E634" t="s">
        <v>8</v>
      </c>
      <c r="F634" t="s">
        <v>18</v>
      </c>
      <c r="G634" t="s">
        <v>17</v>
      </c>
      <c r="H634" t="str">
        <f>_xlfn.XLOOKUP(Table6[[#This Row],[SKU]],tblProductMaster[SKU],tblProductMaster[Product])</f>
        <v>Anti-Dandruff Shampoo</v>
      </c>
      <c r="I634">
        <v>429</v>
      </c>
      <c r="J634">
        <f>_xlfn.XLOOKUP(G634,[1]!tblProductMaster[SKU],[1]!tblProductMaster[List Price])</f>
        <v>6.49</v>
      </c>
      <c r="K634" t="s">
        <v>86</v>
      </c>
      <c r="L634" s="3">
        <v>0</v>
      </c>
      <c r="M634" s="9">
        <f t="shared" si="45"/>
        <v>6.49</v>
      </c>
      <c r="N634" s="8">
        <f t="shared" si="46"/>
        <v>2784.21</v>
      </c>
      <c r="O634" s="9">
        <f>_xlfn.XLOOKUP(G634,[1]!tblProductMaster[SKU],[1]!tblProductMaster[Unit Cost])</f>
        <v>2.8</v>
      </c>
      <c r="P634" s="8">
        <f t="shared" si="47"/>
        <v>1201.1999999999998</v>
      </c>
      <c r="Q634" s="8">
        <f t="shared" si="48"/>
        <v>1583.0100000000002</v>
      </c>
      <c r="R634" s="4">
        <f t="shared" si="49"/>
        <v>0.5685670261941449</v>
      </c>
      <c r="S634" t="s">
        <v>87</v>
      </c>
      <c r="T634">
        <f>Table6[[#This Row],[Discount]]*Table6[[#This Row],[List Price]]*Table6[[#This Row],[Units]]</f>
        <v>0</v>
      </c>
    </row>
    <row r="635" spans="1:20" x14ac:dyDescent="0.2">
      <c r="A635" t="s">
        <v>728</v>
      </c>
      <c r="B635" s="2">
        <v>46213.588178486309</v>
      </c>
      <c r="C635" t="s">
        <v>98</v>
      </c>
      <c r="D635" t="s">
        <v>96</v>
      </c>
      <c r="E635" t="s">
        <v>8</v>
      </c>
      <c r="F635" t="s">
        <v>7</v>
      </c>
      <c r="G635" t="s">
        <v>10</v>
      </c>
      <c r="H635" t="str">
        <f>_xlfn.XLOOKUP(Table6[[#This Row],[SKU]],tblProductMaster[SKU],tblProductMaster[Product])</f>
        <v>Shampoo 500ml</v>
      </c>
      <c r="I635">
        <v>782</v>
      </c>
      <c r="J635">
        <f>_xlfn.XLOOKUP(G635,[1]!tblProductMaster[SKU],[1]!tblProductMaster[List Price])</f>
        <v>8.99</v>
      </c>
      <c r="K635" t="s">
        <v>86</v>
      </c>
      <c r="L635" s="3">
        <v>0</v>
      </c>
      <c r="M635" s="9">
        <f t="shared" si="45"/>
        <v>8.99</v>
      </c>
      <c r="N635" s="8">
        <f t="shared" si="46"/>
        <v>7030.18</v>
      </c>
      <c r="O635" s="9">
        <f>_xlfn.XLOOKUP(G635,[1]!tblProductMaster[SKU],[1]!tblProductMaster[Unit Cost])</f>
        <v>3.6</v>
      </c>
      <c r="P635" s="8">
        <f t="shared" si="47"/>
        <v>2815.2000000000003</v>
      </c>
      <c r="Q635" s="8">
        <f t="shared" si="48"/>
        <v>4214.9799999999996</v>
      </c>
      <c r="R635" s="4">
        <f t="shared" si="49"/>
        <v>0.59955506117908774</v>
      </c>
      <c r="S635" t="s">
        <v>87</v>
      </c>
      <c r="T635">
        <f>Table6[[#This Row],[Discount]]*Table6[[#This Row],[List Price]]*Table6[[#This Row],[Units]]</f>
        <v>0</v>
      </c>
    </row>
    <row r="636" spans="1:20" x14ac:dyDescent="0.2">
      <c r="A636" t="s">
        <v>729</v>
      </c>
      <c r="B636" s="2">
        <v>46042.602149754799</v>
      </c>
      <c r="C636" t="s">
        <v>84</v>
      </c>
      <c r="D636" t="s">
        <v>85</v>
      </c>
      <c r="E636" t="s">
        <v>8</v>
      </c>
      <c r="F636" t="s">
        <v>18</v>
      </c>
      <c r="G636" t="s">
        <v>17</v>
      </c>
      <c r="H636" t="str">
        <f>_xlfn.XLOOKUP(Table6[[#This Row],[SKU]],tblProductMaster[SKU],tblProductMaster[Product])</f>
        <v>Anti-Dandruff Shampoo</v>
      </c>
      <c r="I636">
        <v>346</v>
      </c>
      <c r="J636">
        <f>_xlfn.XLOOKUP(G636,[1]!tblProductMaster[SKU],[1]!tblProductMaster[List Price])</f>
        <v>6.49</v>
      </c>
      <c r="K636" t="s">
        <v>86</v>
      </c>
      <c r="L636" s="3">
        <v>0</v>
      </c>
      <c r="M636" s="9">
        <f t="shared" si="45"/>
        <v>6.49</v>
      </c>
      <c r="N636" s="8">
        <f t="shared" si="46"/>
        <v>2245.54</v>
      </c>
      <c r="O636" s="9">
        <f>_xlfn.XLOOKUP(G636,[1]!tblProductMaster[SKU],[1]!tblProductMaster[Unit Cost])</f>
        <v>2.8</v>
      </c>
      <c r="P636" s="8">
        <f t="shared" si="47"/>
        <v>968.8</v>
      </c>
      <c r="Q636" s="8">
        <f t="shared" si="48"/>
        <v>1276.74</v>
      </c>
      <c r="R636" s="4">
        <f t="shared" si="49"/>
        <v>0.5685670261941449</v>
      </c>
      <c r="S636" t="s">
        <v>87</v>
      </c>
      <c r="T636">
        <f>Table6[[#This Row],[Discount]]*Table6[[#This Row],[List Price]]*Table6[[#This Row],[Units]]</f>
        <v>0</v>
      </c>
    </row>
    <row r="637" spans="1:20" x14ac:dyDescent="0.2">
      <c r="A637" t="s">
        <v>730</v>
      </c>
      <c r="B637" s="2">
        <v>46322.749959877932</v>
      </c>
      <c r="C637" t="s">
        <v>98</v>
      </c>
      <c r="D637" t="s">
        <v>104</v>
      </c>
      <c r="E637" t="s">
        <v>25</v>
      </c>
      <c r="F637" t="s">
        <v>18</v>
      </c>
      <c r="G637" t="s">
        <v>37</v>
      </c>
      <c r="H637" t="str">
        <f>_xlfn.XLOOKUP(Table6[[#This Row],[SKU]],tblProductMaster[SKU],tblProductMaster[Product])</f>
        <v>Body Wash</v>
      </c>
      <c r="I637">
        <v>777</v>
      </c>
      <c r="J637">
        <f>_xlfn.XLOOKUP(G637,[1]!tblProductMaster[SKU],[1]!tblProductMaster[List Price])</f>
        <v>5.49</v>
      </c>
      <c r="K637" t="s">
        <v>86</v>
      </c>
      <c r="L637" s="3">
        <v>0</v>
      </c>
      <c r="M637" s="9">
        <f t="shared" si="45"/>
        <v>5.49</v>
      </c>
      <c r="N637" s="8">
        <f t="shared" si="46"/>
        <v>4265.7300000000005</v>
      </c>
      <c r="O637" s="9">
        <f>_xlfn.XLOOKUP(G637,[1]!tblProductMaster[SKU],[1]!tblProductMaster[Unit Cost])</f>
        <v>2.2999999999999998</v>
      </c>
      <c r="P637" s="8">
        <f t="shared" si="47"/>
        <v>1787.1</v>
      </c>
      <c r="Q637" s="8">
        <f t="shared" si="48"/>
        <v>2478.6300000000006</v>
      </c>
      <c r="R637" s="4">
        <f t="shared" si="49"/>
        <v>0.58105646630236796</v>
      </c>
      <c r="S637" t="s">
        <v>87</v>
      </c>
      <c r="T637">
        <f>Table6[[#This Row],[Discount]]*Table6[[#This Row],[List Price]]*Table6[[#This Row],[Units]]</f>
        <v>0</v>
      </c>
    </row>
    <row r="638" spans="1:20" x14ac:dyDescent="0.2">
      <c r="A638" t="s">
        <v>731</v>
      </c>
      <c r="B638" s="2">
        <v>46336.247512460461</v>
      </c>
      <c r="C638" t="s">
        <v>93</v>
      </c>
      <c r="D638" t="s">
        <v>85</v>
      </c>
      <c r="E638" t="s">
        <v>8</v>
      </c>
      <c r="F638" t="s">
        <v>18</v>
      </c>
      <c r="G638" t="s">
        <v>17</v>
      </c>
      <c r="H638" t="str">
        <f>_xlfn.XLOOKUP(Table6[[#This Row],[SKU]],tblProductMaster[SKU],tblProductMaster[Product])</f>
        <v>Anti-Dandruff Shampoo</v>
      </c>
      <c r="I638">
        <v>668</v>
      </c>
      <c r="J638">
        <f>_xlfn.XLOOKUP(G638,[1]!tblProductMaster[SKU],[1]!tblProductMaster[List Price])</f>
        <v>6.49</v>
      </c>
      <c r="K638" t="s">
        <v>86</v>
      </c>
      <c r="L638" s="3">
        <v>0</v>
      </c>
      <c r="M638" s="9">
        <f t="shared" si="45"/>
        <v>6.49</v>
      </c>
      <c r="N638" s="8">
        <f t="shared" si="46"/>
        <v>4335.32</v>
      </c>
      <c r="O638" s="9">
        <f>_xlfn.XLOOKUP(G638,[1]!tblProductMaster[SKU],[1]!tblProductMaster[Unit Cost])</f>
        <v>2.8</v>
      </c>
      <c r="P638" s="8">
        <f t="shared" si="47"/>
        <v>1870.3999999999999</v>
      </c>
      <c r="Q638" s="8">
        <f t="shared" si="48"/>
        <v>2464.92</v>
      </c>
      <c r="R638" s="4">
        <f t="shared" si="49"/>
        <v>0.5685670261941449</v>
      </c>
      <c r="S638" t="s">
        <v>87</v>
      </c>
      <c r="T638">
        <f>Table6[[#This Row],[Discount]]*Table6[[#This Row],[List Price]]*Table6[[#This Row],[Units]]</f>
        <v>0</v>
      </c>
    </row>
    <row r="639" spans="1:20" x14ac:dyDescent="0.2">
      <c r="A639" t="s">
        <v>732</v>
      </c>
      <c r="B639" s="2">
        <v>46341.924693464498</v>
      </c>
      <c r="C639" t="s">
        <v>93</v>
      </c>
      <c r="D639" t="s">
        <v>104</v>
      </c>
      <c r="E639" t="s">
        <v>8</v>
      </c>
      <c r="F639" t="s">
        <v>7</v>
      </c>
      <c r="G639" t="s">
        <v>6</v>
      </c>
      <c r="H639" t="str">
        <f>_xlfn.XLOOKUP(Table6[[#This Row],[SKU]],tblProductMaster[SKU],tblProductMaster[Product])</f>
        <v>Shampoo 250ml</v>
      </c>
      <c r="I639">
        <v>420</v>
      </c>
      <c r="J639">
        <f>_xlfn.XLOOKUP(G639,[1]!tblProductMaster[SKU],[1]!tblProductMaster[List Price])</f>
        <v>5.99</v>
      </c>
      <c r="K639" t="s">
        <v>86</v>
      </c>
      <c r="L639" s="3">
        <v>0</v>
      </c>
      <c r="M639" s="9">
        <f t="shared" si="45"/>
        <v>5.99</v>
      </c>
      <c r="N639" s="8">
        <f t="shared" si="46"/>
        <v>2515.8000000000002</v>
      </c>
      <c r="O639" s="9">
        <f>_xlfn.XLOOKUP(G639,[1]!tblProductMaster[SKU],[1]!tblProductMaster[Unit Cost])</f>
        <v>2.4</v>
      </c>
      <c r="P639" s="8">
        <f t="shared" si="47"/>
        <v>1008</v>
      </c>
      <c r="Q639" s="8">
        <f t="shared" si="48"/>
        <v>1507.8000000000002</v>
      </c>
      <c r="R639" s="4">
        <f t="shared" si="49"/>
        <v>0.59933222036727885</v>
      </c>
      <c r="S639" t="s">
        <v>87</v>
      </c>
      <c r="T639">
        <f>Table6[[#This Row],[Discount]]*Table6[[#This Row],[List Price]]*Table6[[#This Row],[Units]]</f>
        <v>0</v>
      </c>
    </row>
    <row r="640" spans="1:20" x14ac:dyDescent="0.2">
      <c r="A640" t="s">
        <v>733</v>
      </c>
      <c r="B640" s="2">
        <v>46332.698248596775</v>
      </c>
      <c r="C640" t="s">
        <v>98</v>
      </c>
      <c r="D640" t="s">
        <v>85</v>
      </c>
      <c r="E640" t="s">
        <v>40</v>
      </c>
      <c r="F640" t="s">
        <v>18</v>
      </c>
      <c r="G640" t="s">
        <v>50</v>
      </c>
      <c r="H640" t="str">
        <f>_xlfn.XLOOKUP(Table6[[#This Row],[SKU]],tblProductMaster[SKU],tblProductMaster[Product])</f>
        <v>Sensitive Detergent</v>
      </c>
      <c r="I640">
        <v>421</v>
      </c>
      <c r="J640">
        <f>_xlfn.XLOOKUP(G640,[1]!tblProductMaster[SKU],[1]!tblProductMaster[List Price])</f>
        <v>8.99</v>
      </c>
      <c r="K640" t="s">
        <v>86</v>
      </c>
      <c r="L640" s="3">
        <v>0</v>
      </c>
      <c r="M640" s="9">
        <f t="shared" si="45"/>
        <v>8.99</v>
      </c>
      <c r="N640" s="8">
        <f t="shared" si="46"/>
        <v>3784.79</v>
      </c>
      <c r="O640" s="9">
        <f>_xlfn.XLOOKUP(G640,[1]!tblProductMaster[SKU],[1]!tblProductMaster[Unit Cost])</f>
        <v>4</v>
      </c>
      <c r="P640" s="8">
        <f t="shared" si="47"/>
        <v>1684</v>
      </c>
      <c r="Q640" s="8">
        <f t="shared" si="48"/>
        <v>2100.79</v>
      </c>
      <c r="R640" s="4">
        <f t="shared" si="49"/>
        <v>0.55506117908787544</v>
      </c>
      <c r="S640" t="s">
        <v>87</v>
      </c>
      <c r="T640">
        <f>Table6[[#This Row],[Discount]]*Table6[[#This Row],[List Price]]*Table6[[#This Row],[Units]]</f>
        <v>0</v>
      </c>
    </row>
    <row r="641" spans="1:20" x14ac:dyDescent="0.2">
      <c r="A641" t="s">
        <v>734</v>
      </c>
      <c r="B641" s="2">
        <v>46126.597438873578</v>
      </c>
      <c r="C641" t="s">
        <v>93</v>
      </c>
      <c r="D641" t="s">
        <v>96</v>
      </c>
      <c r="E641" t="s">
        <v>40</v>
      </c>
      <c r="F641" t="s">
        <v>15</v>
      </c>
      <c r="G641" t="s">
        <v>39</v>
      </c>
      <c r="H641" t="str">
        <f>_xlfn.XLOOKUP(Table6[[#This Row],[SKU]],tblProductMaster[SKU],tblProductMaster[Product])</f>
        <v>Detergent 1L</v>
      </c>
      <c r="I641">
        <v>472</v>
      </c>
      <c r="J641">
        <f>_xlfn.XLOOKUP(G641,[1]!tblProductMaster[SKU],[1]!tblProductMaster[List Price])</f>
        <v>8.49</v>
      </c>
      <c r="K641" t="s">
        <v>86</v>
      </c>
      <c r="L641" s="3">
        <v>0</v>
      </c>
      <c r="M641" s="9">
        <f t="shared" si="45"/>
        <v>8.49</v>
      </c>
      <c r="N641" s="8">
        <f t="shared" si="46"/>
        <v>4007.28</v>
      </c>
      <c r="O641" s="9">
        <f>_xlfn.XLOOKUP(G641,[1]!tblProductMaster[SKU],[1]!tblProductMaster[Unit Cost])</f>
        <v>3.8</v>
      </c>
      <c r="P641" s="8">
        <f t="shared" si="47"/>
        <v>1793.6</v>
      </c>
      <c r="Q641" s="8">
        <f t="shared" si="48"/>
        <v>2213.6800000000003</v>
      </c>
      <c r="R641" s="4">
        <f t="shared" si="49"/>
        <v>0.55241460541813903</v>
      </c>
      <c r="S641" t="s">
        <v>87</v>
      </c>
      <c r="T641">
        <f>Table6[[#This Row],[Discount]]*Table6[[#This Row],[List Price]]*Table6[[#This Row],[Units]]</f>
        <v>0</v>
      </c>
    </row>
    <row r="642" spans="1:20" x14ac:dyDescent="0.2">
      <c r="A642" t="s">
        <v>735</v>
      </c>
      <c r="B642" s="2">
        <v>46143.857326959696</v>
      </c>
      <c r="C642" t="s">
        <v>84</v>
      </c>
      <c r="D642" t="s">
        <v>96</v>
      </c>
      <c r="E642" t="s">
        <v>56</v>
      </c>
      <c r="F642" t="s">
        <v>18</v>
      </c>
      <c r="G642" t="s">
        <v>68</v>
      </c>
      <c r="H642" t="str">
        <f>_xlfn.XLOOKUP(Table6[[#This Row],[SKU]],tblProductMaster[SKU],tblProductMaster[Product])</f>
        <v>Kids Toothpaste</v>
      </c>
      <c r="I642">
        <v>482</v>
      </c>
      <c r="J642">
        <f>_xlfn.XLOOKUP(G642,[1]!tblProductMaster[SKU],[1]!tblProductMaster[List Price])</f>
        <v>3.29</v>
      </c>
      <c r="K642" t="s">
        <v>89</v>
      </c>
      <c r="L642" s="3">
        <v>0.2</v>
      </c>
      <c r="M642" s="9">
        <f t="shared" si="45"/>
        <v>2.6320000000000001</v>
      </c>
      <c r="N642" s="8">
        <f t="shared" si="46"/>
        <v>1268.624</v>
      </c>
      <c r="O642" s="9">
        <f>_xlfn.XLOOKUP(G642,[1]!tblProductMaster[SKU],[1]!tblProductMaster[Unit Cost])</f>
        <v>1.1000000000000001</v>
      </c>
      <c r="P642" s="8">
        <f t="shared" si="47"/>
        <v>530.20000000000005</v>
      </c>
      <c r="Q642" s="8">
        <f t="shared" si="48"/>
        <v>738.42399999999998</v>
      </c>
      <c r="R642" s="4">
        <f t="shared" si="49"/>
        <v>0.58206686930091178</v>
      </c>
      <c r="S642" t="s">
        <v>94</v>
      </c>
      <c r="T642">
        <f>Table6[[#This Row],[Discount]]*Table6[[#This Row],[List Price]]*Table6[[#This Row],[Units]]</f>
        <v>317.15600000000001</v>
      </c>
    </row>
    <row r="643" spans="1:20" x14ac:dyDescent="0.2">
      <c r="A643" t="s">
        <v>736</v>
      </c>
      <c r="B643" s="2">
        <v>46088.700510491159</v>
      </c>
      <c r="C643" t="s">
        <v>93</v>
      </c>
      <c r="D643" t="s">
        <v>96</v>
      </c>
      <c r="E643" t="s">
        <v>40</v>
      </c>
      <c r="F643" t="s">
        <v>15</v>
      </c>
      <c r="G643" t="s">
        <v>39</v>
      </c>
      <c r="H643" t="str">
        <f>_xlfn.XLOOKUP(Table6[[#This Row],[SKU]],tblProductMaster[SKU],tblProductMaster[Product])</f>
        <v>Detergent 1L</v>
      </c>
      <c r="I643">
        <v>500</v>
      </c>
      <c r="J643">
        <f>_xlfn.XLOOKUP(G643,[1]!tblProductMaster[SKU],[1]!tblProductMaster[List Price])</f>
        <v>8.49</v>
      </c>
      <c r="K643" t="s">
        <v>86</v>
      </c>
      <c r="L643" s="3">
        <v>0</v>
      </c>
      <c r="M643" s="9">
        <f t="shared" ref="M643:M706" si="50">J643*(1-L643)</f>
        <v>8.49</v>
      </c>
      <c r="N643" s="8">
        <f t="shared" ref="N643:N706" si="51">M643*I643</f>
        <v>4245</v>
      </c>
      <c r="O643" s="9">
        <f>_xlfn.XLOOKUP(G643,[1]!tblProductMaster[SKU],[1]!tblProductMaster[Unit Cost])</f>
        <v>3.8</v>
      </c>
      <c r="P643" s="8">
        <f t="shared" ref="P643:P706" si="52">O643*I643</f>
        <v>1900</v>
      </c>
      <c r="Q643" s="8">
        <f t="shared" ref="Q643:Q706" si="53">N643-P643</f>
        <v>2345</v>
      </c>
      <c r="R643" s="4">
        <f t="shared" ref="R643:R706" si="54">Q643/N643</f>
        <v>0.55241460541813903</v>
      </c>
      <c r="S643" t="s">
        <v>87</v>
      </c>
      <c r="T643">
        <f>Table6[[#This Row],[Discount]]*Table6[[#This Row],[List Price]]*Table6[[#This Row],[Units]]</f>
        <v>0</v>
      </c>
    </row>
    <row r="644" spans="1:20" x14ac:dyDescent="0.2">
      <c r="A644" t="s">
        <v>737</v>
      </c>
      <c r="B644" s="2">
        <v>46061.86197312783</v>
      </c>
      <c r="C644" t="s">
        <v>84</v>
      </c>
      <c r="D644" t="s">
        <v>104</v>
      </c>
      <c r="E644" t="s">
        <v>25</v>
      </c>
      <c r="F644" t="s">
        <v>7</v>
      </c>
      <c r="G644" t="s">
        <v>24</v>
      </c>
      <c r="H644" t="str">
        <f>_xlfn.XLOOKUP(Table6[[#This Row],[SKU]],tblProductMaster[SKU],tblProductMaster[Product])</f>
        <v>Body Lotion 400ml</v>
      </c>
      <c r="I644">
        <v>313</v>
      </c>
      <c r="J644">
        <f>_xlfn.XLOOKUP(G644,[1]!tblProductMaster[SKU],[1]!tblProductMaster[List Price])</f>
        <v>7.99</v>
      </c>
      <c r="K644" t="s">
        <v>86</v>
      </c>
      <c r="L644" s="3">
        <v>0</v>
      </c>
      <c r="M644" s="9">
        <f t="shared" si="50"/>
        <v>7.99</v>
      </c>
      <c r="N644" s="8">
        <f t="shared" si="51"/>
        <v>2500.87</v>
      </c>
      <c r="O644" s="9">
        <f>_xlfn.XLOOKUP(G644,[1]!tblProductMaster[SKU],[1]!tblProductMaster[Unit Cost])</f>
        <v>3.1</v>
      </c>
      <c r="P644" s="8">
        <f t="shared" si="52"/>
        <v>970.30000000000007</v>
      </c>
      <c r="Q644" s="8">
        <f t="shared" si="53"/>
        <v>1530.5699999999997</v>
      </c>
      <c r="R644" s="4">
        <f t="shared" si="54"/>
        <v>0.61201501877346676</v>
      </c>
      <c r="S644" t="s">
        <v>87</v>
      </c>
      <c r="T644">
        <f>Table6[[#This Row],[Discount]]*Table6[[#This Row],[List Price]]*Table6[[#This Row],[Units]]</f>
        <v>0</v>
      </c>
    </row>
    <row r="645" spans="1:20" x14ac:dyDescent="0.2">
      <c r="A645" t="s">
        <v>738</v>
      </c>
      <c r="B645" s="2">
        <v>46291.942589559163</v>
      </c>
      <c r="C645" t="s">
        <v>93</v>
      </c>
      <c r="D645" t="s">
        <v>104</v>
      </c>
      <c r="E645" t="s">
        <v>40</v>
      </c>
      <c r="F645" t="s">
        <v>18</v>
      </c>
      <c r="G645" t="s">
        <v>50</v>
      </c>
      <c r="H645" t="str">
        <f>_xlfn.XLOOKUP(Table6[[#This Row],[SKU]],tblProductMaster[SKU],tblProductMaster[Product])</f>
        <v>Sensitive Detergent</v>
      </c>
      <c r="I645">
        <v>411</v>
      </c>
      <c r="J645">
        <f>_xlfn.XLOOKUP(G645,[1]!tblProductMaster[SKU],[1]!tblProductMaster[List Price])</f>
        <v>8.99</v>
      </c>
      <c r="K645" t="s">
        <v>86</v>
      </c>
      <c r="L645" s="3">
        <v>0</v>
      </c>
      <c r="M645" s="9">
        <f t="shared" si="50"/>
        <v>8.99</v>
      </c>
      <c r="N645" s="8">
        <f t="shared" si="51"/>
        <v>3694.89</v>
      </c>
      <c r="O645" s="9">
        <f>_xlfn.XLOOKUP(G645,[1]!tblProductMaster[SKU],[1]!tblProductMaster[Unit Cost])</f>
        <v>4</v>
      </c>
      <c r="P645" s="8">
        <f t="shared" si="52"/>
        <v>1644</v>
      </c>
      <c r="Q645" s="8">
        <f t="shared" si="53"/>
        <v>2050.89</v>
      </c>
      <c r="R645" s="4">
        <f t="shared" si="54"/>
        <v>0.55506117908787544</v>
      </c>
      <c r="S645" t="s">
        <v>87</v>
      </c>
      <c r="T645">
        <f>Table6[[#This Row],[Discount]]*Table6[[#This Row],[List Price]]*Table6[[#This Row],[Units]]</f>
        <v>0</v>
      </c>
    </row>
    <row r="646" spans="1:20" x14ac:dyDescent="0.2">
      <c r="A646" t="s">
        <v>739</v>
      </c>
      <c r="B646" s="2">
        <v>46379.450306503393</v>
      </c>
      <c r="C646" t="s">
        <v>84</v>
      </c>
      <c r="D646" t="s">
        <v>104</v>
      </c>
      <c r="E646" t="s">
        <v>56</v>
      </c>
      <c r="F646" t="s">
        <v>18</v>
      </c>
      <c r="G646" t="s">
        <v>68</v>
      </c>
      <c r="H646" t="str">
        <f>_xlfn.XLOOKUP(Table6[[#This Row],[SKU]],tblProductMaster[SKU],tblProductMaster[Product])</f>
        <v>Kids Toothpaste</v>
      </c>
      <c r="I646">
        <v>536</v>
      </c>
      <c r="J646">
        <f>_xlfn.XLOOKUP(G646,[1]!tblProductMaster[SKU],[1]!tblProductMaster[List Price])</f>
        <v>3.29</v>
      </c>
      <c r="K646" t="s">
        <v>89</v>
      </c>
      <c r="L646" s="3">
        <v>0.1</v>
      </c>
      <c r="M646" s="9">
        <f t="shared" si="50"/>
        <v>2.9610000000000003</v>
      </c>
      <c r="N646" s="8">
        <f t="shared" si="51"/>
        <v>1587.0960000000002</v>
      </c>
      <c r="O646" s="9">
        <f>_xlfn.XLOOKUP(G646,[1]!tblProductMaster[SKU],[1]!tblProductMaster[Unit Cost])</f>
        <v>1.1000000000000001</v>
      </c>
      <c r="P646" s="8">
        <f t="shared" si="52"/>
        <v>589.6</v>
      </c>
      <c r="Q646" s="8">
        <f t="shared" si="53"/>
        <v>997.49600000000021</v>
      </c>
      <c r="R646" s="4">
        <f t="shared" si="54"/>
        <v>0.62850388382303279</v>
      </c>
      <c r="S646" t="s">
        <v>99</v>
      </c>
      <c r="T646">
        <f>Table6[[#This Row],[Discount]]*Table6[[#This Row],[List Price]]*Table6[[#This Row],[Units]]</f>
        <v>176.34399999999999</v>
      </c>
    </row>
    <row r="647" spans="1:20" x14ac:dyDescent="0.2">
      <c r="A647" t="s">
        <v>740</v>
      </c>
      <c r="B647" s="2">
        <v>46119.189592183982</v>
      </c>
      <c r="C647" t="s">
        <v>93</v>
      </c>
      <c r="D647" t="s">
        <v>104</v>
      </c>
      <c r="E647" t="s">
        <v>56</v>
      </c>
      <c r="F647" t="s">
        <v>18</v>
      </c>
      <c r="G647" t="s">
        <v>68</v>
      </c>
      <c r="H647" t="str">
        <f>_xlfn.XLOOKUP(Table6[[#This Row],[SKU]],tblProductMaster[SKU],tblProductMaster[Product])</f>
        <v>Kids Toothpaste</v>
      </c>
      <c r="I647">
        <v>377</v>
      </c>
      <c r="J647">
        <f>_xlfn.XLOOKUP(G647,[1]!tblProductMaster[SKU],[1]!tblProductMaster[List Price])</f>
        <v>3.29</v>
      </c>
      <c r="K647" t="s">
        <v>86</v>
      </c>
      <c r="L647" s="3">
        <v>0</v>
      </c>
      <c r="M647" s="9">
        <f t="shared" si="50"/>
        <v>3.29</v>
      </c>
      <c r="N647" s="8">
        <f t="shared" si="51"/>
        <v>1240.33</v>
      </c>
      <c r="O647" s="9">
        <f>_xlfn.XLOOKUP(G647,[1]!tblProductMaster[SKU],[1]!tblProductMaster[Unit Cost])</f>
        <v>1.1000000000000001</v>
      </c>
      <c r="P647" s="8">
        <f t="shared" si="52"/>
        <v>414.70000000000005</v>
      </c>
      <c r="Q647" s="8">
        <f t="shared" si="53"/>
        <v>825.62999999999988</v>
      </c>
      <c r="R647" s="4">
        <f t="shared" si="54"/>
        <v>0.66565349544072938</v>
      </c>
      <c r="S647" t="s">
        <v>87</v>
      </c>
      <c r="T647">
        <f>Table6[[#This Row],[Discount]]*Table6[[#This Row],[List Price]]*Table6[[#This Row],[Units]]</f>
        <v>0</v>
      </c>
    </row>
    <row r="648" spans="1:20" x14ac:dyDescent="0.2">
      <c r="A648" t="s">
        <v>741</v>
      </c>
      <c r="B648" s="2">
        <v>46281.02614519577</v>
      </c>
      <c r="C648" t="s">
        <v>98</v>
      </c>
      <c r="D648" t="s">
        <v>85</v>
      </c>
      <c r="E648" t="s">
        <v>25</v>
      </c>
      <c r="F648" t="s">
        <v>15</v>
      </c>
      <c r="G648" t="s">
        <v>35</v>
      </c>
      <c r="H648" t="str">
        <f>_xlfn.XLOOKUP(Table6[[#This Row],[SKU]],tblProductMaster[SKU],tblProductMaster[Product])</f>
        <v>Hand Cream</v>
      </c>
      <c r="I648">
        <v>1088</v>
      </c>
      <c r="J648">
        <f>_xlfn.XLOOKUP(G648,[1]!tblProductMaster[SKU],[1]!tblProductMaster[List Price])</f>
        <v>4.99</v>
      </c>
      <c r="K648" t="s">
        <v>89</v>
      </c>
      <c r="L648" s="3">
        <v>0.3</v>
      </c>
      <c r="M648" s="9">
        <f t="shared" si="50"/>
        <v>3.4929999999999999</v>
      </c>
      <c r="N648" s="8">
        <f t="shared" si="51"/>
        <v>3800.384</v>
      </c>
      <c r="O648" s="9">
        <f>_xlfn.XLOOKUP(G648,[1]!tblProductMaster[SKU],[1]!tblProductMaster[Unit Cost])</f>
        <v>2.1</v>
      </c>
      <c r="P648" s="8">
        <f t="shared" si="52"/>
        <v>2284.8000000000002</v>
      </c>
      <c r="Q648" s="8">
        <f t="shared" si="53"/>
        <v>1515.5839999999998</v>
      </c>
      <c r="R648" s="4">
        <f t="shared" si="54"/>
        <v>0.39879759519038072</v>
      </c>
      <c r="S648" t="s">
        <v>90</v>
      </c>
      <c r="T648">
        <f>Table6[[#This Row],[Discount]]*Table6[[#This Row],[List Price]]*Table6[[#This Row],[Units]]</f>
        <v>1628.7360000000001</v>
      </c>
    </row>
    <row r="649" spans="1:20" x14ac:dyDescent="0.2">
      <c r="A649" t="s">
        <v>742</v>
      </c>
      <c r="B649" s="2">
        <v>46352.643484201923</v>
      </c>
      <c r="C649" t="s">
        <v>93</v>
      </c>
      <c r="D649" t="s">
        <v>85</v>
      </c>
      <c r="E649" t="s">
        <v>25</v>
      </c>
      <c r="F649" t="s">
        <v>18</v>
      </c>
      <c r="G649" t="s">
        <v>27</v>
      </c>
      <c r="H649" t="str">
        <f>_xlfn.XLOOKUP(Table6[[#This Row],[SKU]],tblProductMaster[SKU],tblProductMaster[Product])</f>
        <v>Face Cream 50ml</v>
      </c>
      <c r="I649">
        <v>361</v>
      </c>
      <c r="J649">
        <f>_xlfn.XLOOKUP(G649,[1]!tblProductMaster[SKU],[1]!tblProductMaster[List Price])</f>
        <v>9.99</v>
      </c>
      <c r="K649" t="s">
        <v>86</v>
      </c>
      <c r="L649" s="3">
        <v>0</v>
      </c>
      <c r="M649" s="9">
        <f t="shared" si="50"/>
        <v>9.99</v>
      </c>
      <c r="N649" s="8">
        <f t="shared" si="51"/>
        <v>3606.39</v>
      </c>
      <c r="O649" s="9">
        <f>_xlfn.XLOOKUP(G649,[1]!tblProductMaster[SKU],[1]!tblProductMaster[Unit Cost])</f>
        <v>4.2</v>
      </c>
      <c r="P649" s="8">
        <f t="shared" si="52"/>
        <v>1516.2</v>
      </c>
      <c r="Q649" s="8">
        <f t="shared" si="53"/>
        <v>2090.1899999999996</v>
      </c>
      <c r="R649" s="4">
        <f t="shared" si="54"/>
        <v>0.57957957957957951</v>
      </c>
      <c r="S649" t="s">
        <v>87</v>
      </c>
      <c r="T649">
        <f>Table6[[#This Row],[Discount]]*Table6[[#This Row],[List Price]]*Table6[[#This Row],[Units]]</f>
        <v>0</v>
      </c>
    </row>
    <row r="650" spans="1:20" x14ac:dyDescent="0.2">
      <c r="A650" t="s">
        <v>743</v>
      </c>
      <c r="B650" s="2">
        <v>46204.789698722721</v>
      </c>
      <c r="C650" t="s">
        <v>84</v>
      </c>
      <c r="D650" t="s">
        <v>96</v>
      </c>
      <c r="E650" t="s">
        <v>25</v>
      </c>
      <c r="F650" t="s">
        <v>7</v>
      </c>
      <c r="G650" t="s">
        <v>33</v>
      </c>
      <c r="H650" t="str">
        <f>_xlfn.XLOOKUP(Table6[[#This Row],[SKU]],tblProductMaster[SKU],tblProductMaster[Product])</f>
        <v>Sunscreen 200ml</v>
      </c>
      <c r="I650">
        <v>447</v>
      </c>
      <c r="J650">
        <f>_xlfn.XLOOKUP(G650,[1]!tblProductMaster[SKU],[1]!tblProductMaster[List Price])</f>
        <v>10.99</v>
      </c>
      <c r="K650" t="s">
        <v>86</v>
      </c>
      <c r="L650" s="3">
        <v>0</v>
      </c>
      <c r="M650" s="9">
        <f t="shared" si="50"/>
        <v>10.99</v>
      </c>
      <c r="N650" s="8">
        <f t="shared" si="51"/>
        <v>4912.53</v>
      </c>
      <c r="O650" s="9">
        <f>_xlfn.XLOOKUP(G650,[1]!tblProductMaster[SKU],[1]!tblProductMaster[Unit Cost])</f>
        <v>4.5999999999999996</v>
      </c>
      <c r="P650" s="8">
        <f t="shared" si="52"/>
        <v>2056.1999999999998</v>
      </c>
      <c r="Q650" s="8">
        <f t="shared" si="53"/>
        <v>2856.33</v>
      </c>
      <c r="R650" s="4">
        <f t="shared" si="54"/>
        <v>0.58143767060964513</v>
      </c>
      <c r="S650" t="s">
        <v>87</v>
      </c>
      <c r="T650">
        <f>Table6[[#This Row],[Discount]]*Table6[[#This Row],[List Price]]*Table6[[#This Row],[Units]]</f>
        <v>0</v>
      </c>
    </row>
    <row r="651" spans="1:20" x14ac:dyDescent="0.2">
      <c r="A651" t="s">
        <v>744</v>
      </c>
      <c r="B651" s="2">
        <v>46033.704098312184</v>
      </c>
      <c r="C651" t="s">
        <v>93</v>
      </c>
      <c r="D651" t="s">
        <v>85</v>
      </c>
      <c r="E651" t="s">
        <v>8</v>
      </c>
      <c r="F651" t="s">
        <v>18</v>
      </c>
      <c r="G651" t="s">
        <v>20</v>
      </c>
      <c r="H651" t="str">
        <f>_xlfn.XLOOKUP(Table6[[#This Row],[SKU]],tblProductMaster[SKU],tblProductMaster[Product])</f>
        <v>Hair Oil</v>
      </c>
      <c r="I651">
        <v>622</v>
      </c>
      <c r="J651">
        <f>_xlfn.XLOOKUP(G651,[1]!tblProductMaster[SKU],[1]!tblProductMaster[List Price])</f>
        <v>7.49</v>
      </c>
      <c r="K651" t="s">
        <v>86</v>
      </c>
      <c r="L651" s="3">
        <v>0</v>
      </c>
      <c r="M651" s="9">
        <f t="shared" si="50"/>
        <v>7.49</v>
      </c>
      <c r="N651" s="8">
        <f t="shared" si="51"/>
        <v>4658.78</v>
      </c>
      <c r="O651" s="9">
        <f>_xlfn.XLOOKUP(G651,[1]!tblProductMaster[SKU],[1]!tblProductMaster[Unit Cost])</f>
        <v>3.1</v>
      </c>
      <c r="P651" s="8">
        <f t="shared" si="52"/>
        <v>1928.2</v>
      </c>
      <c r="Q651" s="8">
        <f t="shared" si="53"/>
        <v>2730.58</v>
      </c>
      <c r="R651" s="4">
        <f t="shared" si="54"/>
        <v>0.58611481975967961</v>
      </c>
      <c r="S651" t="s">
        <v>87</v>
      </c>
      <c r="T651">
        <f>Table6[[#This Row],[Discount]]*Table6[[#This Row],[List Price]]*Table6[[#This Row],[Units]]</f>
        <v>0</v>
      </c>
    </row>
    <row r="652" spans="1:20" x14ac:dyDescent="0.2">
      <c r="A652" t="s">
        <v>745</v>
      </c>
      <c r="B652" s="2">
        <v>46205.388748368772</v>
      </c>
      <c r="C652" t="s">
        <v>93</v>
      </c>
      <c r="D652" t="s">
        <v>104</v>
      </c>
      <c r="E652" t="s">
        <v>25</v>
      </c>
      <c r="F652" t="s">
        <v>18</v>
      </c>
      <c r="G652" t="s">
        <v>27</v>
      </c>
      <c r="H652" t="str">
        <f>_xlfn.XLOOKUP(Table6[[#This Row],[SKU]],tblProductMaster[SKU],tblProductMaster[Product])</f>
        <v>Face Cream 50ml</v>
      </c>
      <c r="I652">
        <v>547</v>
      </c>
      <c r="J652">
        <f>_xlfn.XLOOKUP(G652,[1]!tblProductMaster[SKU],[1]!tblProductMaster[List Price])</f>
        <v>9.99</v>
      </c>
      <c r="K652" t="s">
        <v>86</v>
      </c>
      <c r="L652" s="3">
        <v>0</v>
      </c>
      <c r="M652" s="9">
        <f t="shared" si="50"/>
        <v>9.99</v>
      </c>
      <c r="N652" s="8">
        <f t="shared" si="51"/>
        <v>5464.53</v>
      </c>
      <c r="O652" s="9">
        <f>_xlfn.XLOOKUP(G652,[1]!tblProductMaster[SKU],[1]!tblProductMaster[Unit Cost])</f>
        <v>4.2</v>
      </c>
      <c r="P652" s="8">
        <f t="shared" si="52"/>
        <v>2297.4</v>
      </c>
      <c r="Q652" s="8">
        <f t="shared" si="53"/>
        <v>3167.1299999999997</v>
      </c>
      <c r="R652" s="4">
        <f t="shared" si="54"/>
        <v>0.57957957957957951</v>
      </c>
      <c r="S652" t="s">
        <v>87</v>
      </c>
      <c r="T652">
        <f>Table6[[#This Row],[Discount]]*Table6[[#This Row],[List Price]]*Table6[[#This Row],[Units]]</f>
        <v>0</v>
      </c>
    </row>
    <row r="653" spans="1:20" x14ac:dyDescent="0.2">
      <c r="A653" t="s">
        <v>746</v>
      </c>
      <c r="B653" s="2">
        <v>46041.454365013611</v>
      </c>
      <c r="C653" t="s">
        <v>98</v>
      </c>
      <c r="D653" t="s">
        <v>85</v>
      </c>
      <c r="E653" t="s">
        <v>40</v>
      </c>
      <c r="F653" t="s">
        <v>15</v>
      </c>
      <c r="G653" t="s">
        <v>46</v>
      </c>
      <c r="H653" t="str">
        <f>_xlfn.XLOOKUP(Table6[[#This Row],[SKU]],tblProductMaster[SKU],tblProductMaster[Product])</f>
        <v>Stain Remover</v>
      </c>
      <c r="I653">
        <v>1191</v>
      </c>
      <c r="J653">
        <f>_xlfn.XLOOKUP(G653,[1]!tblProductMaster[SKU],[1]!tblProductMaster[List Price])</f>
        <v>5.99</v>
      </c>
      <c r="K653" t="s">
        <v>89</v>
      </c>
      <c r="L653" s="3">
        <v>0.3</v>
      </c>
      <c r="M653" s="9">
        <f t="shared" si="50"/>
        <v>4.1929999999999996</v>
      </c>
      <c r="N653" s="8">
        <f t="shared" si="51"/>
        <v>4993.8629999999994</v>
      </c>
      <c r="O653" s="9">
        <f>_xlfn.XLOOKUP(G653,[1]!tblProductMaster[SKU],[1]!tblProductMaster[Unit Cost])</f>
        <v>2.5</v>
      </c>
      <c r="P653" s="8">
        <f t="shared" si="52"/>
        <v>2977.5</v>
      </c>
      <c r="Q653" s="8">
        <f t="shared" si="53"/>
        <v>2016.3629999999994</v>
      </c>
      <c r="R653" s="4">
        <f t="shared" si="54"/>
        <v>0.40376818507035528</v>
      </c>
      <c r="S653" t="s">
        <v>94</v>
      </c>
      <c r="T653">
        <f>Table6[[#This Row],[Discount]]*Table6[[#This Row],[List Price]]*Table6[[#This Row],[Units]]</f>
        <v>2140.2269999999999</v>
      </c>
    </row>
    <row r="654" spans="1:20" x14ac:dyDescent="0.2">
      <c r="A654" t="s">
        <v>747</v>
      </c>
      <c r="B654" s="2">
        <v>46053.863496408761</v>
      </c>
      <c r="C654" t="s">
        <v>84</v>
      </c>
      <c r="D654" t="s">
        <v>104</v>
      </c>
      <c r="E654" t="s">
        <v>8</v>
      </c>
      <c r="F654" t="s">
        <v>7</v>
      </c>
      <c r="G654" t="s">
        <v>6</v>
      </c>
      <c r="H654" t="str">
        <f>_xlfn.XLOOKUP(Table6[[#This Row],[SKU]],tblProductMaster[SKU],tblProductMaster[Product])</f>
        <v>Shampoo 250ml</v>
      </c>
      <c r="I654">
        <v>929</v>
      </c>
      <c r="J654">
        <f>_xlfn.XLOOKUP(G654,[1]!tblProductMaster[SKU],[1]!tblProductMaster[List Price])</f>
        <v>5.99</v>
      </c>
      <c r="K654" t="s">
        <v>89</v>
      </c>
      <c r="L654" s="3">
        <v>0.3</v>
      </c>
      <c r="M654" s="9">
        <f t="shared" si="50"/>
        <v>4.1929999999999996</v>
      </c>
      <c r="N654" s="8">
        <f t="shared" si="51"/>
        <v>3895.2969999999996</v>
      </c>
      <c r="O654" s="9">
        <f>_xlfn.XLOOKUP(G654,[1]!tblProductMaster[SKU],[1]!tblProductMaster[Unit Cost])</f>
        <v>2.4</v>
      </c>
      <c r="P654" s="8">
        <f t="shared" si="52"/>
        <v>2229.6</v>
      </c>
      <c r="Q654" s="8">
        <f t="shared" si="53"/>
        <v>1665.6969999999997</v>
      </c>
      <c r="R654" s="4">
        <f t="shared" si="54"/>
        <v>0.42761745766754111</v>
      </c>
      <c r="S654" t="s">
        <v>99</v>
      </c>
      <c r="T654">
        <f>Table6[[#This Row],[Discount]]*Table6[[#This Row],[List Price]]*Table6[[#This Row],[Units]]</f>
        <v>1669.413</v>
      </c>
    </row>
    <row r="655" spans="1:20" x14ac:dyDescent="0.2">
      <c r="A655" t="s">
        <v>748</v>
      </c>
      <c r="B655" s="2">
        <v>46201.121773771338</v>
      </c>
      <c r="C655" t="s">
        <v>93</v>
      </c>
      <c r="D655" t="s">
        <v>85</v>
      </c>
      <c r="E655" t="s">
        <v>40</v>
      </c>
      <c r="F655" t="s">
        <v>18</v>
      </c>
      <c r="G655" t="s">
        <v>54</v>
      </c>
      <c r="H655" t="str">
        <f>_xlfn.XLOOKUP(Table6[[#This Row],[SKU]],tblProductMaster[SKU],tblProductMaster[Product])</f>
        <v>Fabric Softener</v>
      </c>
      <c r="I655">
        <v>582</v>
      </c>
      <c r="J655">
        <f>_xlfn.XLOOKUP(G655,[1]!tblProductMaster[SKU],[1]!tblProductMaster[List Price])</f>
        <v>5.49</v>
      </c>
      <c r="K655" t="s">
        <v>86</v>
      </c>
      <c r="L655" s="3">
        <v>0</v>
      </c>
      <c r="M655" s="9">
        <f t="shared" si="50"/>
        <v>5.49</v>
      </c>
      <c r="N655" s="8">
        <f t="shared" si="51"/>
        <v>3195.1800000000003</v>
      </c>
      <c r="O655" s="9">
        <f>_xlfn.XLOOKUP(G655,[1]!tblProductMaster[SKU],[1]!tblProductMaster[Unit Cost])</f>
        <v>2.4</v>
      </c>
      <c r="P655" s="8">
        <f t="shared" si="52"/>
        <v>1396.8</v>
      </c>
      <c r="Q655" s="8">
        <f t="shared" si="53"/>
        <v>1798.3800000000003</v>
      </c>
      <c r="R655" s="4">
        <f t="shared" si="54"/>
        <v>0.56284153005464488</v>
      </c>
      <c r="S655" t="s">
        <v>87</v>
      </c>
      <c r="T655">
        <f>Table6[[#This Row],[Discount]]*Table6[[#This Row],[List Price]]*Table6[[#This Row],[Units]]</f>
        <v>0</v>
      </c>
    </row>
    <row r="656" spans="1:20" x14ac:dyDescent="0.2">
      <c r="A656" t="s">
        <v>749</v>
      </c>
      <c r="B656" s="2">
        <v>46028.888623057734</v>
      </c>
      <c r="C656" t="s">
        <v>84</v>
      </c>
      <c r="D656" t="s">
        <v>85</v>
      </c>
      <c r="E656" t="s">
        <v>40</v>
      </c>
      <c r="F656" t="s">
        <v>18</v>
      </c>
      <c r="G656" t="s">
        <v>42</v>
      </c>
      <c r="H656" t="str">
        <f>_xlfn.XLOOKUP(Table6[[#This Row],[SKU]],tblProductMaster[SKU],tblProductMaster[Product])</f>
        <v>Detergent Capsules</v>
      </c>
      <c r="I656">
        <v>302</v>
      </c>
      <c r="J656">
        <f>_xlfn.XLOOKUP(G656,[1]!tblProductMaster[SKU],[1]!tblProductMaster[List Price])</f>
        <v>11.99</v>
      </c>
      <c r="K656" t="s">
        <v>86</v>
      </c>
      <c r="L656" s="3">
        <v>0</v>
      </c>
      <c r="M656" s="9">
        <f t="shared" si="50"/>
        <v>11.99</v>
      </c>
      <c r="N656" s="8">
        <f t="shared" si="51"/>
        <v>3620.98</v>
      </c>
      <c r="O656" s="9">
        <f>_xlfn.XLOOKUP(G656,[1]!tblProductMaster[SKU],[1]!tblProductMaster[Unit Cost])</f>
        <v>5.2</v>
      </c>
      <c r="P656" s="8">
        <f t="shared" si="52"/>
        <v>1570.4</v>
      </c>
      <c r="Q656" s="8">
        <f t="shared" si="53"/>
        <v>2050.58</v>
      </c>
      <c r="R656" s="4">
        <f t="shared" si="54"/>
        <v>0.56630525437864887</v>
      </c>
      <c r="S656" t="s">
        <v>87</v>
      </c>
      <c r="T656">
        <f>Table6[[#This Row],[Discount]]*Table6[[#This Row],[List Price]]*Table6[[#This Row],[Units]]</f>
        <v>0</v>
      </c>
    </row>
    <row r="657" spans="1:20" x14ac:dyDescent="0.2">
      <c r="A657" t="s">
        <v>750</v>
      </c>
      <c r="B657" s="2">
        <v>46134.742014110328</v>
      </c>
      <c r="C657" t="s">
        <v>84</v>
      </c>
      <c r="D657" t="s">
        <v>85</v>
      </c>
      <c r="E657" t="s">
        <v>25</v>
      </c>
      <c r="F657" t="s">
        <v>15</v>
      </c>
      <c r="G657" t="s">
        <v>35</v>
      </c>
      <c r="H657" t="str">
        <f>_xlfn.XLOOKUP(Table6[[#This Row],[SKU]],tblProductMaster[SKU],tblProductMaster[Product])</f>
        <v>Hand Cream</v>
      </c>
      <c r="I657">
        <v>885</v>
      </c>
      <c r="J657">
        <f>_xlfn.XLOOKUP(G657,[1]!tblProductMaster[SKU],[1]!tblProductMaster[List Price])</f>
        <v>4.99</v>
      </c>
      <c r="K657" t="s">
        <v>89</v>
      </c>
      <c r="L657" s="3">
        <v>0.1</v>
      </c>
      <c r="M657" s="9">
        <f t="shared" si="50"/>
        <v>4.4910000000000005</v>
      </c>
      <c r="N657" s="8">
        <f t="shared" si="51"/>
        <v>3974.5350000000003</v>
      </c>
      <c r="O657" s="9">
        <f>_xlfn.XLOOKUP(G657,[1]!tblProductMaster[SKU],[1]!tblProductMaster[Unit Cost])</f>
        <v>2.1</v>
      </c>
      <c r="P657" s="8">
        <f t="shared" si="52"/>
        <v>1858.5</v>
      </c>
      <c r="Q657" s="8">
        <f t="shared" si="53"/>
        <v>2116.0350000000003</v>
      </c>
      <c r="R657" s="4">
        <f t="shared" si="54"/>
        <v>0.53239812959251842</v>
      </c>
      <c r="S657" t="s">
        <v>99</v>
      </c>
      <c r="T657">
        <f>Table6[[#This Row],[Discount]]*Table6[[#This Row],[List Price]]*Table6[[#This Row],[Units]]</f>
        <v>441.61500000000007</v>
      </c>
    </row>
    <row r="658" spans="1:20" x14ac:dyDescent="0.2">
      <c r="A658" t="s">
        <v>751</v>
      </c>
      <c r="B658" s="2">
        <v>46174.742429162274</v>
      </c>
      <c r="C658" t="s">
        <v>98</v>
      </c>
      <c r="D658" t="s">
        <v>96</v>
      </c>
      <c r="E658" t="s">
        <v>56</v>
      </c>
      <c r="F658" t="s">
        <v>7</v>
      </c>
      <c r="G658" t="s">
        <v>64</v>
      </c>
      <c r="H658" t="str">
        <f>_xlfn.XLOOKUP(Table6[[#This Row],[SKU]],tblProductMaster[SKU],tblProductMaster[Product])</f>
        <v>Toothbrush</v>
      </c>
      <c r="I658">
        <v>1030</v>
      </c>
      <c r="J658">
        <f>_xlfn.XLOOKUP(G658,[1]!tblProductMaster[SKU],[1]!tblProductMaster[List Price])</f>
        <v>3.99</v>
      </c>
      <c r="K658" t="s">
        <v>89</v>
      </c>
      <c r="L658" s="3">
        <v>0.1</v>
      </c>
      <c r="M658" s="9">
        <f t="shared" si="50"/>
        <v>3.5910000000000002</v>
      </c>
      <c r="N658" s="8">
        <f t="shared" si="51"/>
        <v>3698.73</v>
      </c>
      <c r="O658" s="9">
        <f>_xlfn.XLOOKUP(G658,[1]!tblProductMaster[SKU],[1]!tblProductMaster[Unit Cost])</f>
        <v>1.5</v>
      </c>
      <c r="P658" s="8">
        <f t="shared" si="52"/>
        <v>1545</v>
      </c>
      <c r="Q658" s="8">
        <f t="shared" si="53"/>
        <v>2153.73</v>
      </c>
      <c r="R658" s="4">
        <f t="shared" si="54"/>
        <v>0.58228905597326652</v>
      </c>
      <c r="S658" t="s">
        <v>99</v>
      </c>
      <c r="T658">
        <f>Table6[[#This Row],[Discount]]*Table6[[#This Row],[List Price]]*Table6[[#This Row],[Units]]</f>
        <v>410.97</v>
      </c>
    </row>
    <row r="659" spans="1:20" x14ac:dyDescent="0.2">
      <c r="A659" t="s">
        <v>752</v>
      </c>
      <c r="B659" s="2">
        <v>46212.974164402338</v>
      </c>
      <c r="C659" t="s">
        <v>93</v>
      </c>
      <c r="D659" t="s">
        <v>104</v>
      </c>
      <c r="E659" t="s">
        <v>8</v>
      </c>
      <c r="F659" t="s">
        <v>15</v>
      </c>
      <c r="G659" t="s">
        <v>22</v>
      </c>
      <c r="H659" t="str">
        <f>_xlfn.XLOOKUP(Table6[[#This Row],[SKU]],tblProductMaster[SKU],tblProductMaster[Product])</f>
        <v>Styling Gel</v>
      </c>
      <c r="I659">
        <v>764</v>
      </c>
      <c r="J659">
        <f>_xlfn.XLOOKUP(G659,[1]!tblProductMaster[SKU],[1]!tblProductMaster[List Price])</f>
        <v>4.49</v>
      </c>
      <c r="K659" t="s">
        <v>89</v>
      </c>
      <c r="L659" s="3">
        <v>0.2</v>
      </c>
      <c r="M659" s="9">
        <f t="shared" si="50"/>
        <v>3.5920000000000005</v>
      </c>
      <c r="N659" s="8">
        <f t="shared" si="51"/>
        <v>2744.2880000000005</v>
      </c>
      <c r="O659" s="9">
        <f>_xlfn.XLOOKUP(G659,[1]!tblProductMaster[SKU],[1]!tblProductMaster[Unit Cost])</f>
        <v>1.9</v>
      </c>
      <c r="P659" s="8">
        <f t="shared" si="52"/>
        <v>1451.6</v>
      </c>
      <c r="Q659" s="8">
        <f t="shared" si="53"/>
        <v>1292.6880000000006</v>
      </c>
      <c r="R659" s="4">
        <f t="shared" si="54"/>
        <v>0.47104677060133643</v>
      </c>
      <c r="S659" t="s">
        <v>94</v>
      </c>
      <c r="T659">
        <f>Table6[[#This Row],[Discount]]*Table6[[#This Row],[List Price]]*Table6[[#This Row],[Units]]</f>
        <v>686.07200000000012</v>
      </c>
    </row>
    <row r="660" spans="1:20" x14ac:dyDescent="0.2">
      <c r="A660" t="s">
        <v>753</v>
      </c>
      <c r="B660" s="2">
        <v>46195.668199071646</v>
      </c>
      <c r="C660" t="s">
        <v>93</v>
      </c>
      <c r="D660" t="s">
        <v>104</v>
      </c>
      <c r="E660" t="s">
        <v>8</v>
      </c>
      <c r="F660" t="s">
        <v>15</v>
      </c>
      <c r="G660" t="s">
        <v>16</v>
      </c>
      <c r="H660" t="str">
        <f>_xlfn.XLOOKUP(Table6[[#This Row],[SKU]],tblProductMaster[SKU],tblProductMaster[Product])</f>
        <v>Conditioner 250ml</v>
      </c>
      <c r="I660">
        <v>385</v>
      </c>
      <c r="J660">
        <f>_xlfn.XLOOKUP(G660,[1]!tblProductMaster[SKU],[1]!tblProductMaster[List Price])</f>
        <v>4.79</v>
      </c>
      <c r="K660" t="s">
        <v>86</v>
      </c>
      <c r="L660" s="3">
        <v>0</v>
      </c>
      <c r="M660" s="9">
        <f t="shared" si="50"/>
        <v>4.79</v>
      </c>
      <c r="N660" s="8">
        <f t="shared" si="51"/>
        <v>1844.15</v>
      </c>
      <c r="O660" s="9">
        <f>_xlfn.XLOOKUP(G660,[1]!tblProductMaster[SKU],[1]!tblProductMaster[Unit Cost])</f>
        <v>2</v>
      </c>
      <c r="P660" s="8">
        <f t="shared" si="52"/>
        <v>770</v>
      </c>
      <c r="Q660" s="8">
        <f t="shared" si="53"/>
        <v>1074.1500000000001</v>
      </c>
      <c r="R660" s="4">
        <f t="shared" si="54"/>
        <v>0.58246346555323592</v>
      </c>
      <c r="S660" t="s">
        <v>87</v>
      </c>
      <c r="T660">
        <f>Table6[[#This Row],[Discount]]*Table6[[#This Row],[List Price]]*Table6[[#This Row],[Units]]</f>
        <v>0</v>
      </c>
    </row>
    <row r="661" spans="1:20" x14ac:dyDescent="0.2">
      <c r="A661" t="s">
        <v>754</v>
      </c>
      <c r="B661" s="2">
        <v>46347.013529713709</v>
      </c>
      <c r="C661" t="s">
        <v>93</v>
      </c>
      <c r="D661" t="s">
        <v>85</v>
      </c>
      <c r="E661" t="s">
        <v>25</v>
      </c>
      <c r="F661" t="s">
        <v>7</v>
      </c>
      <c r="G661" t="s">
        <v>24</v>
      </c>
      <c r="H661" t="str">
        <f>_xlfn.XLOOKUP(Table6[[#This Row],[SKU]],tblProductMaster[SKU],tblProductMaster[Product])</f>
        <v>Body Lotion 400ml</v>
      </c>
      <c r="I661">
        <v>797</v>
      </c>
      <c r="J661">
        <f>_xlfn.XLOOKUP(G661,[1]!tblProductMaster[SKU],[1]!tblProductMaster[List Price])</f>
        <v>7.99</v>
      </c>
      <c r="K661" t="s">
        <v>86</v>
      </c>
      <c r="L661" s="3">
        <v>0</v>
      </c>
      <c r="M661" s="9">
        <f t="shared" si="50"/>
        <v>7.99</v>
      </c>
      <c r="N661" s="8">
        <f t="shared" si="51"/>
        <v>6368.03</v>
      </c>
      <c r="O661" s="9">
        <f>_xlfn.XLOOKUP(G661,[1]!tblProductMaster[SKU],[1]!tblProductMaster[Unit Cost])</f>
        <v>3.1</v>
      </c>
      <c r="P661" s="8">
        <f t="shared" si="52"/>
        <v>2470.7000000000003</v>
      </c>
      <c r="Q661" s="8">
        <f t="shared" si="53"/>
        <v>3897.3299999999995</v>
      </c>
      <c r="R661" s="4">
        <f t="shared" si="54"/>
        <v>0.61201501877346676</v>
      </c>
      <c r="S661" t="s">
        <v>87</v>
      </c>
      <c r="T661">
        <f>Table6[[#This Row],[Discount]]*Table6[[#This Row],[List Price]]*Table6[[#This Row],[Units]]</f>
        <v>0</v>
      </c>
    </row>
    <row r="662" spans="1:20" x14ac:dyDescent="0.2">
      <c r="A662" t="s">
        <v>755</v>
      </c>
      <c r="B662" s="2">
        <v>46273.549862939399</v>
      </c>
      <c r="C662" t="s">
        <v>93</v>
      </c>
      <c r="D662" t="s">
        <v>85</v>
      </c>
      <c r="E662" t="s">
        <v>25</v>
      </c>
      <c r="F662" t="s">
        <v>15</v>
      </c>
      <c r="G662" t="s">
        <v>29</v>
      </c>
      <c r="H662" t="str">
        <f>_xlfn.XLOOKUP(Table6[[#This Row],[SKU]],tblProductMaster[SKU],tblProductMaster[Product])</f>
        <v>Shower Gel 250ml</v>
      </c>
      <c r="I662">
        <v>1120</v>
      </c>
      <c r="J662">
        <f>_xlfn.XLOOKUP(G662,[1]!tblProductMaster[SKU],[1]!tblProductMaster[List Price])</f>
        <v>4.49</v>
      </c>
      <c r="K662" t="s">
        <v>89</v>
      </c>
      <c r="L662" s="3">
        <v>0.1</v>
      </c>
      <c r="M662" s="9">
        <f t="shared" si="50"/>
        <v>4.0410000000000004</v>
      </c>
      <c r="N662" s="8">
        <f t="shared" si="51"/>
        <v>4525.92</v>
      </c>
      <c r="O662" s="9">
        <f>_xlfn.XLOOKUP(G662,[1]!tblProductMaster[SKU],[1]!tblProductMaster[Unit Cost])</f>
        <v>1.9</v>
      </c>
      <c r="P662" s="8">
        <f t="shared" si="52"/>
        <v>2128</v>
      </c>
      <c r="Q662" s="8">
        <f t="shared" si="53"/>
        <v>2397.92</v>
      </c>
      <c r="R662" s="4">
        <f t="shared" si="54"/>
        <v>0.52981935164563232</v>
      </c>
      <c r="S662" t="s">
        <v>94</v>
      </c>
      <c r="T662">
        <f>Table6[[#This Row],[Discount]]*Table6[[#This Row],[List Price]]*Table6[[#This Row],[Units]]</f>
        <v>502.88000000000005</v>
      </c>
    </row>
    <row r="663" spans="1:20" x14ac:dyDescent="0.2">
      <c r="A663" t="s">
        <v>756</v>
      </c>
      <c r="B663" s="2">
        <v>46088.765255846178</v>
      </c>
      <c r="C663" t="s">
        <v>98</v>
      </c>
      <c r="D663" t="s">
        <v>85</v>
      </c>
      <c r="E663" t="s">
        <v>56</v>
      </c>
      <c r="F663" t="s">
        <v>18</v>
      </c>
      <c r="G663" t="s">
        <v>60</v>
      </c>
      <c r="H663" t="str">
        <f>_xlfn.XLOOKUP(Table6[[#This Row],[SKU]],tblProductMaster[SKU],tblProductMaster[Product])</f>
        <v>Sensitive Toothpaste</v>
      </c>
      <c r="I663">
        <v>738</v>
      </c>
      <c r="J663">
        <f>_xlfn.XLOOKUP(G663,[1]!tblProductMaster[SKU],[1]!tblProductMaster[List Price])</f>
        <v>4.49</v>
      </c>
      <c r="K663" t="s">
        <v>89</v>
      </c>
      <c r="L663" s="3">
        <v>0.3</v>
      </c>
      <c r="M663" s="9">
        <f t="shared" si="50"/>
        <v>3.1429999999999998</v>
      </c>
      <c r="N663" s="8">
        <f t="shared" si="51"/>
        <v>2319.5339999999997</v>
      </c>
      <c r="O663" s="9">
        <f>_xlfn.XLOOKUP(G663,[1]!tblProductMaster[SKU],[1]!tblProductMaster[Unit Cost])</f>
        <v>1.7</v>
      </c>
      <c r="P663" s="8">
        <f t="shared" si="52"/>
        <v>1254.5999999999999</v>
      </c>
      <c r="Q663" s="8">
        <f t="shared" si="53"/>
        <v>1064.9339999999997</v>
      </c>
      <c r="R663" s="4">
        <f t="shared" si="54"/>
        <v>0.45911549475023861</v>
      </c>
      <c r="S663" t="s">
        <v>99</v>
      </c>
      <c r="T663">
        <f>Table6[[#This Row],[Discount]]*Table6[[#This Row],[List Price]]*Table6[[#This Row],[Units]]</f>
        <v>994.08600000000001</v>
      </c>
    </row>
    <row r="664" spans="1:20" x14ac:dyDescent="0.2">
      <c r="A664" t="s">
        <v>757</v>
      </c>
      <c r="B664" s="2">
        <v>46110.325483058441</v>
      </c>
      <c r="C664" t="s">
        <v>93</v>
      </c>
      <c r="D664" t="s">
        <v>85</v>
      </c>
      <c r="E664" t="s">
        <v>8</v>
      </c>
      <c r="F664" t="s">
        <v>18</v>
      </c>
      <c r="G664" t="s">
        <v>17</v>
      </c>
      <c r="H664" t="str">
        <f>_xlfn.XLOOKUP(Table6[[#This Row],[SKU]],tblProductMaster[SKU],tblProductMaster[Product])</f>
        <v>Anti-Dandruff Shampoo</v>
      </c>
      <c r="I664">
        <v>768</v>
      </c>
      <c r="J664">
        <f>_xlfn.XLOOKUP(G664,[1]!tblProductMaster[SKU],[1]!tblProductMaster[List Price])</f>
        <v>6.49</v>
      </c>
      <c r="K664" t="s">
        <v>86</v>
      </c>
      <c r="L664" s="3">
        <v>0</v>
      </c>
      <c r="M664" s="9">
        <f t="shared" si="50"/>
        <v>6.49</v>
      </c>
      <c r="N664" s="8">
        <f t="shared" si="51"/>
        <v>4984.32</v>
      </c>
      <c r="O664" s="9">
        <f>_xlfn.XLOOKUP(G664,[1]!tblProductMaster[SKU],[1]!tblProductMaster[Unit Cost])</f>
        <v>2.8</v>
      </c>
      <c r="P664" s="8">
        <f t="shared" si="52"/>
        <v>2150.3999999999996</v>
      </c>
      <c r="Q664" s="8">
        <f t="shared" si="53"/>
        <v>2833.92</v>
      </c>
      <c r="R664" s="4">
        <f t="shared" si="54"/>
        <v>0.5685670261941449</v>
      </c>
      <c r="S664" t="s">
        <v>87</v>
      </c>
      <c r="T664">
        <f>Table6[[#This Row],[Discount]]*Table6[[#This Row],[List Price]]*Table6[[#This Row],[Units]]</f>
        <v>0</v>
      </c>
    </row>
    <row r="665" spans="1:20" x14ac:dyDescent="0.2">
      <c r="A665" t="s">
        <v>758</v>
      </c>
      <c r="B665" s="2">
        <v>46227.881531396255</v>
      </c>
      <c r="C665" t="s">
        <v>84</v>
      </c>
      <c r="D665" t="s">
        <v>85</v>
      </c>
      <c r="E665" t="s">
        <v>56</v>
      </c>
      <c r="F665" t="s">
        <v>18</v>
      </c>
      <c r="G665" t="s">
        <v>68</v>
      </c>
      <c r="H665" t="str">
        <f>_xlfn.XLOOKUP(Table6[[#This Row],[SKU]],tblProductMaster[SKU],tblProductMaster[Product])</f>
        <v>Kids Toothpaste</v>
      </c>
      <c r="I665">
        <v>777</v>
      </c>
      <c r="J665">
        <f>_xlfn.XLOOKUP(G665,[1]!tblProductMaster[SKU],[1]!tblProductMaster[List Price])</f>
        <v>3.29</v>
      </c>
      <c r="K665" t="s">
        <v>86</v>
      </c>
      <c r="L665" s="3">
        <v>0</v>
      </c>
      <c r="M665" s="9">
        <f t="shared" si="50"/>
        <v>3.29</v>
      </c>
      <c r="N665" s="8">
        <f t="shared" si="51"/>
        <v>2556.33</v>
      </c>
      <c r="O665" s="9">
        <f>_xlfn.XLOOKUP(G665,[1]!tblProductMaster[SKU],[1]!tblProductMaster[Unit Cost])</f>
        <v>1.1000000000000001</v>
      </c>
      <c r="P665" s="8">
        <f t="shared" si="52"/>
        <v>854.7</v>
      </c>
      <c r="Q665" s="8">
        <f t="shared" si="53"/>
        <v>1701.6299999999999</v>
      </c>
      <c r="R665" s="4">
        <f t="shared" si="54"/>
        <v>0.66565349544072949</v>
      </c>
      <c r="S665" t="s">
        <v>87</v>
      </c>
      <c r="T665">
        <f>Table6[[#This Row],[Discount]]*Table6[[#This Row],[List Price]]*Table6[[#This Row],[Units]]</f>
        <v>0</v>
      </c>
    </row>
    <row r="666" spans="1:20" x14ac:dyDescent="0.2">
      <c r="A666" t="s">
        <v>759</v>
      </c>
      <c r="B666" s="2">
        <v>46120.752125778345</v>
      </c>
      <c r="C666" t="s">
        <v>93</v>
      </c>
      <c r="D666" t="s">
        <v>85</v>
      </c>
      <c r="E666" t="s">
        <v>8</v>
      </c>
      <c r="F666" t="s">
        <v>7</v>
      </c>
      <c r="G666" t="s">
        <v>6</v>
      </c>
      <c r="H666" t="str">
        <f>_xlfn.XLOOKUP(Table6[[#This Row],[SKU]],tblProductMaster[SKU],tblProductMaster[Product])</f>
        <v>Shampoo 250ml</v>
      </c>
      <c r="I666">
        <v>469</v>
      </c>
      <c r="J666">
        <f>_xlfn.XLOOKUP(G666,[1]!tblProductMaster[SKU],[1]!tblProductMaster[List Price])</f>
        <v>5.99</v>
      </c>
      <c r="K666" t="s">
        <v>86</v>
      </c>
      <c r="L666" s="3">
        <v>0</v>
      </c>
      <c r="M666" s="9">
        <f t="shared" si="50"/>
        <v>5.99</v>
      </c>
      <c r="N666" s="8">
        <f t="shared" si="51"/>
        <v>2809.31</v>
      </c>
      <c r="O666" s="9">
        <f>_xlfn.XLOOKUP(G666,[1]!tblProductMaster[SKU],[1]!tblProductMaster[Unit Cost])</f>
        <v>2.4</v>
      </c>
      <c r="P666" s="8">
        <f t="shared" si="52"/>
        <v>1125.5999999999999</v>
      </c>
      <c r="Q666" s="8">
        <f t="shared" si="53"/>
        <v>1683.71</v>
      </c>
      <c r="R666" s="4">
        <f t="shared" si="54"/>
        <v>0.59933222036727885</v>
      </c>
      <c r="S666" t="s">
        <v>87</v>
      </c>
      <c r="T666">
        <f>Table6[[#This Row],[Discount]]*Table6[[#This Row],[List Price]]*Table6[[#This Row],[Units]]</f>
        <v>0</v>
      </c>
    </row>
    <row r="667" spans="1:20" x14ac:dyDescent="0.2">
      <c r="A667" t="s">
        <v>760</v>
      </c>
      <c r="B667" s="2">
        <v>46357.424348468187</v>
      </c>
      <c r="C667" t="s">
        <v>93</v>
      </c>
      <c r="D667" t="s">
        <v>104</v>
      </c>
      <c r="E667" t="s">
        <v>56</v>
      </c>
      <c r="F667" t="s">
        <v>18</v>
      </c>
      <c r="G667" t="s">
        <v>68</v>
      </c>
      <c r="H667" t="str">
        <f>_xlfn.XLOOKUP(Table6[[#This Row],[SKU]],tblProductMaster[SKU],tblProductMaster[Product])</f>
        <v>Kids Toothpaste</v>
      </c>
      <c r="I667">
        <v>406</v>
      </c>
      <c r="J667">
        <f>_xlfn.XLOOKUP(G667,[1]!tblProductMaster[SKU],[1]!tblProductMaster[List Price])</f>
        <v>3.29</v>
      </c>
      <c r="K667" t="s">
        <v>86</v>
      </c>
      <c r="L667" s="3">
        <v>0</v>
      </c>
      <c r="M667" s="9">
        <f t="shared" si="50"/>
        <v>3.29</v>
      </c>
      <c r="N667" s="8">
        <f t="shared" si="51"/>
        <v>1335.74</v>
      </c>
      <c r="O667" s="9">
        <f>_xlfn.XLOOKUP(G667,[1]!tblProductMaster[SKU],[1]!tblProductMaster[Unit Cost])</f>
        <v>1.1000000000000001</v>
      </c>
      <c r="P667" s="8">
        <f t="shared" si="52"/>
        <v>446.6</v>
      </c>
      <c r="Q667" s="8">
        <f t="shared" si="53"/>
        <v>889.14</v>
      </c>
      <c r="R667" s="4">
        <f t="shared" si="54"/>
        <v>0.66565349544072949</v>
      </c>
      <c r="S667" t="s">
        <v>87</v>
      </c>
      <c r="T667">
        <f>Table6[[#This Row],[Discount]]*Table6[[#This Row],[List Price]]*Table6[[#This Row],[Units]]</f>
        <v>0</v>
      </c>
    </row>
    <row r="668" spans="1:20" x14ac:dyDescent="0.2">
      <c r="A668" t="s">
        <v>761</v>
      </c>
      <c r="B668" s="2">
        <v>46330.189886796987</v>
      </c>
      <c r="C668" t="s">
        <v>98</v>
      </c>
      <c r="D668" t="s">
        <v>104</v>
      </c>
      <c r="E668" t="s">
        <v>40</v>
      </c>
      <c r="F668" t="s">
        <v>7</v>
      </c>
      <c r="G668" t="s">
        <v>44</v>
      </c>
      <c r="H668" t="str">
        <f>_xlfn.XLOOKUP(Table6[[#This Row],[SKU]],tblProductMaster[SKU],tblProductMaster[Product])</f>
        <v>Fabric Softener</v>
      </c>
      <c r="I668">
        <v>523</v>
      </c>
      <c r="J668">
        <f>_xlfn.XLOOKUP(G668,[1]!tblProductMaster[SKU],[1]!tblProductMaster[List Price])</f>
        <v>6.99</v>
      </c>
      <c r="K668" t="s">
        <v>86</v>
      </c>
      <c r="L668" s="3">
        <v>0</v>
      </c>
      <c r="M668" s="9">
        <f t="shared" si="50"/>
        <v>6.99</v>
      </c>
      <c r="N668" s="8">
        <f t="shared" si="51"/>
        <v>3655.77</v>
      </c>
      <c r="O668" s="9">
        <f>_xlfn.XLOOKUP(G668,[1]!tblProductMaster[SKU],[1]!tblProductMaster[Unit Cost])</f>
        <v>2.9</v>
      </c>
      <c r="P668" s="8">
        <f t="shared" si="52"/>
        <v>1516.7</v>
      </c>
      <c r="Q668" s="8">
        <f t="shared" si="53"/>
        <v>2139.0699999999997</v>
      </c>
      <c r="R668" s="4">
        <f t="shared" si="54"/>
        <v>0.58512160228898413</v>
      </c>
      <c r="S668" t="s">
        <v>87</v>
      </c>
      <c r="T668">
        <f>Table6[[#This Row],[Discount]]*Table6[[#This Row],[List Price]]*Table6[[#This Row],[Units]]</f>
        <v>0</v>
      </c>
    </row>
    <row r="669" spans="1:20" x14ac:dyDescent="0.2">
      <c r="A669" t="s">
        <v>762</v>
      </c>
      <c r="B669" s="2">
        <v>46126.111966699347</v>
      </c>
      <c r="C669" t="s">
        <v>93</v>
      </c>
      <c r="D669" t="s">
        <v>96</v>
      </c>
      <c r="E669" t="s">
        <v>8</v>
      </c>
      <c r="F669" t="s">
        <v>7</v>
      </c>
      <c r="G669" t="s">
        <v>10</v>
      </c>
      <c r="H669" t="str">
        <f>_xlfn.XLOOKUP(Table6[[#This Row],[SKU]],tblProductMaster[SKU],tblProductMaster[Product])</f>
        <v>Shampoo 500ml</v>
      </c>
      <c r="I669">
        <v>224</v>
      </c>
      <c r="J669">
        <f>_xlfn.XLOOKUP(G669,[1]!tblProductMaster[SKU],[1]!tblProductMaster[List Price])</f>
        <v>8.99</v>
      </c>
      <c r="K669" t="s">
        <v>86</v>
      </c>
      <c r="L669" s="3">
        <v>0</v>
      </c>
      <c r="M669" s="9">
        <f t="shared" si="50"/>
        <v>8.99</v>
      </c>
      <c r="N669" s="8">
        <f t="shared" si="51"/>
        <v>2013.76</v>
      </c>
      <c r="O669" s="9">
        <f>_xlfn.XLOOKUP(G669,[1]!tblProductMaster[SKU],[1]!tblProductMaster[Unit Cost])</f>
        <v>3.6</v>
      </c>
      <c r="P669" s="8">
        <f t="shared" si="52"/>
        <v>806.4</v>
      </c>
      <c r="Q669" s="8">
        <f t="shared" si="53"/>
        <v>1207.3600000000001</v>
      </c>
      <c r="R669" s="4">
        <f t="shared" si="54"/>
        <v>0.59955506117908797</v>
      </c>
      <c r="S669" t="s">
        <v>87</v>
      </c>
      <c r="T669">
        <f>Table6[[#This Row],[Discount]]*Table6[[#This Row],[List Price]]*Table6[[#This Row],[Units]]</f>
        <v>0</v>
      </c>
    </row>
    <row r="670" spans="1:20" x14ac:dyDescent="0.2">
      <c r="A670" t="s">
        <v>763</v>
      </c>
      <c r="B670" s="2">
        <v>46345.657744451593</v>
      </c>
      <c r="C670" t="s">
        <v>98</v>
      </c>
      <c r="D670" t="s">
        <v>96</v>
      </c>
      <c r="E670" t="s">
        <v>25</v>
      </c>
      <c r="F670" t="s">
        <v>7</v>
      </c>
      <c r="G670" t="s">
        <v>33</v>
      </c>
      <c r="H670" t="str">
        <f>_xlfn.XLOOKUP(Table6[[#This Row],[SKU]],tblProductMaster[SKU],tblProductMaster[Product])</f>
        <v>Sunscreen 200ml</v>
      </c>
      <c r="I670">
        <v>972</v>
      </c>
      <c r="J670">
        <f>_xlfn.XLOOKUP(G670,[1]!tblProductMaster[SKU],[1]!tblProductMaster[List Price])</f>
        <v>10.99</v>
      </c>
      <c r="K670" t="s">
        <v>89</v>
      </c>
      <c r="L670" s="3">
        <v>0.3</v>
      </c>
      <c r="M670" s="9">
        <f t="shared" si="50"/>
        <v>7.6929999999999996</v>
      </c>
      <c r="N670" s="8">
        <f t="shared" si="51"/>
        <v>7477.5959999999995</v>
      </c>
      <c r="O670" s="9">
        <f>_xlfn.XLOOKUP(G670,[1]!tblProductMaster[SKU],[1]!tblProductMaster[Unit Cost])</f>
        <v>4.5999999999999996</v>
      </c>
      <c r="P670" s="8">
        <f t="shared" si="52"/>
        <v>4471.2</v>
      </c>
      <c r="Q670" s="8">
        <f t="shared" si="53"/>
        <v>3006.3959999999997</v>
      </c>
      <c r="R670" s="4">
        <f t="shared" si="54"/>
        <v>0.40205381515663591</v>
      </c>
      <c r="S670" t="s">
        <v>90</v>
      </c>
      <c r="T670">
        <f>Table6[[#This Row],[Discount]]*Table6[[#This Row],[List Price]]*Table6[[#This Row],[Units]]</f>
        <v>3204.6840000000002</v>
      </c>
    </row>
    <row r="671" spans="1:20" x14ac:dyDescent="0.2">
      <c r="A671" t="s">
        <v>764</v>
      </c>
      <c r="B671" s="2">
        <v>46175.895099118126</v>
      </c>
      <c r="C671" t="s">
        <v>93</v>
      </c>
      <c r="D671" t="s">
        <v>85</v>
      </c>
      <c r="E671" t="s">
        <v>25</v>
      </c>
      <c r="F671" t="s">
        <v>15</v>
      </c>
      <c r="G671" t="s">
        <v>35</v>
      </c>
      <c r="H671" t="str">
        <f>_xlfn.XLOOKUP(Table6[[#This Row],[SKU]],tblProductMaster[SKU],tblProductMaster[Product])</f>
        <v>Hand Cream</v>
      </c>
      <c r="I671">
        <v>326</v>
      </c>
      <c r="J671">
        <f>_xlfn.XLOOKUP(G671,[1]!tblProductMaster[SKU],[1]!tblProductMaster[List Price])</f>
        <v>4.99</v>
      </c>
      <c r="K671" t="s">
        <v>86</v>
      </c>
      <c r="L671" s="3">
        <v>0</v>
      </c>
      <c r="M671" s="9">
        <f t="shared" si="50"/>
        <v>4.99</v>
      </c>
      <c r="N671" s="8">
        <f t="shared" si="51"/>
        <v>1626.74</v>
      </c>
      <c r="O671" s="9">
        <f>_xlfn.XLOOKUP(G671,[1]!tblProductMaster[SKU],[1]!tblProductMaster[Unit Cost])</f>
        <v>2.1</v>
      </c>
      <c r="P671" s="8">
        <f t="shared" si="52"/>
        <v>684.6</v>
      </c>
      <c r="Q671" s="8">
        <f t="shared" si="53"/>
        <v>942.14</v>
      </c>
      <c r="R671" s="4">
        <f t="shared" si="54"/>
        <v>0.57915831663326656</v>
      </c>
      <c r="S671" t="s">
        <v>87</v>
      </c>
      <c r="T671">
        <f>Table6[[#This Row],[Discount]]*Table6[[#This Row],[List Price]]*Table6[[#This Row],[Units]]</f>
        <v>0</v>
      </c>
    </row>
    <row r="672" spans="1:20" x14ac:dyDescent="0.2">
      <c r="A672" t="s">
        <v>765</v>
      </c>
      <c r="B672" s="2">
        <v>46137.663336823352</v>
      </c>
      <c r="C672" t="s">
        <v>98</v>
      </c>
      <c r="D672" t="s">
        <v>96</v>
      </c>
      <c r="E672" t="s">
        <v>56</v>
      </c>
      <c r="F672" t="s">
        <v>18</v>
      </c>
      <c r="G672" t="s">
        <v>68</v>
      </c>
      <c r="H672" t="str">
        <f>_xlfn.XLOOKUP(Table6[[#This Row],[SKU]],tblProductMaster[SKU],tblProductMaster[Product])</f>
        <v>Kids Toothpaste</v>
      </c>
      <c r="I672">
        <v>646</v>
      </c>
      <c r="J672">
        <f>_xlfn.XLOOKUP(G672,[1]!tblProductMaster[SKU],[1]!tblProductMaster[List Price])</f>
        <v>3.29</v>
      </c>
      <c r="K672" t="s">
        <v>86</v>
      </c>
      <c r="L672" s="3">
        <v>0</v>
      </c>
      <c r="M672" s="9">
        <f t="shared" si="50"/>
        <v>3.29</v>
      </c>
      <c r="N672" s="8">
        <f t="shared" si="51"/>
        <v>2125.34</v>
      </c>
      <c r="O672" s="9">
        <f>_xlfn.XLOOKUP(G672,[1]!tblProductMaster[SKU],[1]!tblProductMaster[Unit Cost])</f>
        <v>1.1000000000000001</v>
      </c>
      <c r="P672" s="8">
        <f t="shared" si="52"/>
        <v>710.6</v>
      </c>
      <c r="Q672" s="8">
        <f t="shared" si="53"/>
        <v>1414.7400000000002</v>
      </c>
      <c r="R672" s="4">
        <f t="shared" si="54"/>
        <v>0.6656534954407296</v>
      </c>
      <c r="S672" t="s">
        <v>87</v>
      </c>
      <c r="T672">
        <f>Table6[[#This Row],[Discount]]*Table6[[#This Row],[List Price]]*Table6[[#This Row],[Units]]</f>
        <v>0</v>
      </c>
    </row>
    <row r="673" spans="1:20" x14ac:dyDescent="0.2">
      <c r="A673" t="s">
        <v>766</v>
      </c>
      <c r="B673" s="2">
        <v>46120.892183594435</v>
      </c>
      <c r="C673" t="s">
        <v>98</v>
      </c>
      <c r="D673" t="s">
        <v>104</v>
      </c>
      <c r="E673" t="s">
        <v>8</v>
      </c>
      <c r="F673" t="s">
        <v>15</v>
      </c>
      <c r="G673" t="s">
        <v>16</v>
      </c>
      <c r="H673" t="str">
        <f>_xlfn.XLOOKUP(Table6[[#This Row],[SKU]],tblProductMaster[SKU],tblProductMaster[Product])</f>
        <v>Conditioner 250ml</v>
      </c>
      <c r="I673">
        <v>596</v>
      </c>
      <c r="J673">
        <f>_xlfn.XLOOKUP(G673,[1]!tblProductMaster[SKU],[1]!tblProductMaster[List Price])</f>
        <v>4.79</v>
      </c>
      <c r="K673" t="s">
        <v>89</v>
      </c>
      <c r="L673" s="3">
        <v>0.3</v>
      </c>
      <c r="M673" s="9">
        <f t="shared" si="50"/>
        <v>3.3529999999999998</v>
      </c>
      <c r="N673" s="8">
        <f t="shared" si="51"/>
        <v>1998.3879999999999</v>
      </c>
      <c r="O673" s="9">
        <f>_xlfn.XLOOKUP(G673,[1]!tblProductMaster[SKU],[1]!tblProductMaster[Unit Cost])</f>
        <v>2</v>
      </c>
      <c r="P673" s="8">
        <f t="shared" si="52"/>
        <v>1192</v>
      </c>
      <c r="Q673" s="8">
        <f t="shared" si="53"/>
        <v>806.38799999999992</v>
      </c>
      <c r="R673" s="4">
        <f t="shared" si="54"/>
        <v>0.40351923650462268</v>
      </c>
      <c r="S673" t="s">
        <v>99</v>
      </c>
      <c r="T673">
        <f>Table6[[#This Row],[Discount]]*Table6[[#This Row],[List Price]]*Table6[[#This Row],[Units]]</f>
        <v>856.452</v>
      </c>
    </row>
    <row r="674" spans="1:20" x14ac:dyDescent="0.2">
      <c r="A674" t="s">
        <v>767</v>
      </c>
      <c r="B674" s="2">
        <v>46367.889926047239</v>
      </c>
      <c r="C674" t="s">
        <v>93</v>
      </c>
      <c r="D674" t="s">
        <v>85</v>
      </c>
      <c r="E674" t="s">
        <v>40</v>
      </c>
      <c r="F674" t="s">
        <v>7</v>
      </c>
      <c r="G674" t="s">
        <v>48</v>
      </c>
      <c r="H674" t="str">
        <f>_xlfn.XLOOKUP(Table6[[#This Row],[SKU]],tblProductMaster[SKU],tblProductMaster[Product])</f>
        <v>Color Detergent</v>
      </c>
      <c r="I674">
        <v>408</v>
      </c>
      <c r="J674">
        <f>_xlfn.XLOOKUP(G674,[1]!tblProductMaster[SKU],[1]!tblProductMaster[List Price])</f>
        <v>9.49</v>
      </c>
      <c r="K674" t="s">
        <v>89</v>
      </c>
      <c r="L674" s="3">
        <v>0.1</v>
      </c>
      <c r="M674" s="9">
        <f t="shared" si="50"/>
        <v>8.5410000000000004</v>
      </c>
      <c r="N674" s="8">
        <f t="shared" si="51"/>
        <v>3484.7280000000001</v>
      </c>
      <c r="O674" s="9">
        <f>_xlfn.XLOOKUP(G674,[1]!tblProductMaster[SKU],[1]!tblProductMaster[Unit Cost])</f>
        <v>4</v>
      </c>
      <c r="P674" s="8">
        <f t="shared" si="52"/>
        <v>1632</v>
      </c>
      <c r="Q674" s="8">
        <f t="shared" si="53"/>
        <v>1852.7280000000001</v>
      </c>
      <c r="R674" s="4">
        <f t="shared" si="54"/>
        <v>0.53167076454747686</v>
      </c>
      <c r="S674" t="s">
        <v>99</v>
      </c>
      <c r="T674">
        <f>Table6[[#This Row],[Discount]]*Table6[[#This Row],[List Price]]*Table6[[#This Row],[Units]]</f>
        <v>387.19200000000001</v>
      </c>
    </row>
    <row r="675" spans="1:20" x14ac:dyDescent="0.2">
      <c r="A675" t="s">
        <v>768</v>
      </c>
      <c r="B675" s="2">
        <v>46127.413783668933</v>
      </c>
      <c r="C675" t="s">
        <v>98</v>
      </c>
      <c r="D675" t="s">
        <v>96</v>
      </c>
      <c r="E675" t="s">
        <v>8</v>
      </c>
      <c r="F675" t="s">
        <v>18</v>
      </c>
      <c r="G675" t="s">
        <v>20</v>
      </c>
      <c r="H675" t="str">
        <f>_xlfn.XLOOKUP(Table6[[#This Row],[SKU]],tblProductMaster[SKU],tblProductMaster[Product])</f>
        <v>Hair Oil</v>
      </c>
      <c r="I675">
        <v>694</v>
      </c>
      <c r="J675">
        <f>_xlfn.XLOOKUP(G675,[1]!tblProductMaster[SKU],[1]!tblProductMaster[List Price])</f>
        <v>7.49</v>
      </c>
      <c r="K675" t="s">
        <v>86</v>
      </c>
      <c r="L675" s="3">
        <v>0</v>
      </c>
      <c r="M675" s="9">
        <f t="shared" si="50"/>
        <v>7.49</v>
      </c>
      <c r="N675" s="8">
        <f t="shared" si="51"/>
        <v>5198.0600000000004</v>
      </c>
      <c r="O675" s="9">
        <f>_xlfn.XLOOKUP(G675,[1]!tblProductMaster[SKU],[1]!tblProductMaster[Unit Cost])</f>
        <v>3.1</v>
      </c>
      <c r="P675" s="8">
        <f t="shared" si="52"/>
        <v>2151.4</v>
      </c>
      <c r="Q675" s="8">
        <f t="shared" si="53"/>
        <v>3046.6600000000003</v>
      </c>
      <c r="R675" s="4">
        <f t="shared" si="54"/>
        <v>0.58611481975967961</v>
      </c>
      <c r="S675" t="s">
        <v>87</v>
      </c>
      <c r="T675">
        <f>Table6[[#This Row],[Discount]]*Table6[[#This Row],[List Price]]*Table6[[#This Row],[Units]]</f>
        <v>0</v>
      </c>
    </row>
    <row r="676" spans="1:20" x14ac:dyDescent="0.2">
      <c r="A676" t="s">
        <v>769</v>
      </c>
      <c r="B676" s="2">
        <v>46210.935622877594</v>
      </c>
      <c r="C676" t="s">
        <v>93</v>
      </c>
      <c r="D676" t="s">
        <v>104</v>
      </c>
      <c r="E676" t="s">
        <v>40</v>
      </c>
      <c r="F676" t="s">
        <v>15</v>
      </c>
      <c r="G676" t="s">
        <v>52</v>
      </c>
      <c r="H676" t="str">
        <f>_xlfn.XLOOKUP(Table6[[#This Row],[SKU]],tblProductMaster[SKU],tblProductMaster[Product])</f>
        <v>Laundry Pods</v>
      </c>
      <c r="I676">
        <v>784</v>
      </c>
      <c r="J676">
        <f>_xlfn.XLOOKUP(G676,[1]!tblProductMaster[SKU],[1]!tblProductMaster[List Price])</f>
        <v>10.49</v>
      </c>
      <c r="K676" t="s">
        <v>86</v>
      </c>
      <c r="L676" s="3">
        <v>0</v>
      </c>
      <c r="M676" s="9">
        <f t="shared" si="50"/>
        <v>10.49</v>
      </c>
      <c r="N676" s="8">
        <f t="shared" si="51"/>
        <v>8224.16</v>
      </c>
      <c r="O676" s="9">
        <f>_xlfn.XLOOKUP(G676,[1]!tblProductMaster[SKU],[1]!tblProductMaster[Unit Cost])</f>
        <v>4.5999999999999996</v>
      </c>
      <c r="P676" s="8">
        <f t="shared" si="52"/>
        <v>3606.3999999999996</v>
      </c>
      <c r="Q676" s="8">
        <f t="shared" si="53"/>
        <v>4617.76</v>
      </c>
      <c r="R676" s="4">
        <f t="shared" si="54"/>
        <v>0.56148713060057198</v>
      </c>
      <c r="S676" t="s">
        <v>87</v>
      </c>
      <c r="T676">
        <f>Table6[[#This Row],[Discount]]*Table6[[#This Row],[List Price]]*Table6[[#This Row],[Units]]</f>
        <v>0</v>
      </c>
    </row>
    <row r="677" spans="1:20" x14ac:dyDescent="0.2">
      <c r="A677" t="s">
        <v>770</v>
      </c>
      <c r="B677" s="2">
        <v>46026.33917512394</v>
      </c>
      <c r="C677" t="s">
        <v>84</v>
      </c>
      <c r="D677" t="s">
        <v>96</v>
      </c>
      <c r="E677" t="s">
        <v>25</v>
      </c>
      <c r="F677" t="s">
        <v>15</v>
      </c>
      <c r="G677" t="s">
        <v>35</v>
      </c>
      <c r="H677" t="str">
        <f>_xlfn.XLOOKUP(Table6[[#This Row],[SKU]],tblProductMaster[SKU],tblProductMaster[Product])</f>
        <v>Hand Cream</v>
      </c>
      <c r="I677">
        <v>632</v>
      </c>
      <c r="J677">
        <f>_xlfn.XLOOKUP(G677,[1]!tblProductMaster[SKU],[1]!tblProductMaster[List Price])</f>
        <v>4.99</v>
      </c>
      <c r="K677" t="s">
        <v>86</v>
      </c>
      <c r="L677" s="3">
        <v>0</v>
      </c>
      <c r="M677" s="9">
        <f t="shared" si="50"/>
        <v>4.99</v>
      </c>
      <c r="N677" s="8">
        <f t="shared" si="51"/>
        <v>3153.6800000000003</v>
      </c>
      <c r="O677" s="9">
        <f>_xlfn.XLOOKUP(G677,[1]!tblProductMaster[SKU],[1]!tblProductMaster[Unit Cost])</f>
        <v>2.1</v>
      </c>
      <c r="P677" s="8">
        <f t="shared" si="52"/>
        <v>1327.2</v>
      </c>
      <c r="Q677" s="8">
        <f t="shared" si="53"/>
        <v>1826.4800000000002</v>
      </c>
      <c r="R677" s="4">
        <f t="shared" si="54"/>
        <v>0.57915831663326656</v>
      </c>
      <c r="S677" t="s">
        <v>87</v>
      </c>
      <c r="T677">
        <f>Table6[[#This Row],[Discount]]*Table6[[#This Row],[List Price]]*Table6[[#This Row],[Units]]</f>
        <v>0</v>
      </c>
    </row>
    <row r="678" spans="1:20" x14ac:dyDescent="0.2">
      <c r="A678" t="s">
        <v>771</v>
      </c>
      <c r="B678" s="2">
        <v>46072.676205503813</v>
      </c>
      <c r="C678" t="s">
        <v>84</v>
      </c>
      <c r="D678" t="s">
        <v>85</v>
      </c>
      <c r="E678" t="s">
        <v>8</v>
      </c>
      <c r="F678" t="s">
        <v>7</v>
      </c>
      <c r="G678" t="s">
        <v>6</v>
      </c>
      <c r="H678" t="str">
        <f>_xlfn.XLOOKUP(Table6[[#This Row],[SKU]],tblProductMaster[SKU],tblProductMaster[Product])</f>
        <v>Shampoo 250ml</v>
      </c>
      <c r="I678">
        <v>411</v>
      </c>
      <c r="J678">
        <f>_xlfn.XLOOKUP(G678,[1]!tblProductMaster[SKU],[1]!tblProductMaster[List Price])</f>
        <v>5.99</v>
      </c>
      <c r="K678" t="s">
        <v>86</v>
      </c>
      <c r="L678" s="3">
        <v>0</v>
      </c>
      <c r="M678" s="9">
        <f t="shared" si="50"/>
        <v>5.99</v>
      </c>
      <c r="N678" s="8">
        <f t="shared" si="51"/>
        <v>2461.89</v>
      </c>
      <c r="O678" s="9">
        <f>_xlfn.XLOOKUP(G678,[1]!tblProductMaster[SKU],[1]!tblProductMaster[Unit Cost])</f>
        <v>2.4</v>
      </c>
      <c r="P678" s="8">
        <f t="shared" si="52"/>
        <v>986.4</v>
      </c>
      <c r="Q678" s="8">
        <f t="shared" si="53"/>
        <v>1475.4899999999998</v>
      </c>
      <c r="R678" s="4">
        <f t="shared" si="54"/>
        <v>0.59933222036727873</v>
      </c>
      <c r="S678" t="s">
        <v>87</v>
      </c>
      <c r="T678">
        <f>Table6[[#This Row],[Discount]]*Table6[[#This Row],[List Price]]*Table6[[#This Row],[Units]]</f>
        <v>0</v>
      </c>
    </row>
    <row r="679" spans="1:20" x14ac:dyDescent="0.2">
      <c r="A679" t="s">
        <v>772</v>
      </c>
      <c r="B679" s="2">
        <v>46232.86400898212</v>
      </c>
      <c r="C679" t="s">
        <v>98</v>
      </c>
      <c r="D679" t="s">
        <v>96</v>
      </c>
      <c r="E679" t="s">
        <v>40</v>
      </c>
      <c r="F679" t="s">
        <v>15</v>
      </c>
      <c r="G679" t="s">
        <v>46</v>
      </c>
      <c r="H679" t="str">
        <f>_xlfn.XLOOKUP(Table6[[#This Row],[SKU]],tblProductMaster[SKU],tblProductMaster[Product])</f>
        <v>Stain Remover</v>
      </c>
      <c r="I679">
        <v>471</v>
      </c>
      <c r="J679">
        <f>_xlfn.XLOOKUP(G679,[1]!tblProductMaster[SKU],[1]!tblProductMaster[List Price])</f>
        <v>5.99</v>
      </c>
      <c r="K679" t="s">
        <v>86</v>
      </c>
      <c r="L679" s="3">
        <v>0</v>
      </c>
      <c r="M679" s="9">
        <f t="shared" si="50"/>
        <v>5.99</v>
      </c>
      <c r="N679" s="8">
        <f t="shared" si="51"/>
        <v>2821.29</v>
      </c>
      <c r="O679" s="9">
        <f>_xlfn.XLOOKUP(G679,[1]!tblProductMaster[SKU],[1]!tblProductMaster[Unit Cost])</f>
        <v>2.5</v>
      </c>
      <c r="P679" s="8">
        <f t="shared" si="52"/>
        <v>1177.5</v>
      </c>
      <c r="Q679" s="8">
        <f t="shared" si="53"/>
        <v>1643.79</v>
      </c>
      <c r="R679" s="4">
        <f t="shared" si="54"/>
        <v>0.58263772954924875</v>
      </c>
      <c r="S679" t="s">
        <v>87</v>
      </c>
      <c r="T679">
        <f>Table6[[#This Row],[Discount]]*Table6[[#This Row],[List Price]]*Table6[[#This Row],[Units]]</f>
        <v>0</v>
      </c>
    </row>
    <row r="680" spans="1:20" x14ac:dyDescent="0.2">
      <c r="A680" t="s">
        <v>773</v>
      </c>
      <c r="B680" s="2">
        <v>46373.867285099965</v>
      </c>
      <c r="C680" t="s">
        <v>98</v>
      </c>
      <c r="D680" t="s">
        <v>104</v>
      </c>
      <c r="E680" t="s">
        <v>56</v>
      </c>
      <c r="F680" t="s">
        <v>18</v>
      </c>
      <c r="G680" t="s">
        <v>68</v>
      </c>
      <c r="H680" t="str">
        <f>_xlfn.XLOOKUP(Table6[[#This Row],[SKU]],tblProductMaster[SKU],tblProductMaster[Product])</f>
        <v>Kids Toothpaste</v>
      </c>
      <c r="I680">
        <v>716</v>
      </c>
      <c r="J680">
        <f>_xlfn.XLOOKUP(G680,[1]!tblProductMaster[SKU],[1]!tblProductMaster[List Price])</f>
        <v>3.29</v>
      </c>
      <c r="K680" t="s">
        <v>89</v>
      </c>
      <c r="L680" s="3">
        <v>0.3</v>
      </c>
      <c r="M680" s="9">
        <f t="shared" si="50"/>
        <v>2.3029999999999999</v>
      </c>
      <c r="N680" s="8">
        <f t="shared" si="51"/>
        <v>1648.9479999999999</v>
      </c>
      <c r="O680" s="9">
        <f>_xlfn.XLOOKUP(G680,[1]!tblProductMaster[SKU],[1]!tblProductMaster[Unit Cost])</f>
        <v>1.1000000000000001</v>
      </c>
      <c r="P680" s="8">
        <f t="shared" si="52"/>
        <v>787.6</v>
      </c>
      <c r="Q680" s="8">
        <f t="shared" si="53"/>
        <v>861.34799999999984</v>
      </c>
      <c r="R680" s="4">
        <f t="shared" si="54"/>
        <v>0.52236213634389916</v>
      </c>
      <c r="S680" t="s">
        <v>94</v>
      </c>
      <c r="T680">
        <f>Table6[[#This Row],[Discount]]*Table6[[#This Row],[List Price]]*Table6[[#This Row],[Units]]</f>
        <v>706.69200000000001</v>
      </c>
    </row>
    <row r="681" spans="1:20" x14ac:dyDescent="0.2">
      <c r="A681" t="s">
        <v>774</v>
      </c>
      <c r="B681" s="2">
        <v>46232.064070812448</v>
      </c>
      <c r="C681" t="s">
        <v>84</v>
      </c>
      <c r="D681" t="s">
        <v>85</v>
      </c>
      <c r="E681" t="s">
        <v>56</v>
      </c>
      <c r="F681" t="s">
        <v>18</v>
      </c>
      <c r="G681" t="s">
        <v>60</v>
      </c>
      <c r="H681" t="str">
        <f>_xlfn.XLOOKUP(Table6[[#This Row],[SKU]],tblProductMaster[SKU],tblProductMaster[Product])</f>
        <v>Sensitive Toothpaste</v>
      </c>
      <c r="I681">
        <v>285</v>
      </c>
      <c r="J681">
        <f>_xlfn.XLOOKUP(G681,[1]!tblProductMaster[SKU],[1]!tblProductMaster[List Price])</f>
        <v>4.49</v>
      </c>
      <c r="K681" t="s">
        <v>86</v>
      </c>
      <c r="L681" s="3">
        <v>0</v>
      </c>
      <c r="M681" s="9">
        <f t="shared" si="50"/>
        <v>4.49</v>
      </c>
      <c r="N681" s="8">
        <f t="shared" si="51"/>
        <v>1279.6500000000001</v>
      </c>
      <c r="O681" s="9">
        <f>_xlfn.XLOOKUP(G681,[1]!tblProductMaster[SKU],[1]!tblProductMaster[Unit Cost])</f>
        <v>1.7</v>
      </c>
      <c r="P681" s="8">
        <f t="shared" si="52"/>
        <v>484.5</v>
      </c>
      <c r="Q681" s="8">
        <f t="shared" si="53"/>
        <v>795.15000000000009</v>
      </c>
      <c r="R681" s="4">
        <f t="shared" si="54"/>
        <v>0.6213808463251671</v>
      </c>
      <c r="S681" t="s">
        <v>87</v>
      </c>
      <c r="T681">
        <f>Table6[[#This Row],[Discount]]*Table6[[#This Row],[List Price]]*Table6[[#This Row],[Units]]</f>
        <v>0</v>
      </c>
    </row>
    <row r="682" spans="1:20" x14ac:dyDescent="0.2">
      <c r="A682" t="s">
        <v>775</v>
      </c>
      <c r="B682" s="2">
        <v>46177.391249829518</v>
      </c>
      <c r="C682" t="s">
        <v>93</v>
      </c>
      <c r="D682" t="s">
        <v>96</v>
      </c>
      <c r="E682" t="s">
        <v>25</v>
      </c>
      <c r="F682" t="s">
        <v>18</v>
      </c>
      <c r="G682" t="s">
        <v>27</v>
      </c>
      <c r="H682" t="str">
        <f>_xlfn.XLOOKUP(Table6[[#This Row],[SKU]],tblProductMaster[SKU],tblProductMaster[Product])</f>
        <v>Face Cream 50ml</v>
      </c>
      <c r="I682">
        <v>552</v>
      </c>
      <c r="J682">
        <f>_xlfn.XLOOKUP(G682,[1]!tblProductMaster[SKU],[1]!tblProductMaster[List Price])</f>
        <v>9.99</v>
      </c>
      <c r="K682" t="s">
        <v>86</v>
      </c>
      <c r="L682" s="3">
        <v>0</v>
      </c>
      <c r="M682" s="9">
        <f t="shared" si="50"/>
        <v>9.99</v>
      </c>
      <c r="N682" s="8">
        <f t="shared" si="51"/>
        <v>5514.4800000000005</v>
      </c>
      <c r="O682" s="9">
        <f>_xlfn.XLOOKUP(G682,[1]!tblProductMaster[SKU],[1]!tblProductMaster[Unit Cost])</f>
        <v>4.2</v>
      </c>
      <c r="P682" s="8">
        <f t="shared" si="52"/>
        <v>2318.4</v>
      </c>
      <c r="Q682" s="8">
        <f t="shared" si="53"/>
        <v>3196.0800000000004</v>
      </c>
      <c r="R682" s="4">
        <f t="shared" si="54"/>
        <v>0.57957957957957962</v>
      </c>
      <c r="S682" t="s">
        <v>87</v>
      </c>
      <c r="T682">
        <f>Table6[[#This Row],[Discount]]*Table6[[#This Row],[List Price]]*Table6[[#This Row],[Units]]</f>
        <v>0</v>
      </c>
    </row>
    <row r="683" spans="1:20" x14ac:dyDescent="0.2">
      <c r="A683" t="s">
        <v>776</v>
      </c>
      <c r="B683" s="2">
        <v>46063.747460002109</v>
      </c>
      <c r="C683" t="s">
        <v>93</v>
      </c>
      <c r="D683" t="s">
        <v>96</v>
      </c>
      <c r="E683" t="s">
        <v>56</v>
      </c>
      <c r="F683" t="s">
        <v>15</v>
      </c>
      <c r="G683" t="s">
        <v>62</v>
      </c>
      <c r="H683" t="str">
        <f>_xlfn.XLOOKUP(Table6[[#This Row],[SKU]],tblProductMaster[SKU],tblProductMaster[Product])</f>
        <v>Mouthwash 500ml</v>
      </c>
      <c r="I683">
        <v>592</v>
      </c>
      <c r="J683">
        <f>_xlfn.XLOOKUP(G683,[1]!tblProductMaster[SKU],[1]!tblProductMaster[List Price])</f>
        <v>5.99</v>
      </c>
      <c r="K683" t="s">
        <v>89</v>
      </c>
      <c r="L683" s="3">
        <v>0.1</v>
      </c>
      <c r="M683" s="9">
        <f t="shared" si="50"/>
        <v>5.391</v>
      </c>
      <c r="N683" s="8">
        <f t="shared" si="51"/>
        <v>3191.4720000000002</v>
      </c>
      <c r="O683" s="9">
        <f>_xlfn.XLOOKUP(G683,[1]!tblProductMaster[SKU],[1]!tblProductMaster[Unit Cost])</f>
        <v>2.4</v>
      </c>
      <c r="P683" s="8">
        <f t="shared" si="52"/>
        <v>1420.8</v>
      </c>
      <c r="Q683" s="8">
        <f t="shared" si="53"/>
        <v>1770.6720000000003</v>
      </c>
      <c r="R683" s="4">
        <f t="shared" si="54"/>
        <v>0.55481357818586541</v>
      </c>
      <c r="S683" t="s">
        <v>90</v>
      </c>
      <c r="T683">
        <f>Table6[[#This Row],[Discount]]*Table6[[#This Row],[List Price]]*Table6[[#This Row],[Units]]</f>
        <v>354.60800000000006</v>
      </c>
    </row>
    <row r="684" spans="1:20" x14ac:dyDescent="0.2">
      <c r="A684" t="s">
        <v>777</v>
      </c>
      <c r="B684" s="2">
        <v>46333.594236209079</v>
      </c>
      <c r="C684" t="s">
        <v>84</v>
      </c>
      <c r="D684" t="s">
        <v>85</v>
      </c>
      <c r="E684" t="s">
        <v>8</v>
      </c>
      <c r="F684" t="s">
        <v>18</v>
      </c>
      <c r="G684" t="s">
        <v>17</v>
      </c>
      <c r="H684" t="str">
        <f>_xlfn.XLOOKUP(Table6[[#This Row],[SKU]],tblProductMaster[SKU],tblProductMaster[Product])</f>
        <v>Anti-Dandruff Shampoo</v>
      </c>
      <c r="I684">
        <v>773</v>
      </c>
      <c r="J684">
        <f>_xlfn.XLOOKUP(G684,[1]!tblProductMaster[SKU],[1]!tblProductMaster[List Price])</f>
        <v>6.49</v>
      </c>
      <c r="K684" t="s">
        <v>89</v>
      </c>
      <c r="L684" s="3">
        <v>0.1</v>
      </c>
      <c r="M684" s="9">
        <f t="shared" si="50"/>
        <v>5.8410000000000002</v>
      </c>
      <c r="N684" s="8">
        <f t="shared" si="51"/>
        <v>4515.0929999999998</v>
      </c>
      <c r="O684" s="9">
        <f>_xlfn.XLOOKUP(G684,[1]!tblProductMaster[SKU],[1]!tblProductMaster[Unit Cost])</f>
        <v>2.8</v>
      </c>
      <c r="P684" s="8">
        <f t="shared" si="52"/>
        <v>2164.3999999999996</v>
      </c>
      <c r="Q684" s="8">
        <f t="shared" si="53"/>
        <v>2350.6930000000002</v>
      </c>
      <c r="R684" s="4">
        <f t="shared" si="54"/>
        <v>0.52063002910460543</v>
      </c>
      <c r="S684" t="s">
        <v>94</v>
      </c>
      <c r="T684">
        <f>Table6[[#This Row],[Discount]]*Table6[[#This Row],[List Price]]*Table6[[#This Row],[Units]]</f>
        <v>501.67700000000002</v>
      </c>
    </row>
    <row r="685" spans="1:20" x14ac:dyDescent="0.2">
      <c r="A685" t="s">
        <v>778</v>
      </c>
      <c r="B685" s="2">
        <v>46326.506592036298</v>
      </c>
      <c r="C685" t="s">
        <v>84</v>
      </c>
      <c r="D685" t="s">
        <v>85</v>
      </c>
      <c r="E685" t="s">
        <v>56</v>
      </c>
      <c r="F685" t="s">
        <v>7</v>
      </c>
      <c r="G685" t="s">
        <v>64</v>
      </c>
      <c r="H685" t="str">
        <f>_xlfn.XLOOKUP(Table6[[#This Row],[SKU]],tblProductMaster[SKU],tblProductMaster[Product])</f>
        <v>Toothbrush</v>
      </c>
      <c r="I685">
        <v>603</v>
      </c>
      <c r="J685">
        <f>_xlfn.XLOOKUP(G685,[1]!tblProductMaster[SKU],[1]!tblProductMaster[List Price])</f>
        <v>3.99</v>
      </c>
      <c r="K685" t="s">
        <v>86</v>
      </c>
      <c r="L685" s="3">
        <v>0</v>
      </c>
      <c r="M685" s="9">
        <f t="shared" si="50"/>
        <v>3.99</v>
      </c>
      <c r="N685" s="8">
        <f t="shared" si="51"/>
        <v>2405.9700000000003</v>
      </c>
      <c r="O685" s="9">
        <f>_xlfn.XLOOKUP(G685,[1]!tblProductMaster[SKU],[1]!tblProductMaster[Unit Cost])</f>
        <v>1.5</v>
      </c>
      <c r="P685" s="8">
        <f t="shared" si="52"/>
        <v>904.5</v>
      </c>
      <c r="Q685" s="8">
        <f t="shared" si="53"/>
        <v>1501.4700000000003</v>
      </c>
      <c r="R685" s="4">
        <f t="shared" si="54"/>
        <v>0.62406015037593987</v>
      </c>
      <c r="S685" t="s">
        <v>87</v>
      </c>
      <c r="T685">
        <f>Table6[[#This Row],[Discount]]*Table6[[#This Row],[List Price]]*Table6[[#This Row],[Units]]</f>
        <v>0</v>
      </c>
    </row>
    <row r="686" spans="1:20" x14ac:dyDescent="0.2">
      <c r="A686" t="s">
        <v>779</v>
      </c>
      <c r="B686" s="2">
        <v>46105.786874985315</v>
      </c>
      <c r="C686" t="s">
        <v>93</v>
      </c>
      <c r="D686" t="s">
        <v>104</v>
      </c>
      <c r="E686" t="s">
        <v>25</v>
      </c>
      <c r="F686" t="s">
        <v>18</v>
      </c>
      <c r="G686" t="s">
        <v>37</v>
      </c>
      <c r="H686" t="str">
        <f>_xlfn.XLOOKUP(Table6[[#This Row],[SKU]],tblProductMaster[SKU],tblProductMaster[Product])</f>
        <v>Body Wash</v>
      </c>
      <c r="I686">
        <v>1119</v>
      </c>
      <c r="J686">
        <f>_xlfn.XLOOKUP(G686,[1]!tblProductMaster[SKU],[1]!tblProductMaster[List Price])</f>
        <v>5.49</v>
      </c>
      <c r="K686" t="s">
        <v>89</v>
      </c>
      <c r="L686" s="3">
        <v>0.1</v>
      </c>
      <c r="M686" s="9">
        <f t="shared" si="50"/>
        <v>4.9410000000000007</v>
      </c>
      <c r="N686" s="8">
        <f t="shared" si="51"/>
        <v>5528.9790000000012</v>
      </c>
      <c r="O686" s="9">
        <f>_xlfn.XLOOKUP(G686,[1]!tblProductMaster[SKU],[1]!tblProductMaster[Unit Cost])</f>
        <v>2.2999999999999998</v>
      </c>
      <c r="P686" s="8">
        <f t="shared" si="52"/>
        <v>2573.6999999999998</v>
      </c>
      <c r="Q686" s="8">
        <f t="shared" si="53"/>
        <v>2955.2790000000014</v>
      </c>
      <c r="R686" s="4">
        <f t="shared" si="54"/>
        <v>0.53450718478040893</v>
      </c>
      <c r="S686" t="s">
        <v>90</v>
      </c>
      <c r="T686">
        <f>Table6[[#This Row],[Discount]]*Table6[[#This Row],[List Price]]*Table6[[#This Row],[Units]]</f>
        <v>614.33100000000002</v>
      </c>
    </row>
    <row r="687" spans="1:20" x14ac:dyDescent="0.2">
      <c r="A687" t="s">
        <v>780</v>
      </c>
      <c r="B687" s="2">
        <v>46095.933989992402</v>
      </c>
      <c r="C687" t="s">
        <v>98</v>
      </c>
      <c r="D687" t="s">
        <v>104</v>
      </c>
      <c r="E687" t="s">
        <v>8</v>
      </c>
      <c r="F687" t="s">
        <v>15</v>
      </c>
      <c r="G687" t="s">
        <v>16</v>
      </c>
      <c r="H687" t="str">
        <f>_xlfn.XLOOKUP(Table6[[#This Row],[SKU]],tblProductMaster[SKU],tblProductMaster[Product])</f>
        <v>Conditioner 250ml</v>
      </c>
      <c r="I687">
        <v>345</v>
      </c>
      <c r="J687">
        <f>_xlfn.XLOOKUP(G687,[1]!tblProductMaster[SKU],[1]!tblProductMaster[List Price])</f>
        <v>4.79</v>
      </c>
      <c r="K687" t="s">
        <v>86</v>
      </c>
      <c r="L687" s="3">
        <v>0</v>
      </c>
      <c r="M687" s="9">
        <f t="shared" si="50"/>
        <v>4.79</v>
      </c>
      <c r="N687" s="8">
        <f t="shared" si="51"/>
        <v>1652.55</v>
      </c>
      <c r="O687" s="9">
        <f>_xlfn.XLOOKUP(G687,[1]!tblProductMaster[SKU],[1]!tblProductMaster[Unit Cost])</f>
        <v>2</v>
      </c>
      <c r="P687" s="8">
        <f t="shared" si="52"/>
        <v>690</v>
      </c>
      <c r="Q687" s="8">
        <f t="shared" si="53"/>
        <v>962.55</v>
      </c>
      <c r="R687" s="4">
        <f t="shared" si="54"/>
        <v>0.58246346555323592</v>
      </c>
      <c r="S687" t="s">
        <v>87</v>
      </c>
      <c r="T687">
        <f>Table6[[#This Row],[Discount]]*Table6[[#This Row],[List Price]]*Table6[[#This Row],[Units]]</f>
        <v>0</v>
      </c>
    </row>
    <row r="688" spans="1:20" x14ac:dyDescent="0.2">
      <c r="A688" t="s">
        <v>781</v>
      </c>
      <c r="B688" s="2">
        <v>46251.18339309928</v>
      </c>
      <c r="C688" t="s">
        <v>84</v>
      </c>
      <c r="D688" t="s">
        <v>85</v>
      </c>
      <c r="E688" t="s">
        <v>56</v>
      </c>
      <c r="F688" t="s">
        <v>15</v>
      </c>
      <c r="G688" t="s">
        <v>55</v>
      </c>
      <c r="H688" t="str">
        <f>_xlfn.XLOOKUP(Table6[[#This Row],[SKU]],tblProductMaster[SKU],tblProductMaster[Product])</f>
        <v>Toothpaste 75ml</v>
      </c>
      <c r="I688">
        <v>523</v>
      </c>
      <c r="J688">
        <f>_xlfn.XLOOKUP(G688,[1]!tblProductMaster[SKU],[1]!tblProductMaster[List Price])</f>
        <v>3.49</v>
      </c>
      <c r="K688" t="s">
        <v>86</v>
      </c>
      <c r="L688" s="3">
        <v>0</v>
      </c>
      <c r="M688" s="9">
        <f t="shared" si="50"/>
        <v>3.49</v>
      </c>
      <c r="N688" s="8">
        <f t="shared" si="51"/>
        <v>1825.2700000000002</v>
      </c>
      <c r="O688" s="9">
        <f>_xlfn.XLOOKUP(G688,[1]!tblProductMaster[SKU],[1]!tblProductMaster[Unit Cost])</f>
        <v>1.2</v>
      </c>
      <c r="P688" s="8">
        <f t="shared" si="52"/>
        <v>627.6</v>
      </c>
      <c r="Q688" s="8">
        <f t="shared" si="53"/>
        <v>1197.67</v>
      </c>
      <c r="R688" s="4">
        <f t="shared" si="54"/>
        <v>0.65616045845272197</v>
      </c>
      <c r="S688" t="s">
        <v>87</v>
      </c>
      <c r="T688">
        <f>Table6[[#This Row],[Discount]]*Table6[[#This Row],[List Price]]*Table6[[#This Row],[Units]]</f>
        <v>0</v>
      </c>
    </row>
    <row r="689" spans="1:20" x14ac:dyDescent="0.2">
      <c r="A689" t="s">
        <v>782</v>
      </c>
      <c r="B689" s="2">
        <v>46086.177517601303</v>
      </c>
      <c r="C689" t="s">
        <v>98</v>
      </c>
      <c r="D689" t="s">
        <v>96</v>
      </c>
      <c r="E689" t="s">
        <v>56</v>
      </c>
      <c r="F689" t="s">
        <v>18</v>
      </c>
      <c r="G689" t="s">
        <v>68</v>
      </c>
      <c r="H689" t="str">
        <f>_xlfn.XLOOKUP(Table6[[#This Row],[SKU]],tblProductMaster[SKU],tblProductMaster[Product])</f>
        <v>Kids Toothpaste</v>
      </c>
      <c r="I689">
        <v>737</v>
      </c>
      <c r="J689">
        <f>_xlfn.XLOOKUP(G689,[1]!tblProductMaster[SKU],[1]!tblProductMaster[List Price])</f>
        <v>3.29</v>
      </c>
      <c r="K689" t="s">
        <v>86</v>
      </c>
      <c r="L689" s="3">
        <v>0</v>
      </c>
      <c r="M689" s="9">
        <f t="shared" si="50"/>
        <v>3.29</v>
      </c>
      <c r="N689" s="8">
        <f t="shared" si="51"/>
        <v>2424.73</v>
      </c>
      <c r="O689" s="9">
        <f>_xlfn.XLOOKUP(G689,[1]!tblProductMaster[SKU],[1]!tblProductMaster[Unit Cost])</f>
        <v>1.1000000000000001</v>
      </c>
      <c r="P689" s="8">
        <f t="shared" si="52"/>
        <v>810.7</v>
      </c>
      <c r="Q689" s="8">
        <f t="shared" si="53"/>
        <v>1614.03</v>
      </c>
      <c r="R689" s="4">
        <f t="shared" si="54"/>
        <v>0.66565349544072949</v>
      </c>
      <c r="S689" t="s">
        <v>87</v>
      </c>
      <c r="T689">
        <f>Table6[[#This Row],[Discount]]*Table6[[#This Row],[List Price]]*Table6[[#This Row],[Units]]</f>
        <v>0</v>
      </c>
    </row>
    <row r="690" spans="1:20" x14ac:dyDescent="0.2">
      <c r="A690" t="s">
        <v>783</v>
      </c>
      <c r="B690" s="2">
        <v>46062.902013560095</v>
      </c>
      <c r="C690" t="s">
        <v>93</v>
      </c>
      <c r="D690" t="s">
        <v>96</v>
      </c>
      <c r="E690" t="s">
        <v>8</v>
      </c>
      <c r="F690" t="s">
        <v>15</v>
      </c>
      <c r="G690" t="s">
        <v>22</v>
      </c>
      <c r="H690" t="str">
        <f>_xlfn.XLOOKUP(Table6[[#This Row],[SKU]],tblProductMaster[SKU],tblProductMaster[Product])</f>
        <v>Styling Gel</v>
      </c>
      <c r="I690">
        <v>405</v>
      </c>
      <c r="J690">
        <f>_xlfn.XLOOKUP(G690,[1]!tblProductMaster[SKU],[1]!tblProductMaster[List Price])</f>
        <v>4.49</v>
      </c>
      <c r="K690" t="s">
        <v>86</v>
      </c>
      <c r="L690" s="3">
        <v>0</v>
      </c>
      <c r="M690" s="9">
        <f t="shared" si="50"/>
        <v>4.49</v>
      </c>
      <c r="N690" s="8">
        <f t="shared" si="51"/>
        <v>1818.45</v>
      </c>
      <c r="O690" s="9">
        <f>_xlfn.XLOOKUP(G690,[1]!tblProductMaster[SKU],[1]!tblProductMaster[Unit Cost])</f>
        <v>1.9</v>
      </c>
      <c r="P690" s="8">
        <f t="shared" si="52"/>
        <v>769.5</v>
      </c>
      <c r="Q690" s="8">
        <f t="shared" si="53"/>
        <v>1048.95</v>
      </c>
      <c r="R690" s="4">
        <f t="shared" si="54"/>
        <v>0.57683741648106901</v>
      </c>
      <c r="S690" t="s">
        <v>87</v>
      </c>
      <c r="T690">
        <f>Table6[[#This Row],[Discount]]*Table6[[#This Row],[List Price]]*Table6[[#This Row],[Units]]</f>
        <v>0</v>
      </c>
    </row>
    <row r="691" spans="1:20" x14ac:dyDescent="0.2">
      <c r="A691" t="s">
        <v>784</v>
      </c>
      <c r="B691" s="2">
        <v>46192.128376599503</v>
      </c>
      <c r="C691" t="s">
        <v>93</v>
      </c>
      <c r="D691" t="s">
        <v>85</v>
      </c>
      <c r="E691" t="s">
        <v>40</v>
      </c>
      <c r="F691" t="s">
        <v>18</v>
      </c>
      <c r="G691" t="s">
        <v>42</v>
      </c>
      <c r="H691" t="str">
        <f>_xlfn.XLOOKUP(Table6[[#This Row],[SKU]],tblProductMaster[SKU],tblProductMaster[Product])</f>
        <v>Detergent Capsules</v>
      </c>
      <c r="I691">
        <v>669</v>
      </c>
      <c r="J691">
        <f>_xlfn.XLOOKUP(G691,[1]!tblProductMaster[SKU],[1]!tblProductMaster[List Price])</f>
        <v>11.99</v>
      </c>
      <c r="K691" t="s">
        <v>89</v>
      </c>
      <c r="L691" s="3">
        <v>0.3</v>
      </c>
      <c r="M691" s="9">
        <f t="shared" si="50"/>
        <v>8.3929999999999989</v>
      </c>
      <c r="N691" s="8">
        <f t="shared" si="51"/>
        <v>5614.9169999999995</v>
      </c>
      <c r="O691" s="9">
        <f>_xlfn.XLOOKUP(G691,[1]!tblProductMaster[SKU],[1]!tblProductMaster[Unit Cost])</f>
        <v>5.2</v>
      </c>
      <c r="P691" s="8">
        <f t="shared" si="52"/>
        <v>3478.8</v>
      </c>
      <c r="Q691" s="8">
        <f t="shared" si="53"/>
        <v>2136.1169999999993</v>
      </c>
      <c r="R691" s="4">
        <f t="shared" si="54"/>
        <v>0.38043607768378401</v>
      </c>
      <c r="S691" t="s">
        <v>90</v>
      </c>
      <c r="T691">
        <f>Table6[[#This Row],[Discount]]*Table6[[#This Row],[List Price]]*Table6[[#This Row],[Units]]</f>
        <v>2406.393</v>
      </c>
    </row>
    <row r="692" spans="1:20" x14ac:dyDescent="0.2">
      <c r="A692" t="s">
        <v>785</v>
      </c>
      <c r="B692" s="2">
        <v>46314.641364692958</v>
      </c>
      <c r="C692" t="s">
        <v>84</v>
      </c>
      <c r="D692" t="s">
        <v>85</v>
      </c>
      <c r="E692" t="s">
        <v>40</v>
      </c>
      <c r="F692" t="s">
        <v>15</v>
      </c>
      <c r="G692" t="s">
        <v>52</v>
      </c>
      <c r="H692" t="str">
        <f>_xlfn.XLOOKUP(Table6[[#This Row],[SKU]],tblProductMaster[SKU],tblProductMaster[Product])</f>
        <v>Laundry Pods</v>
      </c>
      <c r="I692">
        <v>533</v>
      </c>
      <c r="J692">
        <f>_xlfn.XLOOKUP(G692,[1]!tblProductMaster[SKU],[1]!tblProductMaster[List Price])</f>
        <v>10.49</v>
      </c>
      <c r="K692" t="s">
        <v>86</v>
      </c>
      <c r="L692" s="3">
        <v>0</v>
      </c>
      <c r="M692" s="9">
        <f t="shared" si="50"/>
        <v>10.49</v>
      </c>
      <c r="N692" s="8">
        <f t="shared" si="51"/>
        <v>5591.17</v>
      </c>
      <c r="O692" s="9">
        <f>_xlfn.XLOOKUP(G692,[1]!tblProductMaster[SKU],[1]!tblProductMaster[Unit Cost])</f>
        <v>4.5999999999999996</v>
      </c>
      <c r="P692" s="8">
        <f t="shared" si="52"/>
        <v>2451.7999999999997</v>
      </c>
      <c r="Q692" s="8">
        <f t="shared" si="53"/>
        <v>3139.3700000000003</v>
      </c>
      <c r="R692" s="4">
        <f t="shared" si="54"/>
        <v>0.56148713060057198</v>
      </c>
      <c r="S692" t="s">
        <v>87</v>
      </c>
      <c r="T692">
        <f>Table6[[#This Row],[Discount]]*Table6[[#This Row],[List Price]]*Table6[[#This Row],[Units]]</f>
        <v>0</v>
      </c>
    </row>
    <row r="693" spans="1:20" x14ac:dyDescent="0.2">
      <c r="A693" t="s">
        <v>786</v>
      </c>
      <c r="B693" s="2">
        <v>46081.886500447472</v>
      </c>
      <c r="C693" t="s">
        <v>93</v>
      </c>
      <c r="D693" t="s">
        <v>85</v>
      </c>
      <c r="E693" t="s">
        <v>40</v>
      </c>
      <c r="F693" t="s">
        <v>18</v>
      </c>
      <c r="G693" t="s">
        <v>42</v>
      </c>
      <c r="H693" t="str">
        <f>_xlfn.XLOOKUP(Table6[[#This Row],[SKU]],tblProductMaster[SKU],tblProductMaster[Product])</f>
        <v>Detergent Capsules</v>
      </c>
      <c r="I693">
        <v>255</v>
      </c>
      <c r="J693">
        <f>_xlfn.XLOOKUP(G693,[1]!tblProductMaster[SKU],[1]!tblProductMaster[List Price])</f>
        <v>11.99</v>
      </c>
      <c r="K693" t="s">
        <v>86</v>
      </c>
      <c r="L693" s="3">
        <v>0</v>
      </c>
      <c r="M693" s="9">
        <f t="shared" si="50"/>
        <v>11.99</v>
      </c>
      <c r="N693" s="8">
        <f t="shared" si="51"/>
        <v>3057.4500000000003</v>
      </c>
      <c r="O693" s="9">
        <f>_xlfn.XLOOKUP(G693,[1]!tblProductMaster[SKU],[1]!tblProductMaster[Unit Cost])</f>
        <v>5.2</v>
      </c>
      <c r="P693" s="8">
        <f t="shared" si="52"/>
        <v>1326</v>
      </c>
      <c r="Q693" s="8">
        <f t="shared" si="53"/>
        <v>1731.4500000000003</v>
      </c>
      <c r="R693" s="4">
        <f t="shared" si="54"/>
        <v>0.56630525437864887</v>
      </c>
      <c r="S693" t="s">
        <v>87</v>
      </c>
      <c r="T693">
        <f>Table6[[#This Row],[Discount]]*Table6[[#This Row],[List Price]]*Table6[[#This Row],[Units]]</f>
        <v>0</v>
      </c>
    </row>
    <row r="694" spans="1:20" x14ac:dyDescent="0.2">
      <c r="A694" t="s">
        <v>787</v>
      </c>
      <c r="B694" s="2">
        <v>46297.794292130558</v>
      </c>
      <c r="C694" t="s">
        <v>93</v>
      </c>
      <c r="D694" t="s">
        <v>96</v>
      </c>
      <c r="E694" t="s">
        <v>56</v>
      </c>
      <c r="F694" t="s">
        <v>15</v>
      </c>
      <c r="G694" t="s">
        <v>62</v>
      </c>
      <c r="H694" t="str">
        <f>_xlfn.XLOOKUP(Table6[[#This Row],[SKU]],tblProductMaster[SKU],tblProductMaster[Product])</f>
        <v>Mouthwash 500ml</v>
      </c>
      <c r="I694">
        <v>655</v>
      </c>
      <c r="J694">
        <f>_xlfn.XLOOKUP(G694,[1]!tblProductMaster[SKU],[1]!tblProductMaster[List Price])</f>
        <v>5.99</v>
      </c>
      <c r="K694" t="s">
        <v>86</v>
      </c>
      <c r="L694" s="3">
        <v>0</v>
      </c>
      <c r="M694" s="9">
        <f t="shared" si="50"/>
        <v>5.99</v>
      </c>
      <c r="N694" s="8">
        <f t="shared" si="51"/>
        <v>3923.4500000000003</v>
      </c>
      <c r="O694" s="9">
        <f>_xlfn.XLOOKUP(G694,[1]!tblProductMaster[SKU],[1]!tblProductMaster[Unit Cost])</f>
        <v>2.4</v>
      </c>
      <c r="P694" s="8">
        <f t="shared" si="52"/>
        <v>1572</v>
      </c>
      <c r="Q694" s="8">
        <f t="shared" si="53"/>
        <v>2351.4500000000003</v>
      </c>
      <c r="R694" s="4">
        <f t="shared" si="54"/>
        <v>0.59933222036727885</v>
      </c>
      <c r="S694" t="s">
        <v>87</v>
      </c>
      <c r="T694">
        <f>Table6[[#This Row],[Discount]]*Table6[[#This Row],[List Price]]*Table6[[#This Row],[Units]]</f>
        <v>0</v>
      </c>
    </row>
    <row r="695" spans="1:20" x14ac:dyDescent="0.2">
      <c r="A695" t="s">
        <v>788</v>
      </c>
      <c r="B695" s="2">
        <v>46317.194565322083</v>
      </c>
      <c r="C695" t="s">
        <v>98</v>
      </c>
      <c r="D695" t="s">
        <v>104</v>
      </c>
      <c r="E695" t="s">
        <v>56</v>
      </c>
      <c r="F695" t="s">
        <v>7</v>
      </c>
      <c r="G695" t="s">
        <v>64</v>
      </c>
      <c r="H695" t="str">
        <f>_xlfn.XLOOKUP(Table6[[#This Row],[SKU]],tblProductMaster[SKU],tblProductMaster[Product])</f>
        <v>Toothbrush</v>
      </c>
      <c r="I695">
        <v>796</v>
      </c>
      <c r="J695">
        <f>_xlfn.XLOOKUP(G695,[1]!tblProductMaster[SKU],[1]!tblProductMaster[List Price])</f>
        <v>3.99</v>
      </c>
      <c r="K695" t="s">
        <v>86</v>
      </c>
      <c r="L695" s="3">
        <v>0</v>
      </c>
      <c r="M695" s="9">
        <f t="shared" si="50"/>
        <v>3.99</v>
      </c>
      <c r="N695" s="8">
        <f t="shared" si="51"/>
        <v>3176.04</v>
      </c>
      <c r="O695" s="9">
        <f>_xlfn.XLOOKUP(G695,[1]!tblProductMaster[SKU],[1]!tblProductMaster[Unit Cost])</f>
        <v>1.5</v>
      </c>
      <c r="P695" s="8">
        <f t="shared" si="52"/>
        <v>1194</v>
      </c>
      <c r="Q695" s="8">
        <f t="shared" si="53"/>
        <v>1982.04</v>
      </c>
      <c r="R695" s="4">
        <f t="shared" si="54"/>
        <v>0.62406015037593987</v>
      </c>
      <c r="S695" t="s">
        <v>87</v>
      </c>
      <c r="T695">
        <f>Table6[[#This Row],[Discount]]*Table6[[#This Row],[List Price]]*Table6[[#This Row],[Units]]</f>
        <v>0</v>
      </c>
    </row>
    <row r="696" spans="1:20" x14ac:dyDescent="0.2">
      <c r="A696" t="s">
        <v>789</v>
      </c>
      <c r="B696" s="2">
        <v>46181.022969096273</v>
      </c>
      <c r="C696" t="s">
        <v>93</v>
      </c>
      <c r="D696" t="s">
        <v>85</v>
      </c>
      <c r="E696" t="s">
        <v>56</v>
      </c>
      <c r="F696" t="s">
        <v>7</v>
      </c>
      <c r="G696" t="s">
        <v>58</v>
      </c>
      <c r="H696" t="str">
        <f>_xlfn.XLOOKUP(Table6[[#This Row],[SKU]],tblProductMaster[SKU],tblProductMaster[Product])</f>
        <v>Whitening Toothpaste</v>
      </c>
      <c r="I696">
        <v>767</v>
      </c>
      <c r="J696">
        <f>_xlfn.XLOOKUP(G696,[1]!tblProductMaster[SKU],[1]!tblProductMaster[List Price])</f>
        <v>4.99</v>
      </c>
      <c r="K696" t="s">
        <v>86</v>
      </c>
      <c r="L696" s="3">
        <v>0</v>
      </c>
      <c r="M696" s="9">
        <f t="shared" si="50"/>
        <v>4.99</v>
      </c>
      <c r="N696" s="8">
        <f t="shared" si="51"/>
        <v>3827.3300000000004</v>
      </c>
      <c r="O696" s="9">
        <f>_xlfn.XLOOKUP(G696,[1]!tblProductMaster[SKU],[1]!tblProductMaster[Unit Cost])</f>
        <v>1.8</v>
      </c>
      <c r="P696" s="8">
        <f t="shared" si="52"/>
        <v>1380.6000000000001</v>
      </c>
      <c r="Q696" s="8">
        <f t="shared" si="53"/>
        <v>2446.7300000000005</v>
      </c>
      <c r="R696" s="4">
        <f t="shared" si="54"/>
        <v>0.63927855711422854</v>
      </c>
      <c r="S696" t="s">
        <v>87</v>
      </c>
      <c r="T696">
        <f>Table6[[#This Row],[Discount]]*Table6[[#This Row],[List Price]]*Table6[[#This Row],[Units]]</f>
        <v>0</v>
      </c>
    </row>
    <row r="697" spans="1:20" x14ac:dyDescent="0.2">
      <c r="A697" t="s">
        <v>790</v>
      </c>
      <c r="B697" s="2">
        <v>46258.791363132332</v>
      </c>
      <c r="C697" t="s">
        <v>84</v>
      </c>
      <c r="D697" t="s">
        <v>104</v>
      </c>
      <c r="E697" t="s">
        <v>25</v>
      </c>
      <c r="F697" t="s">
        <v>18</v>
      </c>
      <c r="G697" t="s">
        <v>27</v>
      </c>
      <c r="H697" t="str">
        <f>_xlfn.XLOOKUP(Table6[[#This Row],[SKU]],tblProductMaster[SKU],tblProductMaster[Product])</f>
        <v>Face Cream 50ml</v>
      </c>
      <c r="I697">
        <v>521</v>
      </c>
      <c r="J697">
        <f>_xlfn.XLOOKUP(G697,[1]!tblProductMaster[SKU],[1]!tblProductMaster[List Price])</f>
        <v>9.99</v>
      </c>
      <c r="K697" t="s">
        <v>86</v>
      </c>
      <c r="L697" s="3">
        <v>0</v>
      </c>
      <c r="M697" s="9">
        <f t="shared" si="50"/>
        <v>9.99</v>
      </c>
      <c r="N697" s="8">
        <f t="shared" si="51"/>
        <v>5204.79</v>
      </c>
      <c r="O697" s="9">
        <f>_xlfn.XLOOKUP(G697,[1]!tblProductMaster[SKU],[1]!tblProductMaster[Unit Cost])</f>
        <v>4.2</v>
      </c>
      <c r="P697" s="8">
        <f t="shared" si="52"/>
        <v>2188.2000000000003</v>
      </c>
      <c r="Q697" s="8">
        <f t="shared" si="53"/>
        <v>3016.5899999999997</v>
      </c>
      <c r="R697" s="4">
        <f t="shared" si="54"/>
        <v>0.57957957957957951</v>
      </c>
      <c r="S697" t="s">
        <v>87</v>
      </c>
      <c r="T697">
        <f>Table6[[#This Row],[Discount]]*Table6[[#This Row],[List Price]]*Table6[[#This Row],[Units]]</f>
        <v>0</v>
      </c>
    </row>
    <row r="698" spans="1:20" x14ac:dyDescent="0.2">
      <c r="A698" t="s">
        <v>791</v>
      </c>
      <c r="B698" s="2">
        <v>46198.631920888183</v>
      </c>
      <c r="C698" t="s">
        <v>93</v>
      </c>
      <c r="D698" t="s">
        <v>104</v>
      </c>
      <c r="E698" t="s">
        <v>40</v>
      </c>
      <c r="F698" t="s">
        <v>15</v>
      </c>
      <c r="G698" t="s">
        <v>46</v>
      </c>
      <c r="H698" t="str">
        <f>_xlfn.XLOOKUP(Table6[[#This Row],[SKU]],tblProductMaster[SKU],tblProductMaster[Product])</f>
        <v>Stain Remover</v>
      </c>
      <c r="I698">
        <v>645</v>
      </c>
      <c r="J698">
        <f>_xlfn.XLOOKUP(G698,[1]!tblProductMaster[SKU],[1]!tblProductMaster[List Price])</f>
        <v>5.99</v>
      </c>
      <c r="K698" t="s">
        <v>86</v>
      </c>
      <c r="L698" s="3">
        <v>0</v>
      </c>
      <c r="M698" s="9">
        <f t="shared" si="50"/>
        <v>5.99</v>
      </c>
      <c r="N698" s="8">
        <f t="shared" si="51"/>
        <v>3863.55</v>
      </c>
      <c r="O698" s="9">
        <f>_xlfn.XLOOKUP(G698,[1]!tblProductMaster[SKU],[1]!tblProductMaster[Unit Cost])</f>
        <v>2.5</v>
      </c>
      <c r="P698" s="8">
        <f t="shared" si="52"/>
        <v>1612.5</v>
      </c>
      <c r="Q698" s="8">
        <f t="shared" si="53"/>
        <v>2251.0500000000002</v>
      </c>
      <c r="R698" s="4">
        <f t="shared" si="54"/>
        <v>0.58263772954924875</v>
      </c>
      <c r="S698" t="s">
        <v>87</v>
      </c>
      <c r="T698">
        <f>Table6[[#This Row],[Discount]]*Table6[[#This Row],[List Price]]*Table6[[#This Row],[Units]]</f>
        <v>0</v>
      </c>
    </row>
    <row r="699" spans="1:20" x14ac:dyDescent="0.2">
      <c r="A699" t="s">
        <v>792</v>
      </c>
      <c r="B699" s="2">
        <v>46100.57795803019</v>
      </c>
      <c r="C699" t="s">
        <v>84</v>
      </c>
      <c r="D699" t="s">
        <v>104</v>
      </c>
      <c r="E699" t="s">
        <v>40</v>
      </c>
      <c r="F699" t="s">
        <v>18</v>
      </c>
      <c r="G699" t="s">
        <v>42</v>
      </c>
      <c r="H699" t="str">
        <f>_xlfn.XLOOKUP(Table6[[#This Row],[SKU]],tblProductMaster[SKU],tblProductMaster[Product])</f>
        <v>Detergent Capsules</v>
      </c>
      <c r="I699">
        <v>558</v>
      </c>
      <c r="J699">
        <f>_xlfn.XLOOKUP(G699,[1]!tblProductMaster[SKU],[1]!tblProductMaster[List Price])</f>
        <v>11.99</v>
      </c>
      <c r="K699" t="s">
        <v>86</v>
      </c>
      <c r="L699" s="3">
        <v>0</v>
      </c>
      <c r="M699" s="9">
        <f t="shared" si="50"/>
        <v>11.99</v>
      </c>
      <c r="N699" s="8">
        <f t="shared" si="51"/>
        <v>6690.42</v>
      </c>
      <c r="O699" s="9">
        <f>_xlfn.XLOOKUP(G699,[1]!tblProductMaster[SKU],[1]!tblProductMaster[Unit Cost])</f>
        <v>5.2</v>
      </c>
      <c r="P699" s="8">
        <f t="shared" si="52"/>
        <v>2901.6</v>
      </c>
      <c r="Q699" s="8">
        <f t="shared" si="53"/>
        <v>3788.82</v>
      </c>
      <c r="R699" s="4">
        <f t="shared" si="54"/>
        <v>0.56630525437864887</v>
      </c>
      <c r="S699" t="s">
        <v>87</v>
      </c>
      <c r="T699">
        <f>Table6[[#This Row],[Discount]]*Table6[[#This Row],[List Price]]*Table6[[#This Row],[Units]]</f>
        <v>0</v>
      </c>
    </row>
    <row r="700" spans="1:20" x14ac:dyDescent="0.2">
      <c r="A700" t="s">
        <v>793</v>
      </c>
      <c r="B700" s="2">
        <v>46122.274976803405</v>
      </c>
      <c r="C700" t="s">
        <v>98</v>
      </c>
      <c r="D700" t="s">
        <v>96</v>
      </c>
      <c r="E700" t="s">
        <v>25</v>
      </c>
      <c r="F700" t="s">
        <v>15</v>
      </c>
      <c r="G700" t="s">
        <v>35</v>
      </c>
      <c r="H700" t="str">
        <f>_xlfn.XLOOKUP(Table6[[#This Row],[SKU]],tblProductMaster[SKU],tblProductMaster[Product])</f>
        <v>Hand Cream</v>
      </c>
      <c r="I700">
        <v>245</v>
      </c>
      <c r="J700">
        <f>_xlfn.XLOOKUP(G700,[1]!tblProductMaster[SKU],[1]!tblProductMaster[List Price])</f>
        <v>4.99</v>
      </c>
      <c r="K700" t="s">
        <v>86</v>
      </c>
      <c r="L700" s="3">
        <v>0</v>
      </c>
      <c r="M700" s="9">
        <f t="shared" si="50"/>
        <v>4.99</v>
      </c>
      <c r="N700" s="8">
        <f t="shared" si="51"/>
        <v>1222.55</v>
      </c>
      <c r="O700" s="9">
        <f>_xlfn.XLOOKUP(G700,[1]!tblProductMaster[SKU],[1]!tblProductMaster[Unit Cost])</f>
        <v>2.1</v>
      </c>
      <c r="P700" s="8">
        <f t="shared" si="52"/>
        <v>514.5</v>
      </c>
      <c r="Q700" s="8">
        <f t="shared" si="53"/>
        <v>708.05</v>
      </c>
      <c r="R700" s="4">
        <f t="shared" si="54"/>
        <v>0.57915831663326656</v>
      </c>
      <c r="S700" t="s">
        <v>87</v>
      </c>
      <c r="T700">
        <f>Table6[[#This Row],[Discount]]*Table6[[#This Row],[List Price]]*Table6[[#This Row],[Units]]</f>
        <v>0</v>
      </c>
    </row>
    <row r="701" spans="1:20" x14ac:dyDescent="0.2">
      <c r="A701" t="s">
        <v>794</v>
      </c>
      <c r="B701" s="2">
        <v>46053.125438562129</v>
      </c>
      <c r="C701" t="s">
        <v>93</v>
      </c>
      <c r="D701" t="s">
        <v>96</v>
      </c>
      <c r="E701" t="s">
        <v>25</v>
      </c>
      <c r="F701" t="s">
        <v>7</v>
      </c>
      <c r="G701" t="s">
        <v>33</v>
      </c>
      <c r="H701" t="str">
        <f>_xlfn.XLOOKUP(Table6[[#This Row],[SKU]],tblProductMaster[SKU],tblProductMaster[Product])</f>
        <v>Sunscreen 200ml</v>
      </c>
      <c r="I701">
        <v>325</v>
      </c>
      <c r="J701">
        <f>_xlfn.XLOOKUP(G701,[1]!tblProductMaster[SKU],[1]!tblProductMaster[List Price])</f>
        <v>10.99</v>
      </c>
      <c r="K701" t="s">
        <v>86</v>
      </c>
      <c r="L701" s="3">
        <v>0</v>
      </c>
      <c r="M701" s="9">
        <f t="shared" si="50"/>
        <v>10.99</v>
      </c>
      <c r="N701" s="8">
        <f t="shared" si="51"/>
        <v>3571.75</v>
      </c>
      <c r="O701" s="9">
        <f>_xlfn.XLOOKUP(G701,[1]!tblProductMaster[SKU],[1]!tblProductMaster[Unit Cost])</f>
        <v>4.5999999999999996</v>
      </c>
      <c r="P701" s="8">
        <f t="shared" si="52"/>
        <v>1494.9999999999998</v>
      </c>
      <c r="Q701" s="8">
        <f t="shared" si="53"/>
        <v>2076.75</v>
      </c>
      <c r="R701" s="4">
        <f t="shared" si="54"/>
        <v>0.58143767060964513</v>
      </c>
      <c r="S701" t="s">
        <v>87</v>
      </c>
      <c r="T701">
        <f>Table6[[#This Row],[Discount]]*Table6[[#This Row],[List Price]]*Table6[[#This Row],[Units]]</f>
        <v>0</v>
      </c>
    </row>
    <row r="702" spans="1:20" x14ac:dyDescent="0.2">
      <c r="A702" t="s">
        <v>795</v>
      </c>
      <c r="B702" s="2">
        <v>46045.81474126743</v>
      </c>
      <c r="C702" t="s">
        <v>98</v>
      </c>
      <c r="D702" t="s">
        <v>104</v>
      </c>
      <c r="E702" t="s">
        <v>56</v>
      </c>
      <c r="F702" t="s">
        <v>18</v>
      </c>
      <c r="G702" t="s">
        <v>60</v>
      </c>
      <c r="H702" t="str">
        <f>_xlfn.XLOOKUP(Table6[[#This Row],[SKU]],tblProductMaster[SKU],tblProductMaster[Product])</f>
        <v>Sensitive Toothpaste</v>
      </c>
      <c r="I702">
        <v>461</v>
      </c>
      <c r="J702">
        <f>_xlfn.XLOOKUP(G702,[1]!tblProductMaster[SKU],[1]!tblProductMaster[List Price])</f>
        <v>4.49</v>
      </c>
      <c r="K702" t="s">
        <v>86</v>
      </c>
      <c r="L702" s="3">
        <v>0</v>
      </c>
      <c r="M702" s="9">
        <f t="shared" si="50"/>
        <v>4.49</v>
      </c>
      <c r="N702" s="8">
        <f t="shared" si="51"/>
        <v>2069.89</v>
      </c>
      <c r="O702" s="9">
        <f>_xlfn.XLOOKUP(G702,[1]!tblProductMaster[SKU],[1]!tblProductMaster[Unit Cost])</f>
        <v>1.7</v>
      </c>
      <c r="P702" s="8">
        <f t="shared" si="52"/>
        <v>783.69999999999993</v>
      </c>
      <c r="Q702" s="8">
        <f t="shared" si="53"/>
        <v>1286.19</v>
      </c>
      <c r="R702" s="4">
        <f t="shared" si="54"/>
        <v>0.6213808463251671</v>
      </c>
      <c r="S702" t="s">
        <v>87</v>
      </c>
      <c r="T702">
        <f>Table6[[#This Row],[Discount]]*Table6[[#This Row],[List Price]]*Table6[[#This Row],[Units]]</f>
        <v>0</v>
      </c>
    </row>
    <row r="703" spans="1:20" x14ac:dyDescent="0.2">
      <c r="A703" t="s">
        <v>796</v>
      </c>
      <c r="B703" s="2">
        <v>46103.961771854389</v>
      </c>
      <c r="C703" t="s">
        <v>98</v>
      </c>
      <c r="D703" t="s">
        <v>104</v>
      </c>
      <c r="E703" t="s">
        <v>25</v>
      </c>
      <c r="F703" t="s">
        <v>7</v>
      </c>
      <c r="G703" t="s">
        <v>24</v>
      </c>
      <c r="H703" t="str">
        <f>_xlfn.XLOOKUP(Table6[[#This Row],[SKU]],tblProductMaster[SKU],tblProductMaster[Product])</f>
        <v>Body Lotion 400ml</v>
      </c>
      <c r="I703">
        <v>439</v>
      </c>
      <c r="J703">
        <f>_xlfn.XLOOKUP(G703,[1]!tblProductMaster[SKU],[1]!tblProductMaster[List Price])</f>
        <v>7.99</v>
      </c>
      <c r="K703" t="s">
        <v>86</v>
      </c>
      <c r="L703" s="3">
        <v>0</v>
      </c>
      <c r="M703" s="9">
        <f t="shared" si="50"/>
        <v>7.99</v>
      </c>
      <c r="N703" s="8">
        <f t="shared" si="51"/>
        <v>3507.61</v>
      </c>
      <c r="O703" s="9">
        <f>_xlfn.XLOOKUP(G703,[1]!tblProductMaster[SKU],[1]!tblProductMaster[Unit Cost])</f>
        <v>3.1</v>
      </c>
      <c r="P703" s="8">
        <f t="shared" si="52"/>
        <v>1360.9</v>
      </c>
      <c r="Q703" s="8">
        <f t="shared" si="53"/>
        <v>2146.71</v>
      </c>
      <c r="R703" s="4">
        <f t="shared" si="54"/>
        <v>0.61201501877346687</v>
      </c>
      <c r="S703" t="s">
        <v>87</v>
      </c>
      <c r="T703">
        <f>Table6[[#This Row],[Discount]]*Table6[[#This Row],[List Price]]*Table6[[#This Row],[Units]]</f>
        <v>0</v>
      </c>
    </row>
    <row r="704" spans="1:20" x14ac:dyDescent="0.2">
      <c r="A704" t="s">
        <v>797</v>
      </c>
      <c r="B704" s="2">
        <v>46345.331196068015</v>
      </c>
      <c r="C704" t="s">
        <v>84</v>
      </c>
      <c r="D704" t="s">
        <v>85</v>
      </c>
      <c r="E704" t="s">
        <v>56</v>
      </c>
      <c r="F704" t="s">
        <v>15</v>
      </c>
      <c r="G704" t="s">
        <v>62</v>
      </c>
      <c r="H704" t="str">
        <f>_xlfn.XLOOKUP(Table6[[#This Row],[SKU]],tblProductMaster[SKU],tblProductMaster[Product])</f>
        <v>Mouthwash 500ml</v>
      </c>
      <c r="I704">
        <v>460</v>
      </c>
      <c r="J704">
        <f>_xlfn.XLOOKUP(G704,[1]!tblProductMaster[SKU],[1]!tblProductMaster[List Price])</f>
        <v>5.99</v>
      </c>
      <c r="K704" t="s">
        <v>86</v>
      </c>
      <c r="L704" s="3">
        <v>0</v>
      </c>
      <c r="M704" s="9">
        <f t="shared" si="50"/>
        <v>5.99</v>
      </c>
      <c r="N704" s="8">
        <f t="shared" si="51"/>
        <v>2755.4</v>
      </c>
      <c r="O704" s="9">
        <f>_xlfn.XLOOKUP(G704,[1]!tblProductMaster[SKU],[1]!tblProductMaster[Unit Cost])</f>
        <v>2.4</v>
      </c>
      <c r="P704" s="8">
        <f t="shared" si="52"/>
        <v>1104</v>
      </c>
      <c r="Q704" s="8">
        <f t="shared" si="53"/>
        <v>1651.4</v>
      </c>
      <c r="R704" s="4">
        <f t="shared" si="54"/>
        <v>0.59933222036727885</v>
      </c>
      <c r="S704" t="s">
        <v>87</v>
      </c>
      <c r="T704">
        <f>Table6[[#This Row],[Discount]]*Table6[[#This Row],[List Price]]*Table6[[#This Row],[Units]]</f>
        <v>0</v>
      </c>
    </row>
    <row r="705" spans="1:20" x14ac:dyDescent="0.2">
      <c r="A705" t="s">
        <v>798</v>
      </c>
      <c r="B705" s="2">
        <v>46362.994574463388</v>
      </c>
      <c r="C705" t="s">
        <v>98</v>
      </c>
      <c r="D705" t="s">
        <v>104</v>
      </c>
      <c r="E705" t="s">
        <v>40</v>
      </c>
      <c r="F705" t="s">
        <v>15</v>
      </c>
      <c r="G705" t="s">
        <v>39</v>
      </c>
      <c r="H705" t="str">
        <f>_xlfn.XLOOKUP(Table6[[#This Row],[SKU]],tblProductMaster[SKU],tblProductMaster[Product])</f>
        <v>Detergent 1L</v>
      </c>
      <c r="I705">
        <v>441</v>
      </c>
      <c r="J705">
        <f>_xlfn.XLOOKUP(G705,[1]!tblProductMaster[SKU],[1]!tblProductMaster[List Price])</f>
        <v>8.49</v>
      </c>
      <c r="K705" t="s">
        <v>86</v>
      </c>
      <c r="L705" s="3">
        <v>0</v>
      </c>
      <c r="M705" s="9">
        <f t="shared" si="50"/>
        <v>8.49</v>
      </c>
      <c r="N705" s="8">
        <f t="shared" si="51"/>
        <v>3744.09</v>
      </c>
      <c r="O705" s="9">
        <f>_xlfn.XLOOKUP(G705,[1]!tblProductMaster[SKU],[1]!tblProductMaster[Unit Cost])</f>
        <v>3.8</v>
      </c>
      <c r="P705" s="8">
        <f t="shared" si="52"/>
        <v>1675.8</v>
      </c>
      <c r="Q705" s="8">
        <f t="shared" si="53"/>
        <v>2068.29</v>
      </c>
      <c r="R705" s="4">
        <f t="shared" si="54"/>
        <v>0.55241460541813892</v>
      </c>
      <c r="S705" t="s">
        <v>87</v>
      </c>
      <c r="T705">
        <f>Table6[[#This Row],[Discount]]*Table6[[#This Row],[List Price]]*Table6[[#This Row],[Units]]</f>
        <v>0</v>
      </c>
    </row>
    <row r="706" spans="1:20" x14ac:dyDescent="0.2">
      <c r="A706" t="s">
        <v>799</v>
      </c>
      <c r="B706" s="2">
        <v>46320.738870852183</v>
      </c>
      <c r="C706" t="s">
        <v>98</v>
      </c>
      <c r="D706" t="s">
        <v>85</v>
      </c>
      <c r="E706" t="s">
        <v>56</v>
      </c>
      <c r="F706" t="s">
        <v>7</v>
      </c>
      <c r="G706" t="s">
        <v>66</v>
      </c>
      <c r="H706" t="str">
        <f>_xlfn.XLOOKUP(Table6[[#This Row],[SKU]],tblProductMaster[SKU],tblProductMaster[Product])</f>
        <v>Electric Brush Heads</v>
      </c>
      <c r="I706">
        <v>474</v>
      </c>
      <c r="J706">
        <f>_xlfn.XLOOKUP(G706,[1]!tblProductMaster[SKU],[1]!tblProductMaster[List Price])</f>
        <v>12.99</v>
      </c>
      <c r="K706" t="s">
        <v>86</v>
      </c>
      <c r="L706" s="3">
        <v>0</v>
      </c>
      <c r="M706" s="9">
        <f t="shared" si="50"/>
        <v>12.99</v>
      </c>
      <c r="N706" s="8">
        <f t="shared" si="51"/>
        <v>6157.26</v>
      </c>
      <c r="O706" s="9">
        <f>_xlfn.XLOOKUP(G706,[1]!tblProductMaster[SKU],[1]!tblProductMaster[Unit Cost])</f>
        <v>5.2</v>
      </c>
      <c r="P706" s="8">
        <f t="shared" si="52"/>
        <v>2464.8000000000002</v>
      </c>
      <c r="Q706" s="8">
        <f t="shared" si="53"/>
        <v>3692.46</v>
      </c>
      <c r="R706" s="4">
        <f t="shared" si="54"/>
        <v>0.59969207082371057</v>
      </c>
      <c r="S706" t="s">
        <v>87</v>
      </c>
      <c r="T706">
        <f>Table6[[#This Row],[Discount]]*Table6[[#This Row],[List Price]]*Table6[[#This Row],[Units]]</f>
        <v>0</v>
      </c>
    </row>
    <row r="707" spans="1:20" x14ac:dyDescent="0.2">
      <c r="A707" t="s">
        <v>800</v>
      </c>
      <c r="B707" s="2">
        <v>46126.347724729989</v>
      </c>
      <c r="C707" t="s">
        <v>84</v>
      </c>
      <c r="D707" t="s">
        <v>104</v>
      </c>
      <c r="E707" t="s">
        <v>8</v>
      </c>
      <c r="F707" t="s">
        <v>18</v>
      </c>
      <c r="G707" t="s">
        <v>20</v>
      </c>
      <c r="H707" t="str">
        <f>_xlfn.XLOOKUP(Table6[[#This Row],[SKU]],tblProductMaster[SKU],tblProductMaster[Product])</f>
        <v>Hair Oil</v>
      </c>
      <c r="I707">
        <v>1079</v>
      </c>
      <c r="J707">
        <f>_xlfn.XLOOKUP(G707,[1]!tblProductMaster[SKU],[1]!tblProductMaster[List Price])</f>
        <v>7.49</v>
      </c>
      <c r="K707" t="s">
        <v>89</v>
      </c>
      <c r="L707" s="3">
        <v>0.1</v>
      </c>
      <c r="M707" s="9">
        <f t="shared" ref="M707:M770" si="55">J707*(1-L707)</f>
        <v>6.7410000000000005</v>
      </c>
      <c r="N707" s="8">
        <f t="shared" ref="N707:N770" si="56">M707*I707</f>
        <v>7273.5390000000007</v>
      </c>
      <c r="O707" s="9">
        <f>_xlfn.XLOOKUP(G707,[1]!tblProductMaster[SKU],[1]!tblProductMaster[Unit Cost])</f>
        <v>3.1</v>
      </c>
      <c r="P707" s="8">
        <f t="shared" ref="P707:P770" si="57">O707*I707</f>
        <v>3344.9</v>
      </c>
      <c r="Q707" s="8">
        <f t="shared" ref="Q707:Q770" si="58">N707-P707</f>
        <v>3928.6390000000006</v>
      </c>
      <c r="R707" s="4">
        <f t="shared" ref="R707:R770" si="59">Q707/N707</f>
        <v>0.54012757751075513</v>
      </c>
      <c r="S707" t="s">
        <v>99</v>
      </c>
      <c r="T707">
        <f>Table6[[#This Row],[Discount]]*Table6[[#This Row],[List Price]]*Table6[[#This Row],[Units]]</f>
        <v>808.17100000000016</v>
      </c>
    </row>
    <row r="708" spans="1:20" x14ac:dyDescent="0.2">
      <c r="A708" t="s">
        <v>801</v>
      </c>
      <c r="B708" s="2">
        <v>46058.121130633393</v>
      </c>
      <c r="C708" t="s">
        <v>98</v>
      </c>
      <c r="D708" t="s">
        <v>104</v>
      </c>
      <c r="E708" t="s">
        <v>25</v>
      </c>
      <c r="F708" t="s">
        <v>7</v>
      </c>
      <c r="G708" t="s">
        <v>24</v>
      </c>
      <c r="H708" t="str">
        <f>_xlfn.XLOOKUP(Table6[[#This Row],[SKU]],tblProductMaster[SKU],tblProductMaster[Product])</f>
        <v>Body Lotion 400ml</v>
      </c>
      <c r="I708">
        <v>794</v>
      </c>
      <c r="J708">
        <f>_xlfn.XLOOKUP(G708,[1]!tblProductMaster[SKU],[1]!tblProductMaster[List Price])</f>
        <v>7.99</v>
      </c>
      <c r="K708" t="s">
        <v>86</v>
      </c>
      <c r="L708" s="3">
        <v>0</v>
      </c>
      <c r="M708" s="9">
        <f t="shared" si="55"/>
        <v>7.99</v>
      </c>
      <c r="N708" s="8">
        <f t="shared" si="56"/>
        <v>6344.06</v>
      </c>
      <c r="O708" s="9">
        <f>_xlfn.XLOOKUP(G708,[1]!tblProductMaster[SKU],[1]!tblProductMaster[Unit Cost])</f>
        <v>3.1</v>
      </c>
      <c r="P708" s="8">
        <f t="shared" si="57"/>
        <v>2461.4</v>
      </c>
      <c r="Q708" s="8">
        <f t="shared" si="58"/>
        <v>3882.6600000000003</v>
      </c>
      <c r="R708" s="4">
        <f t="shared" si="59"/>
        <v>0.61201501877346687</v>
      </c>
      <c r="S708" t="s">
        <v>87</v>
      </c>
      <c r="T708">
        <f>Table6[[#This Row],[Discount]]*Table6[[#This Row],[List Price]]*Table6[[#This Row],[Units]]</f>
        <v>0</v>
      </c>
    </row>
    <row r="709" spans="1:20" x14ac:dyDescent="0.2">
      <c r="A709" t="s">
        <v>802</v>
      </c>
      <c r="B709" s="2">
        <v>46197.645134380975</v>
      </c>
      <c r="C709" t="s">
        <v>98</v>
      </c>
      <c r="D709" t="s">
        <v>104</v>
      </c>
      <c r="E709" t="s">
        <v>8</v>
      </c>
      <c r="F709" t="s">
        <v>15</v>
      </c>
      <c r="G709" t="s">
        <v>16</v>
      </c>
      <c r="H709" t="str">
        <f>_xlfn.XLOOKUP(Table6[[#This Row],[SKU]],tblProductMaster[SKU],tblProductMaster[Product])</f>
        <v>Conditioner 250ml</v>
      </c>
      <c r="I709">
        <v>445</v>
      </c>
      <c r="J709">
        <f>_xlfn.XLOOKUP(G709,[1]!tblProductMaster[SKU],[1]!tblProductMaster[List Price])</f>
        <v>4.79</v>
      </c>
      <c r="K709" t="s">
        <v>86</v>
      </c>
      <c r="L709" s="3">
        <v>0</v>
      </c>
      <c r="M709" s="9">
        <f t="shared" si="55"/>
        <v>4.79</v>
      </c>
      <c r="N709" s="8">
        <f t="shared" si="56"/>
        <v>2131.5500000000002</v>
      </c>
      <c r="O709" s="9">
        <f>_xlfn.XLOOKUP(G709,[1]!tblProductMaster[SKU],[1]!tblProductMaster[Unit Cost])</f>
        <v>2</v>
      </c>
      <c r="P709" s="8">
        <f t="shared" si="57"/>
        <v>890</v>
      </c>
      <c r="Q709" s="8">
        <f t="shared" si="58"/>
        <v>1241.5500000000002</v>
      </c>
      <c r="R709" s="4">
        <f t="shared" si="59"/>
        <v>0.58246346555323592</v>
      </c>
      <c r="S709" t="s">
        <v>87</v>
      </c>
      <c r="T709">
        <f>Table6[[#This Row],[Discount]]*Table6[[#This Row],[List Price]]*Table6[[#This Row],[Units]]</f>
        <v>0</v>
      </c>
    </row>
    <row r="710" spans="1:20" x14ac:dyDescent="0.2">
      <c r="A710" t="s">
        <v>803</v>
      </c>
      <c r="B710" s="2">
        <v>46128.956343725346</v>
      </c>
      <c r="C710" t="s">
        <v>93</v>
      </c>
      <c r="D710" t="s">
        <v>96</v>
      </c>
      <c r="E710" t="s">
        <v>56</v>
      </c>
      <c r="F710" t="s">
        <v>15</v>
      </c>
      <c r="G710" t="s">
        <v>62</v>
      </c>
      <c r="H710" t="str">
        <f>_xlfn.XLOOKUP(Table6[[#This Row],[SKU]],tblProductMaster[SKU],tblProductMaster[Product])</f>
        <v>Mouthwash 500ml</v>
      </c>
      <c r="I710">
        <v>212</v>
      </c>
      <c r="J710">
        <f>_xlfn.XLOOKUP(G710,[1]!tblProductMaster[SKU],[1]!tblProductMaster[List Price])</f>
        <v>5.99</v>
      </c>
      <c r="K710" t="s">
        <v>86</v>
      </c>
      <c r="L710" s="3">
        <v>0</v>
      </c>
      <c r="M710" s="9">
        <f t="shared" si="55"/>
        <v>5.99</v>
      </c>
      <c r="N710" s="8">
        <f t="shared" si="56"/>
        <v>1269.8800000000001</v>
      </c>
      <c r="O710" s="9">
        <f>_xlfn.XLOOKUP(G710,[1]!tblProductMaster[SKU],[1]!tblProductMaster[Unit Cost])</f>
        <v>2.4</v>
      </c>
      <c r="P710" s="8">
        <f t="shared" si="57"/>
        <v>508.79999999999995</v>
      </c>
      <c r="Q710" s="8">
        <f t="shared" si="58"/>
        <v>761.08000000000015</v>
      </c>
      <c r="R710" s="4">
        <f t="shared" si="59"/>
        <v>0.59933222036727885</v>
      </c>
      <c r="S710" t="s">
        <v>87</v>
      </c>
      <c r="T710">
        <f>Table6[[#This Row],[Discount]]*Table6[[#This Row],[List Price]]*Table6[[#This Row],[Units]]</f>
        <v>0</v>
      </c>
    </row>
    <row r="711" spans="1:20" x14ac:dyDescent="0.2">
      <c r="A711" t="s">
        <v>804</v>
      </c>
      <c r="B711" s="2">
        <v>46332.528997849418</v>
      </c>
      <c r="C711" t="s">
        <v>84</v>
      </c>
      <c r="D711" t="s">
        <v>104</v>
      </c>
      <c r="E711" t="s">
        <v>40</v>
      </c>
      <c r="F711" t="s">
        <v>15</v>
      </c>
      <c r="G711" t="s">
        <v>39</v>
      </c>
      <c r="H711" t="str">
        <f>_xlfn.XLOOKUP(Table6[[#This Row],[SKU]],tblProductMaster[SKU],tblProductMaster[Product])</f>
        <v>Detergent 1L</v>
      </c>
      <c r="I711">
        <v>421</v>
      </c>
      <c r="J711">
        <f>_xlfn.XLOOKUP(G711,[1]!tblProductMaster[SKU],[1]!tblProductMaster[List Price])</f>
        <v>8.49</v>
      </c>
      <c r="K711" t="s">
        <v>86</v>
      </c>
      <c r="L711" s="3">
        <v>0</v>
      </c>
      <c r="M711" s="9">
        <f t="shared" si="55"/>
        <v>8.49</v>
      </c>
      <c r="N711" s="8">
        <f t="shared" si="56"/>
        <v>3574.29</v>
      </c>
      <c r="O711" s="9">
        <f>_xlfn.XLOOKUP(G711,[1]!tblProductMaster[SKU],[1]!tblProductMaster[Unit Cost])</f>
        <v>3.8</v>
      </c>
      <c r="P711" s="8">
        <f t="shared" si="57"/>
        <v>1599.8</v>
      </c>
      <c r="Q711" s="8">
        <f t="shared" si="58"/>
        <v>1974.49</v>
      </c>
      <c r="R711" s="4">
        <f t="shared" si="59"/>
        <v>0.55241460541813903</v>
      </c>
      <c r="S711" t="s">
        <v>87</v>
      </c>
      <c r="T711">
        <f>Table6[[#This Row],[Discount]]*Table6[[#This Row],[List Price]]*Table6[[#This Row],[Units]]</f>
        <v>0</v>
      </c>
    </row>
    <row r="712" spans="1:20" x14ac:dyDescent="0.2">
      <c r="A712" t="s">
        <v>805</v>
      </c>
      <c r="B712" s="2">
        <v>46168.148963698237</v>
      </c>
      <c r="C712" t="s">
        <v>93</v>
      </c>
      <c r="D712" t="s">
        <v>104</v>
      </c>
      <c r="E712" t="s">
        <v>56</v>
      </c>
      <c r="F712" t="s">
        <v>15</v>
      </c>
      <c r="G712" t="s">
        <v>62</v>
      </c>
      <c r="H712" t="str">
        <f>_xlfn.XLOOKUP(Table6[[#This Row],[SKU]],tblProductMaster[SKU],tblProductMaster[Product])</f>
        <v>Mouthwash 500ml</v>
      </c>
      <c r="I712">
        <v>1184</v>
      </c>
      <c r="J712">
        <f>_xlfn.XLOOKUP(G712,[1]!tblProductMaster[SKU],[1]!tblProductMaster[List Price])</f>
        <v>5.99</v>
      </c>
      <c r="K712" t="s">
        <v>89</v>
      </c>
      <c r="L712" s="3">
        <v>0.3</v>
      </c>
      <c r="M712" s="9">
        <f t="shared" si="55"/>
        <v>4.1929999999999996</v>
      </c>
      <c r="N712" s="8">
        <f t="shared" si="56"/>
        <v>4964.5119999999997</v>
      </c>
      <c r="O712" s="9">
        <f>_xlfn.XLOOKUP(G712,[1]!tblProductMaster[SKU],[1]!tblProductMaster[Unit Cost])</f>
        <v>2.4</v>
      </c>
      <c r="P712" s="8">
        <f t="shared" si="57"/>
        <v>2841.6</v>
      </c>
      <c r="Q712" s="8">
        <f t="shared" si="58"/>
        <v>2122.9119999999998</v>
      </c>
      <c r="R712" s="4">
        <f t="shared" si="59"/>
        <v>0.42761745766754111</v>
      </c>
      <c r="S712" t="s">
        <v>90</v>
      </c>
      <c r="T712">
        <f>Table6[[#This Row],[Discount]]*Table6[[#This Row],[List Price]]*Table6[[#This Row],[Units]]</f>
        <v>2127.6480000000001</v>
      </c>
    </row>
    <row r="713" spans="1:20" x14ac:dyDescent="0.2">
      <c r="A713" t="s">
        <v>806</v>
      </c>
      <c r="B713" s="2">
        <v>46103.669679033359</v>
      </c>
      <c r="C713" t="s">
        <v>84</v>
      </c>
      <c r="D713" t="s">
        <v>104</v>
      </c>
      <c r="E713" t="s">
        <v>25</v>
      </c>
      <c r="F713" t="s">
        <v>18</v>
      </c>
      <c r="G713" t="s">
        <v>27</v>
      </c>
      <c r="H713" t="str">
        <f>_xlfn.XLOOKUP(Table6[[#This Row],[SKU]],tblProductMaster[SKU],tblProductMaster[Product])</f>
        <v>Face Cream 50ml</v>
      </c>
      <c r="I713">
        <v>763</v>
      </c>
      <c r="J713">
        <f>_xlfn.XLOOKUP(G713,[1]!tblProductMaster[SKU],[1]!tblProductMaster[List Price])</f>
        <v>9.99</v>
      </c>
      <c r="K713" t="s">
        <v>86</v>
      </c>
      <c r="L713" s="3">
        <v>0</v>
      </c>
      <c r="M713" s="9">
        <f t="shared" si="55"/>
        <v>9.99</v>
      </c>
      <c r="N713" s="8">
        <f t="shared" si="56"/>
        <v>7622.37</v>
      </c>
      <c r="O713" s="9">
        <f>_xlfn.XLOOKUP(G713,[1]!tblProductMaster[SKU],[1]!tblProductMaster[Unit Cost])</f>
        <v>4.2</v>
      </c>
      <c r="P713" s="8">
        <f t="shared" si="57"/>
        <v>3204.6</v>
      </c>
      <c r="Q713" s="8">
        <f t="shared" si="58"/>
        <v>4417.7700000000004</v>
      </c>
      <c r="R713" s="4">
        <f t="shared" si="59"/>
        <v>0.57957957957957962</v>
      </c>
      <c r="S713" t="s">
        <v>87</v>
      </c>
      <c r="T713">
        <f>Table6[[#This Row],[Discount]]*Table6[[#This Row],[List Price]]*Table6[[#This Row],[Units]]</f>
        <v>0</v>
      </c>
    </row>
    <row r="714" spans="1:20" x14ac:dyDescent="0.2">
      <c r="A714" t="s">
        <v>807</v>
      </c>
      <c r="B714" s="2">
        <v>46280.263944282873</v>
      </c>
      <c r="C714" t="s">
        <v>98</v>
      </c>
      <c r="D714" t="s">
        <v>104</v>
      </c>
      <c r="E714" t="s">
        <v>40</v>
      </c>
      <c r="F714" t="s">
        <v>18</v>
      </c>
      <c r="G714" t="s">
        <v>54</v>
      </c>
      <c r="H714" t="str">
        <f>_xlfn.XLOOKUP(Table6[[#This Row],[SKU]],tblProductMaster[SKU],tblProductMaster[Product])</f>
        <v>Fabric Softener</v>
      </c>
      <c r="I714">
        <v>737</v>
      </c>
      <c r="J714">
        <f>_xlfn.XLOOKUP(G714,[1]!tblProductMaster[SKU],[1]!tblProductMaster[List Price])</f>
        <v>5.49</v>
      </c>
      <c r="K714" t="s">
        <v>89</v>
      </c>
      <c r="L714" s="3">
        <v>0.1</v>
      </c>
      <c r="M714" s="9">
        <f t="shared" si="55"/>
        <v>4.9410000000000007</v>
      </c>
      <c r="N714" s="8">
        <f t="shared" si="56"/>
        <v>3641.5170000000007</v>
      </c>
      <c r="O714" s="9">
        <f>_xlfn.XLOOKUP(G714,[1]!tblProductMaster[SKU],[1]!tblProductMaster[Unit Cost])</f>
        <v>2.4</v>
      </c>
      <c r="P714" s="8">
        <f t="shared" si="57"/>
        <v>1768.8</v>
      </c>
      <c r="Q714" s="8">
        <f t="shared" si="58"/>
        <v>1872.7170000000008</v>
      </c>
      <c r="R714" s="4">
        <f t="shared" si="59"/>
        <v>0.51426836672738319</v>
      </c>
      <c r="S714" t="s">
        <v>94</v>
      </c>
      <c r="T714">
        <f>Table6[[#This Row],[Discount]]*Table6[[#This Row],[List Price]]*Table6[[#This Row],[Units]]</f>
        <v>404.61300000000006</v>
      </c>
    </row>
    <row r="715" spans="1:20" x14ac:dyDescent="0.2">
      <c r="A715" t="s">
        <v>808</v>
      </c>
      <c r="B715" s="2">
        <v>46098.365070783002</v>
      </c>
      <c r="C715" t="s">
        <v>93</v>
      </c>
      <c r="D715" t="s">
        <v>96</v>
      </c>
      <c r="E715" t="s">
        <v>8</v>
      </c>
      <c r="F715" t="s">
        <v>7</v>
      </c>
      <c r="G715" t="s">
        <v>10</v>
      </c>
      <c r="H715" t="str">
        <f>_xlfn.XLOOKUP(Table6[[#This Row],[SKU]],tblProductMaster[SKU],tblProductMaster[Product])</f>
        <v>Shampoo 500ml</v>
      </c>
      <c r="I715">
        <v>426</v>
      </c>
      <c r="J715">
        <f>_xlfn.XLOOKUP(G715,[1]!tblProductMaster[SKU],[1]!tblProductMaster[List Price])</f>
        <v>8.99</v>
      </c>
      <c r="K715" t="s">
        <v>86</v>
      </c>
      <c r="L715" s="3">
        <v>0</v>
      </c>
      <c r="M715" s="9">
        <f t="shared" si="55"/>
        <v>8.99</v>
      </c>
      <c r="N715" s="8">
        <f t="shared" si="56"/>
        <v>3829.7400000000002</v>
      </c>
      <c r="O715" s="9">
        <f>_xlfn.XLOOKUP(G715,[1]!tblProductMaster[SKU],[1]!tblProductMaster[Unit Cost])</f>
        <v>3.6</v>
      </c>
      <c r="P715" s="8">
        <f t="shared" si="57"/>
        <v>1533.6000000000001</v>
      </c>
      <c r="Q715" s="8">
        <f t="shared" si="58"/>
        <v>2296.1400000000003</v>
      </c>
      <c r="R715" s="4">
        <f t="shared" si="59"/>
        <v>0.59955506117908797</v>
      </c>
      <c r="S715" t="s">
        <v>87</v>
      </c>
      <c r="T715">
        <f>Table6[[#This Row],[Discount]]*Table6[[#This Row],[List Price]]*Table6[[#This Row],[Units]]</f>
        <v>0</v>
      </c>
    </row>
    <row r="716" spans="1:20" x14ac:dyDescent="0.2">
      <c r="A716" t="s">
        <v>809</v>
      </c>
      <c r="B716" s="2">
        <v>46218.542332447738</v>
      </c>
      <c r="C716" t="s">
        <v>93</v>
      </c>
      <c r="D716" t="s">
        <v>104</v>
      </c>
      <c r="E716" t="s">
        <v>40</v>
      </c>
      <c r="F716" t="s">
        <v>7</v>
      </c>
      <c r="G716" t="s">
        <v>48</v>
      </c>
      <c r="H716" t="str">
        <f>_xlfn.XLOOKUP(Table6[[#This Row],[SKU]],tblProductMaster[SKU],tblProductMaster[Product])</f>
        <v>Color Detergent</v>
      </c>
      <c r="I716">
        <v>753</v>
      </c>
      <c r="J716">
        <f>_xlfn.XLOOKUP(G716,[1]!tblProductMaster[SKU],[1]!tblProductMaster[List Price])</f>
        <v>9.49</v>
      </c>
      <c r="K716" t="s">
        <v>86</v>
      </c>
      <c r="L716" s="3">
        <v>0</v>
      </c>
      <c r="M716" s="9">
        <f t="shared" si="55"/>
        <v>9.49</v>
      </c>
      <c r="N716" s="8">
        <f t="shared" si="56"/>
        <v>7145.97</v>
      </c>
      <c r="O716" s="9">
        <f>_xlfn.XLOOKUP(G716,[1]!tblProductMaster[SKU],[1]!tblProductMaster[Unit Cost])</f>
        <v>4</v>
      </c>
      <c r="P716" s="8">
        <f t="shared" si="57"/>
        <v>3012</v>
      </c>
      <c r="Q716" s="8">
        <f t="shared" si="58"/>
        <v>4133.97</v>
      </c>
      <c r="R716" s="4">
        <f t="shared" si="59"/>
        <v>0.57850368809272923</v>
      </c>
      <c r="S716" t="s">
        <v>87</v>
      </c>
      <c r="T716">
        <f>Table6[[#This Row],[Discount]]*Table6[[#This Row],[List Price]]*Table6[[#This Row],[Units]]</f>
        <v>0</v>
      </c>
    </row>
    <row r="717" spans="1:20" x14ac:dyDescent="0.2">
      <c r="A717" t="s">
        <v>810</v>
      </c>
      <c r="B717" s="2">
        <v>46048.539807943598</v>
      </c>
      <c r="C717" t="s">
        <v>98</v>
      </c>
      <c r="D717" t="s">
        <v>104</v>
      </c>
      <c r="E717" t="s">
        <v>56</v>
      </c>
      <c r="F717" t="s">
        <v>18</v>
      </c>
      <c r="G717" t="s">
        <v>60</v>
      </c>
      <c r="H717" t="str">
        <f>_xlfn.XLOOKUP(Table6[[#This Row],[SKU]],tblProductMaster[SKU],tblProductMaster[Product])</f>
        <v>Sensitive Toothpaste</v>
      </c>
      <c r="I717">
        <v>709</v>
      </c>
      <c r="J717">
        <f>_xlfn.XLOOKUP(G717,[1]!tblProductMaster[SKU],[1]!tblProductMaster[List Price])</f>
        <v>4.49</v>
      </c>
      <c r="K717" t="s">
        <v>86</v>
      </c>
      <c r="L717" s="3">
        <v>0</v>
      </c>
      <c r="M717" s="9">
        <f t="shared" si="55"/>
        <v>4.49</v>
      </c>
      <c r="N717" s="8">
        <f t="shared" si="56"/>
        <v>3183.4100000000003</v>
      </c>
      <c r="O717" s="9">
        <f>_xlfn.XLOOKUP(G717,[1]!tblProductMaster[SKU],[1]!tblProductMaster[Unit Cost])</f>
        <v>1.7</v>
      </c>
      <c r="P717" s="8">
        <f t="shared" si="57"/>
        <v>1205.3</v>
      </c>
      <c r="Q717" s="8">
        <f t="shared" si="58"/>
        <v>1978.1100000000004</v>
      </c>
      <c r="R717" s="4">
        <f t="shared" si="59"/>
        <v>0.6213808463251671</v>
      </c>
      <c r="S717" t="s">
        <v>87</v>
      </c>
      <c r="T717">
        <f>Table6[[#This Row],[Discount]]*Table6[[#This Row],[List Price]]*Table6[[#This Row],[Units]]</f>
        <v>0</v>
      </c>
    </row>
    <row r="718" spans="1:20" x14ac:dyDescent="0.2">
      <c r="A718" t="s">
        <v>811</v>
      </c>
      <c r="B718" s="2">
        <v>46075.284094603448</v>
      </c>
      <c r="C718" t="s">
        <v>93</v>
      </c>
      <c r="D718" t="s">
        <v>104</v>
      </c>
      <c r="E718" t="s">
        <v>8</v>
      </c>
      <c r="F718" t="s">
        <v>7</v>
      </c>
      <c r="G718" t="s">
        <v>6</v>
      </c>
      <c r="H718" t="str">
        <f>_xlfn.XLOOKUP(Table6[[#This Row],[SKU]],tblProductMaster[SKU],tblProductMaster[Product])</f>
        <v>Shampoo 250ml</v>
      </c>
      <c r="I718">
        <v>410</v>
      </c>
      <c r="J718">
        <f>_xlfn.XLOOKUP(G718,[1]!tblProductMaster[SKU],[1]!tblProductMaster[List Price])</f>
        <v>5.99</v>
      </c>
      <c r="K718" t="s">
        <v>86</v>
      </c>
      <c r="L718" s="3">
        <v>0</v>
      </c>
      <c r="M718" s="9">
        <f t="shared" si="55"/>
        <v>5.99</v>
      </c>
      <c r="N718" s="8">
        <f t="shared" si="56"/>
        <v>2455.9</v>
      </c>
      <c r="O718" s="9">
        <f>_xlfn.XLOOKUP(G718,[1]!tblProductMaster[SKU],[1]!tblProductMaster[Unit Cost])</f>
        <v>2.4</v>
      </c>
      <c r="P718" s="8">
        <f t="shared" si="57"/>
        <v>984</v>
      </c>
      <c r="Q718" s="8">
        <f t="shared" si="58"/>
        <v>1471.9</v>
      </c>
      <c r="R718" s="4">
        <f t="shared" si="59"/>
        <v>0.59933222036727885</v>
      </c>
      <c r="S718" t="s">
        <v>87</v>
      </c>
      <c r="T718">
        <f>Table6[[#This Row],[Discount]]*Table6[[#This Row],[List Price]]*Table6[[#This Row],[Units]]</f>
        <v>0</v>
      </c>
    </row>
    <row r="719" spans="1:20" x14ac:dyDescent="0.2">
      <c r="A719" t="s">
        <v>812</v>
      </c>
      <c r="B719" s="2">
        <v>46229.946273001086</v>
      </c>
      <c r="C719" t="s">
        <v>93</v>
      </c>
      <c r="D719" t="s">
        <v>85</v>
      </c>
      <c r="E719" t="s">
        <v>8</v>
      </c>
      <c r="F719" t="s">
        <v>7</v>
      </c>
      <c r="G719" t="s">
        <v>6</v>
      </c>
      <c r="H719" t="str">
        <f>_xlfn.XLOOKUP(Table6[[#This Row],[SKU]],tblProductMaster[SKU],tblProductMaster[Product])</f>
        <v>Shampoo 250ml</v>
      </c>
      <c r="I719">
        <v>311</v>
      </c>
      <c r="J719">
        <f>_xlfn.XLOOKUP(G719,[1]!tblProductMaster[SKU],[1]!tblProductMaster[List Price])</f>
        <v>5.99</v>
      </c>
      <c r="K719" t="s">
        <v>86</v>
      </c>
      <c r="L719" s="3">
        <v>0</v>
      </c>
      <c r="M719" s="9">
        <f t="shared" si="55"/>
        <v>5.99</v>
      </c>
      <c r="N719" s="8">
        <f t="shared" si="56"/>
        <v>1862.89</v>
      </c>
      <c r="O719" s="9">
        <f>_xlfn.XLOOKUP(G719,[1]!tblProductMaster[SKU],[1]!tblProductMaster[Unit Cost])</f>
        <v>2.4</v>
      </c>
      <c r="P719" s="8">
        <f t="shared" si="57"/>
        <v>746.4</v>
      </c>
      <c r="Q719" s="8">
        <f t="shared" si="58"/>
        <v>1116.4900000000002</v>
      </c>
      <c r="R719" s="4">
        <f t="shared" si="59"/>
        <v>0.59933222036727885</v>
      </c>
      <c r="S719" t="s">
        <v>87</v>
      </c>
      <c r="T719">
        <f>Table6[[#This Row],[Discount]]*Table6[[#This Row],[List Price]]*Table6[[#This Row],[Units]]</f>
        <v>0</v>
      </c>
    </row>
    <row r="720" spans="1:20" x14ac:dyDescent="0.2">
      <c r="A720" t="s">
        <v>813</v>
      </c>
      <c r="B720" s="2">
        <v>46344.263037248515</v>
      </c>
      <c r="C720" t="s">
        <v>84</v>
      </c>
      <c r="D720" t="s">
        <v>104</v>
      </c>
      <c r="E720" t="s">
        <v>40</v>
      </c>
      <c r="F720" t="s">
        <v>15</v>
      </c>
      <c r="G720" t="s">
        <v>46</v>
      </c>
      <c r="H720" t="str">
        <f>_xlfn.XLOOKUP(Table6[[#This Row],[SKU]],tblProductMaster[SKU],tblProductMaster[Product])</f>
        <v>Stain Remover</v>
      </c>
      <c r="I720">
        <v>609</v>
      </c>
      <c r="J720">
        <f>_xlfn.XLOOKUP(G720,[1]!tblProductMaster[SKU],[1]!tblProductMaster[List Price])</f>
        <v>5.99</v>
      </c>
      <c r="K720" t="s">
        <v>86</v>
      </c>
      <c r="L720" s="3">
        <v>0</v>
      </c>
      <c r="M720" s="9">
        <f t="shared" si="55"/>
        <v>5.99</v>
      </c>
      <c r="N720" s="8">
        <f t="shared" si="56"/>
        <v>3647.9100000000003</v>
      </c>
      <c r="O720" s="9">
        <f>_xlfn.XLOOKUP(G720,[1]!tblProductMaster[SKU],[1]!tblProductMaster[Unit Cost])</f>
        <v>2.5</v>
      </c>
      <c r="P720" s="8">
        <f t="shared" si="57"/>
        <v>1522.5</v>
      </c>
      <c r="Q720" s="8">
        <f t="shared" si="58"/>
        <v>2125.4100000000003</v>
      </c>
      <c r="R720" s="4">
        <f t="shared" si="59"/>
        <v>0.58263772954924875</v>
      </c>
      <c r="S720" t="s">
        <v>87</v>
      </c>
      <c r="T720">
        <f>Table6[[#This Row],[Discount]]*Table6[[#This Row],[List Price]]*Table6[[#This Row],[Units]]</f>
        <v>0</v>
      </c>
    </row>
    <row r="721" spans="1:20" x14ac:dyDescent="0.2">
      <c r="A721" t="s">
        <v>814</v>
      </c>
      <c r="B721" s="2">
        <v>46127.008035164545</v>
      </c>
      <c r="C721" t="s">
        <v>98</v>
      </c>
      <c r="D721" t="s">
        <v>96</v>
      </c>
      <c r="E721" t="s">
        <v>56</v>
      </c>
      <c r="F721" t="s">
        <v>18</v>
      </c>
      <c r="G721" t="s">
        <v>60</v>
      </c>
      <c r="H721" t="str">
        <f>_xlfn.XLOOKUP(Table6[[#This Row],[SKU]],tblProductMaster[SKU],tblProductMaster[Product])</f>
        <v>Sensitive Toothpaste</v>
      </c>
      <c r="I721">
        <v>555</v>
      </c>
      <c r="J721">
        <f>_xlfn.XLOOKUP(G721,[1]!tblProductMaster[SKU],[1]!tblProductMaster[List Price])</f>
        <v>4.49</v>
      </c>
      <c r="K721" t="s">
        <v>86</v>
      </c>
      <c r="L721" s="3">
        <v>0</v>
      </c>
      <c r="M721" s="9">
        <f t="shared" si="55"/>
        <v>4.49</v>
      </c>
      <c r="N721" s="8">
        <f t="shared" si="56"/>
        <v>2491.9500000000003</v>
      </c>
      <c r="O721" s="9">
        <f>_xlfn.XLOOKUP(G721,[1]!tblProductMaster[SKU],[1]!tblProductMaster[Unit Cost])</f>
        <v>1.7</v>
      </c>
      <c r="P721" s="8">
        <f t="shared" si="57"/>
        <v>943.5</v>
      </c>
      <c r="Q721" s="8">
        <f t="shared" si="58"/>
        <v>1548.4500000000003</v>
      </c>
      <c r="R721" s="4">
        <f t="shared" si="59"/>
        <v>0.6213808463251671</v>
      </c>
      <c r="S721" t="s">
        <v>87</v>
      </c>
      <c r="T721">
        <f>Table6[[#This Row],[Discount]]*Table6[[#This Row],[List Price]]*Table6[[#This Row],[Units]]</f>
        <v>0</v>
      </c>
    </row>
    <row r="722" spans="1:20" x14ac:dyDescent="0.2">
      <c r="A722" t="s">
        <v>815</v>
      </c>
      <c r="B722" s="2">
        <v>46374.326984437932</v>
      </c>
      <c r="C722" t="s">
        <v>98</v>
      </c>
      <c r="D722" t="s">
        <v>104</v>
      </c>
      <c r="E722" t="s">
        <v>56</v>
      </c>
      <c r="F722" t="s">
        <v>15</v>
      </c>
      <c r="G722" t="s">
        <v>55</v>
      </c>
      <c r="H722" t="str">
        <f>_xlfn.XLOOKUP(Table6[[#This Row],[SKU]],tblProductMaster[SKU],tblProductMaster[Product])</f>
        <v>Toothpaste 75ml</v>
      </c>
      <c r="I722">
        <v>821</v>
      </c>
      <c r="J722">
        <f>_xlfn.XLOOKUP(G722,[1]!tblProductMaster[SKU],[1]!tblProductMaster[List Price])</f>
        <v>3.49</v>
      </c>
      <c r="K722" t="s">
        <v>89</v>
      </c>
      <c r="L722" s="3">
        <v>0.1</v>
      </c>
      <c r="M722" s="9">
        <f t="shared" si="55"/>
        <v>3.1410000000000005</v>
      </c>
      <c r="N722" s="8">
        <f t="shared" si="56"/>
        <v>2578.7610000000004</v>
      </c>
      <c r="O722" s="9">
        <f>_xlfn.XLOOKUP(G722,[1]!tblProductMaster[SKU],[1]!tblProductMaster[Unit Cost])</f>
        <v>1.2</v>
      </c>
      <c r="P722" s="8">
        <f t="shared" si="57"/>
        <v>985.19999999999993</v>
      </c>
      <c r="Q722" s="8">
        <f t="shared" si="58"/>
        <v>1593.5610000000006</v>
      </c>
      <c r="R722" s="4">
        <f t="shared" si="59"/>
        <v>0.61795606494746913</v>
      </c>
      <c r="S722" t="s">
        <v>90</v>
      </c>
      <c r="T722">
        <f>Table6[[#This Row],[Discount]]*Table6[[#This Row],[List Price]]*Table6[[#This Row],[Units]]</f>
        <v>286.52900000000005</v>
      </c>
    </row>
    <row r="723" spans="1:20" x14ac:dyDescent="0.2">
      <c r="A723" t="s">
        <v>816</v>
      </c>
      <c r="B723" s="2">
        <v>46028.80835236745</v>
      </c>
      <c r="C723" t="s">
        <v>93</v>
      </c>
      <c r="D723" t="s">
        <v>85</v>
      </c>
      <c r="E723" t="s">
        <v>56</v>
      </c>
      <c r="F723" t="s">
        <v>18</v>
      </c>
      <c r="G723" t="s">
        <v>60</v>
      </c>
      <c r="H723" t="str">
        <f>_xlfn.XLOOKUP(Table6[[#This Row],[SKU]],tblProductMaster[SKU],tblProductMaster[Product])</f>
        <v>Sensitive Toothpaste</v>
      </c>
      <c r="I723">
        <v>515</v>
      </c>
      <c r="J723">
        <f>_xlfn.XLOOKUP(G723,[1]!tblProductMaster[SKU],[1]!tblProductMaster[List Price])</f>
        <v>4.49</v>
      </c>
      <c r="K723" t="s">
        <v>86</v>
      </c>
      <c r="L723" s="3">
        <v>0</v>
      </c>
      <c r="M723" s="9">
        <f t="shared" si="55"/>
        <v>4.49</v>
      </c>
      <c r="N723" s="8">
        <f t="shared" si="56"/>
        <v>2312.35</v>
      </c>
      <c r="O723" s="9">
        <f>_xlfn.XLOOKUP(G723,[1]!tblProductMaster[SKU],[1]!tblProductMaster[Unit Cost])</f>
        <v>1.7</v>
      </c>
      <c r="P723" s="8">
        <f t="shared" si="57"/>
        <v>875.5</v>
      </c>
      <c r="Q723" s="8">
        <f t="shared" si="58"/>
        <v>1436.85</v>
      </c>
      <c r="R723" s="4">
        <f t="shared" si="59"/>
        <v>0.62138084632516699</v>
      </c>
      <c r="S723" t="s">
        <v>87</v>
      </c>
      <c r="T723">
        <f>Table6[[#This Row],[Discount]]*Table6[[#This Row],[List Price]]*Table6[[#This Row],[Units]]</f>
        <v>0</v>
      </c>
    </row>
    <row r="724" spans="1:20" x14ac:dyDescent="0.2">
      <c r="A724" t="s">
        <v>817</v>
      </c>
      <c r="B724" s="2">
        <v>46121.740898208642</v>
      </c>
      <c r="C724" t="s">
        <v>98</v>
      </c>
      <c r="D724" t="s">
        <v>85</v>
      </c>
      <c r="E724" t="s">
        <v>56</v>
      </c>
      <c r="F724" t="s">
        <v>15</v>
      </c>
      <c r="G724" t="s">
        <v>55</v>
      </c>
      <c r="H724" t="str">
        <f>_xlfn.XLOOKUP(Table6[[#This Row],[SKU]],tblProductMaster[SKU],tblProductMaster[Product])</f>
        <v>Toothpaste 75ml</v>
      </c>
      <c r="I724">
        <v>511</v>
      </c>
      <c r="J724">
        <f>_xlfn.XLOOKUP(G724,[1]!tblProductMaster[SKU],[1]!tblProductMaster[List Price])</f>
        <v>3.49</v>
      </c>
      <c r="K724" t="s">
        <v>86</v>
      </c>
      <c r="L724" s="3">
        <v>0</v>
      </c>
      <c r="M724" s="9">
        <f t="shared" si="55"/>
        <v>3.49</v>
      </c>
      <c r="N724" s="8">
        <f t="shared" si="56"/>
        <v>1783.39</v>
      </c>
      <c r="O724" s="9">
        <f>_xlfn.XLOOKUP(G724,[1]!tblProductMaster[SKU],[1]!tblProductMaster[Unit Cost])</f>
        <v>1.2</v>
      </c>
      <c r="P724" s="8">
        <f t="shared" si="57"/>
        <v>613.19999999999993</v>
      </c>
      <c r="Q724" s="8">
        <f t="shared" si="58"/>
        <v>1170.19</v>
      </c>
      <c r="R724" s="4">
        <f t="shared" si="59"/>
        <v>0.65616045845272208</v>
      </c>
      <c r="S724" t="s">
        <v>87</v>
      </c>
      <c r="T724">
        <f>Table6[[#This Row],[Discount]]*Table6[[#This Row],[List Price]]*Table6[[#This Row],[Units]]</f>
        <v>0</v>
      </c>
    </row>
    <row r="725" spans="1:20" x14ac:dyDescent="0.2">
      <c r="A725" t="s">
        <v>818</v>
      </c>
      <c r="B725" s="2">
        <v>46261.088055268476</v>
      </c>
      <c r="C725" t="s">
        <v>98</v>
      </c>
      <c r="D725" t="s">
        <v>85</v>
      </c>
      <c r="E725" t="s">
        <v>40</v>
      </c>
      <c r="F725" t="s">
        <v>15</v>
      </c>
      <c r="G725" t="s">
        <v>46</v>
      </c>
      <c r="H725" t="str">
        <f>_xlfn.XLOOKUP(Table6[[#This Row],[SKU]],tblProductMaster[SKU],tblProductMaster[Product])</f>
        <v>Stain Remover</v>
      </c>
      <c r="I725">
        <v>309</v>
      </c>
      <c r="J725">
        <f>_xlfn.XLOOKUP(G725,[1]!tblProductMaster[SKU],[1]!tblProductMaster[List Price])</f>
        <v>5.99</v>
      </c>
      <c r="K725" t="s">
        <v>86</v>
      </c>
      <c r="L725" s="3">
        <v>0</v>
      </c>
      <c r="M725" s="9">
        <f t="shared" si="55"/>
        <v>5.99</v>
      </c>
      <c r="N725" s="8">
        <f t="shared" si="56"/>
        <v>1850.91</v>
      </c>
      <c r="O725" s="9">
        <f>_xlfn.XLOOKUP(G725,[1]!tblProductMaster[SKU],[1]!tblProductMaster[Unit Cost])</f>
        <v>2.5</v>
      </c>
      <c r="P725" s="8">
        <f t="shared" si="57"/>
        <v>772.5</v>
      </c>
      <c r="Q725" s="8">
        <f t="shared" si="58"/>
        <v>1078.4100000000001</v>
      </c>
      <c r="R725" s="4">
        <f t="shared" si="59"/>
        <v>0.58263772954924875</v>
      </c>
      <c r="S725" t="s">
        <v>87</v>
      </c>
      <c r="T725">
        <f>Table6[[#This Row],[Discount]]*Table6[[#This Row],[List Price]]*Table6[[#This Row],[Units]]</f>
        <v>0</v>
      </c>
    </row>
    <row r="726" spans="1:20" x14ac:dyDescent="0.2">
      <c r="A726" t="s">
        <v>819</v>
      </c>
      <c r="B726" s="2">
        <v>46242.974674326935</v>
      </c>
      <c r="C726" t="s">
        <v>93</v>
      </c>
      <c r="D726" t="s">
        <v>96</v>
      </c>
      <c r="E726" t="s">
        <v>8</v>
      </c>
      <c r="F726" t="s">
        <v>15</v>
      </c>
      <c r="G726" t="s">
        <v>14</v>
      </c>
      <c r="H726" t="str">
        <f>_xlfn.XLOOKUP(Table6[[#This Row],[SKU]],tblProductMaster[SKU],tblProductMaster[Product])</f>
        <v>Shampoo 250ml</v>
      </c>
      <c r="I726">
        <v>268</v>
      </c>
      <c r="J726">
        <f>_xlfn.XLOOKUP(G726,[1]!tblProductMaster[SKU],[1]!tblProductMaster[List Price])</f>
        <v>4.99</v>
      </c>
      <c r="K726" t="s">
        <v>86</v>
      </c>
      <c r="L726" s="3">
        <v>0</v>
      </c>
      <c r="M726" s="9">
        <f t="shared" si="55"/>
        <v>4.99</v>
      </c>
      <c r="N726" s="8">
        <f t="shared" si="56"/>
        <v>1337.3200000000002</v>
      </c>
      <c r="O726" s="9">
        <f>_xlfn.XLOOKUP(G726,[1]!tblProductMaster[SKU],[1]!tblProductMaster[Unit Cost])</f>
        <v>2.1</v>
      </c>
      <c r="P726" s="8">
        <f t="shared" si="57"/>
        <v>562.80000000000007</v>
      </c>
      <c r="Q726" s="8">
        <f t="shared" si="58"/>
        <v>774.5200000000001</v>
      </c>
      <c r="R726" s="4">
        <f t="shared" si="59"/>
        <v>0.57915831663326656</v>
      </c>
      <c r="S726" t="s">
        <v>87</v>
      </c>
      <c r="T726">
        <f>Table6[[#This Row],[Discount]]*Table6[[#This Row],[List Price]]*Table6[[#This Row],[Units]]</f>
        <v>0</v>
      </c>
    </row>
    <row r="727" spans="1:20" x14ac:dyDescent="0.2">
      <c r="A727" t="s">
        <v>820</v>
      </c>
      <c r="B727" s="2">
        <v>46116.65030244735</v>
      </c>
      <c r="C727" t="s">
        <v>93</v>
      </c>
      <c r="D727" t="s">
        <v>96</v>
      </c>
      <c r="E727" t="s">
        <v>25</v>
      </c>
      <c r="F727" t="s">
        <v>15</v>
      </c>
      <c r="G727" t="s">
        <v>29</v>
      </c>
      <c r="H727" t="str">
        <f>_xlfn.XLOOKUP(Table6[[#This Row],[SKU]],tblProductMaster[SKU],tblProductMaster[Product])</f>
        <v>Shower Gel 250ml</v>
      </c>
      <c r="I727">
        <v>851</v>
      </c>
      <c r="J727">
        <f>_xlfn.XLOOKUP(G727,[1]!tblProductMaster[SKU],[1]!tblProductMaster[List Price])</f>
        <v>4.49</v>
      </c>
      <c r="K727" t="s">
        <v>89</v>
      </c>
      <c r="L727" s="3">
        <v>0.3</v>
      </c>
      <c r="M727" s="9">
        <f t="shared" si="55"/>
        <v>3.1429999999999998</v>
      </c>
      <c r="N727" s="8">
        <f t="shared" si="56"/>
        <v>2674.6929999999998</v>
      </c>
      <c r="O727" s="9">
        <f>_xlfn.XLOOKUP(G727,[1]!tblProductMaster[SKU],[1]!tblProductMaster[Unit Cost])</f>
        <v>1.9</v>
      </c>
      <c r="P727" s="8">
        <f t="shared" si="57"/>
        <v>1616.8999999999999</v>
      </c>
      <c r="Q727" s="8">
        <f t="shared" si="58"/>
        <v>1057.7929999999999</v>
      </c>
      <c r="R727" s="4">
        <f t="shared" si="59"/>
        <v>0.39548202354438433</v>
      </c>
      <c r="S727" t="s">
        <v>90</v>
      </c>
      <c r="T727">
        <f>Table6[[#This Row],[Discount]]*Table6[[#This Row],[List Price]]*Table6[[#This Row],[Units]]</f>
        <v>1146.297</v>
      </c>
    </row>
    <row r="728" spans="1:20" x14ac:dyDescent="0.2">
      <c r="A728" t="s">
        <v>821</v>
      </c>
      <c r="B728" s="2">
        <v>46134.35494914258</v>
      </c>
      <c r="C728" t="s">
        <v>84</v>
      </c>
      <c r="D728" t="s">
        <v>104</v>
      </c>
      <c r="E728" t="s">
        <v>40</v>
      </c>
      <c r="F728" t="s">
        <v>15</v>
      </c>
      <c r="G728" t="s">
        <v>39</v>
      </c>
      <c r="H728" t="str">
        <f>_xlfn.XLOOKUP(Table6[[#This Row],[SKU]],tblProductMaster[SKU],tblProductMaster[Product])</f>
        <v>Detergent 1L</v>
      </c>
      <c r="I728">
        <v>617</v>
      </c>
      <c r="J728">
        <f>_xlfn.XLOOKUP(G728,[1]!tblProductMaster[SKU],[1]!tblProductMaster[List Price])</f>
        <v>8.49</v>
      </c>
      <c r="K728" t="s">
        <v>89</v>
      </c>
      <c r="L728" s="3">
        <v>0.2</v>
      </c>
      <c r="M728" s="9">
        <f t="shared" si="55"/>
        <v>6.7920000000000007</v>
      </c>
      <c r="N728" s="8">
        <f t="shared" si="56"/>
        <v>4190.6640000000007</v>
      </c>
      <c r="O728" s="9">
        <f>_xlfn.XLOOKUP(G728,[1]!tblProductMaster[SKU],[1]!tblProductMaster[Unit Cost])</f>
        <v>3.8</v>
      </c>
      <c r="P728" s="8">
        <f t="shared" si="57"/>
        <v>2344.6</v>
      </c>
      <c r="Q728" s="8">
        <f t="shared" si="58"/>
        <v>1846.0640000000008</v>
      </c>
      <c r="R728" s="4">
        <f t="shared" si="59"/>
        <v>0.44051825677267387</v>
      </c>
      <c r="S728" t="s">
        <v>94</v>
      </c>
      <c r="T728">
        <f>Table6[[#This Row],[Discount]]*Table6[[#This Row],[List Price]]*Table6[[#This Row],[Units]]</f>
        <v>1047.6660000000002</v>
      </c>
    </row>
    <row r="729" spans="1:20" x14ac:dyDescent="0.2">
      <c r="A729" t="s">
        <v>822</v>
      </c>
      <c r="B729" s="2">
        <v>46386.456013862262</v>
      </c>
      <c r="C729" t="s">
        <v>93</v>
      </c>
      <c r="D729" t="s">
        <v>104</v>
      </c>
      <c r="E729" t="s">
        <v>40</v>
      </c>
      <c r="F729" t="s">
        <v>18</v>
      </c>
      <c r="G729" t="s">
        <v>42</v>
      </c>
      <c r="H729" t="str">
        <f>_xlfn.XLOOKUP(Table6[[#This Row],[SKU]],tblProductMaster[SKU],tblProductMaster[Product])</f>
        <v>Detergent Capsules</v>
      </c>
      <c r="I729">
        <v>662</v>
      </c>
      <c r="J729">
        <f>_xlfn.XLOOKUP(G729,[1]!tblProductMaster[SKU],[1]!tblProductMaster[List Price])</f>
        <v>11.99</v>
      </c>
      <c r="K729" t="s">
        <v>86</v>
      </c>
      <c r="L729" s="3">
        <v>0</v>
      </c>
      <c r="M729" s="9">
        <f t="shared" si="55"/>
        <v>11.99</v>
      </c>
      <c r="N729" s="8">
        <f t="shared" si="56"/>
        <v>7937.38</v>
      </c>
      <c r="O729" s="9">
        <f>_xlfn.XLOOKUP(G729,[1]!tblProductMaster[SKU],[1]!tblProductMaster[Unit Cost])</f>
        <v>5.2</v>
      </c>
      <c r="P729" s="8">
        <f t="shared" si="57"/>
        <v>3442.4</v>
      </c>
      <c r="Q729" s="8">
        <f t="shared" si="58"/>
        <v>4494.9799999999996</v>
      </c>
      <c r="R729" s="4">
        <f t="shared" si="59"/>
        <v>0.56630525437864876</v>
      </c>
      <c r="S729" t="s">
        <v>87</v>
      </c>
      <c r="T729">
        <f>Table6[[#This Row],[Discount]]*Table6[[#This Row],[List Price]]*Table6[[#This Row],[Units]]</f>
        <v>0</v>
      </c>
    </row>
    <row r="730" spans="1:20" x14ac:dyDescent="0.2">
      <c r="A730" t="s">
        <v>823</v>
      </c>
      <c r="B730" s="2">
        <v>46212.760910260986</v>
      </c>
      <c r="C730" t="s">
        <v>98</v>
      </c>
      <c r="D730" t="s">
        <v>85</v>
      </c>
      <c r="E730" t="s">
        <v>25</v>
      </c>
      <c r="F730" t="s">
        <v>7</v>
      </c>
      <c r="G730" t="s">
        <v>33</v>
      </c>
      <c r="H730" t="str">
        <f>_xlfn.XLOOKUP(Table6[[#This Row],[SKU]],tblProductMaster[SKU],tblProductMaster[Product])</f>
        <v>Sunscreen 200ml</v>
      </c>
      <c r="I730">
        <v>375</v>
      </c>
      <c r="J730">
        <f>_xlfn.XLOOKUP(G730,[1]!tblProductMaster[SKU],[1]!tblProductMaster[List Price])</f>
        <v>10.99</v>
      </c>
      <c r="K730" t="s">
        <v>86</v>
      </c>
      <c r="L730" s="3">
        <v>0</v>
      </c>
      <c r="M730" s="9">
        <f t="shared" si="55"/>
        <v>10.99</v>
      </c>
      <c r="N730" s="8">
        <f t="shared" si="56"/>
        <v>4121.25</v>
      </c>
      <c r="O730" s="9">
        <f>_xlfn.XLOOKUP(G730,[1]!tblProductMaster[SKU],[1]!tblProductMaster[Unit Cost])</f>
        <v>4.5999999999999996</v>
      </c>
      <c r="P730" s="8">
        <f t="shared" si="57"/>
        <v>1724.9999999999998</v>
      </c>
      <c r="Q730" s="8">
        <f t="shared" si="58"/>
        <v>2396.25</v>
      </c>
      <c r="R730" s="4">
        <f t="shared" si="59"/>
        <v>0.58143767060964513</v>
      </c>
      <c r="S730" t="s">
        <v>87</v>
      </c>
      <c r="T730">
        <f>Table6[[#This Row],[Discount]]*Table6[[#This Row],[List Price]]*Table6[[#This Row],[Units]]</f>
        <v>0</v>
      </c>
    </row>
    <row r="731" spans="1:20" x14ac:dyDescent="0.2">
      <c r="A731" t="s">
        <v>824</v>
      </c>
      <c r="B731" s="2">
        <v>46089.109664561736</v>
      </c>
      <c r="C731" t="s">
        <v>84</v>
      </c>
      <c r="D731" t="s">
        <v>104</v>
      </c>
      <c r="E731" t="s">
        <v>56</v>
      </c>
      <c r="F731" t="s">
        <v>15</v>
      </c>
      <c r="G731" t="s">
        <v>62</v>
      </c>
      <c r="H731" t="str">
        <f>_xlfn.XLOOKUP(Table6[[#This Row],[SKU]],tblProductMaster[SKU],tblProductMaster[Product])</f>
        <v>Mouthwash 500ml</v>
      </c>
      <c r="I731">
        <v>227</v>
      </c>
      <c r="J731">
        <f>_xlfn.XLOOKUP(G731,[1]!tblProductMaster[SKU],[1]!tblProductMaster[List Price])</f>
        <v>5.99</v>
      </c>
      <c r="K731" t="s">
        <v>86</v>
      </c>
      <c r="L731" s="3">
        <v>0</v>
      </c>
      <c r="M731" s="9">
        <f t="shared" si="55"/>
        <v>5.99</v>
      </c>
      <c r="N731" s="8">
        <f t="shared" si="56"/>
        <v>1359.73</v>
      </c>
      <c r="O731" s="9">
        <f>_xlfn.XLOOKUP(G731,[1]!tblProductMaster[SKU],[1]!tblProductMaster[Unit Cost])</f>
        <v>2.4</v>
      </c>
      <c r="P731" s="8">
        <f t="shared" si="57"/>
        <v>544.79999999999995</v>
      </c>
      <c r="Q731" s="8">
        <f t="shared" si="58"/>
        <v>814.93000000000006</v>
      </c>
      <c r="R731" s="4">
        <f t="shared" si="59"/>
        <v>0.59933222036727885</v>
      </c>
      <c r="S731" t="s">
        <v>87</v>
      </c>
      <c r="T731">
        <f>Table6[[#This Row],[Discount]]*Table6[[#This Row],[List Price]]*Table6[[#This Row],[Units]]</f>
        <v>0</v>
      </c>
    </row>
    <row r="732" spans="1:20" x14ac:dyDescent="0.2">
      <c r="A732" t="s">
        <v>825</v>
      </c>
      <c r="B732" s="2">
        <v>46137.879585288385</v>
      </c>
      <c r="C732" t="s">
        <v>98</v>
      </c>
      <c r="D732" t="s">
        <v>85</v>
      </c>
      <c r="E732" t="s">
        <v>8</v>
      </c>
      <c r="F732" t="s">
        <v>7</v>
      </c>
      <c r="G732" t="s">
        <v>10</v>
      </c>
      <c r="H732" t="str">
        <f>_xlfn.XLOOKUP(Table6[[#This Row],[SKU]],tblProductMaster[SKU],tblProductMaster[Product])</f>
        <v>Shampoo 500ml</v>
      </c>
      <c r="I732">
        <v>898</v>
      </c>
      <c r="J732">
        <f>_xlfn.XLOOKUP(G732,[1]!tblProductMaster[SKU],[1]!tblProductMaster[List Price])</f>
        <v>8.99</v>
      </c>
      <c r="K732" t="s">
        <v>89</v>
      </c>
      <c r="L732" s="3">
        <v>0.2</v>
      </c>
      <c r="M732" s="9">
        <f t="shared" si="55"/>
        <v>7.1920000000000002</v>
      </c>
      <c r="N732" s="8">
        <f t="shared" si="56"/>
        <v>6458.4160000000002</v>
      </c>
      <c r="O732" s="9">
        <f>_xlfn.XLOOKUP(G732,[1]!tblProductMaster[SKU],[1]!tblProductMaster[Unit Cost])</f>
        <v>3.6</v>
      </c>
      <c r="P732" s="8">
        <f t="shared" si="57"/>
        <v>3232.8</v>
      </c>
      <c r="Q732" s="8">
        <f t="shared" si="58"/>
        <v>3225.616</v>
      </c>
      <c r="R732" s="4">
        <f t="shared" si="59"/>
        <v>0.49944382647385982</v>
      </c>
      <c r="S732" t="s">
        <v>90</v>
      </c>
      <c r="T732">
        <f>Table6[[#This Row],[Discount]]*Table6[[#This Row],[List Price]]*Table6[[#This Row],[Units]]</f>
        <v>1614.604</v>
      </c>
    </row>
    <row r="733" spans="1:20" x14ac:dyDescent="0.2">
      <c r="A733" t="s">
        <v>826</v>
      </c>
      <c r="B733" s="2">
        <v>46271.774406531833</v>
      </c>
      <c r="C733" t="s">
        <v>84</v>
      </c>
      <c r="D733" t="s">
        <v>85</v>
      </c>
      <c r="E733" t="s">
        <v>8</v>
      </c>
      <c r="F733" t="s">
        <v>18</v>
      </c>
      <c r="G733" t="s">
        <v>20</v>
      </c>
      <c r="H733" t="str">
        <f>_xlfn.XLOOKUP(Table6[[#This Row],[SKU]],tblProductMaster[SKU],tblProductMaster[Product])</f>
        <v>Hair Oil</v>
      </c>
      <c r="I733">
        <v>328</v>
      </c>
      <c r="J733">
        <f>_xlfn.XLOOKUP(G733,[1]!tblProductMaster[SKU],[1]!tblProductMaster[List Price])</f>
        <v>7.49</v>
      </c>
      <c r="K733" t="s">
        <v>86</v>
      </c>
      <c r="L733" s="3">
        <v>0</v>
      </c>
      <c r="M733" s="9">
        <f t="shared" si="55"/>
        <v>7.49</v>
      </c>
      <c r="N733" s="8">
        <f t="shared" si="56"/>
        <v>2456.7200000000003</v>
      </c>
      <c r="O733" s="9">
        <f>_xlfn.XLOOKUP(G733,[1]!tblProductMaster[SKU],[1]!tblProductMaster[Unit Cost])</f>
        <v>3.1</v>
      </c>
      <c r="P733" s="8">
        <f t="shared" si="57"/>
        <v>1016.8000000000001</v>
      </c>
      <c r="Q733" s="8">
        <f t="shared" si="58"/>
        <v>1439.92</v>
      </c>
      <c r="R733" s="4">
        <f t="shared" si="59"/>
        <v>0.5861148197596795</v>
      </c>
      <c r="S733" t="s">
        <v>87</v>
      </c>
      <c r="T733">
        <f>Table6[[#This Row],[Discount]]*Table6[[#This Row],[List Price]]*Table6[[#This Row],[Units]]</f>
        <v>0</v>
      </c>
    </row>
    <row r="734" spans="1:20" x14ac:dyDescent="0.2">
      <c r="A734" t="s">
        <v>827</v>
      </c>
      <c r="B734" s="2">
        <v>46362.085543080291</v>
      </c>
      <c r="C734" t="s">
        <v>93</v>
      </c>
      <c r="D734" t="s">
        <v>104</v>
      </c>
      <c r="E734" t="s">
        <v>56</v>
      </c>
      <c r="F734" t="s">
        <v>7</v>
      </c>
      <c r="G734" t="s">
        <v>66</v>
      </c>
      <c r="H734" t="str">
        <f>_xlfn.XLOOKUP(Table6[[#This Row],[SKU]],tblProductMaster[SKU],tblProductMaster[Product])</f>
        <v>Electric Brush Heads</v>
      </c>
      <c r="I734">
        <v>597</v>
      </c>
      <c r="J734">
        <f>_xlfn.XLOOKUP(G734,[1]!tblProductMaster[SKU],[1]!tblProductMaster[List Price])</f>
        <v>12.99</v>
      </c>
      <c r="K734" t="s">
        <v>86</v>
      </c>
      <c r="L734" s="3">
        <v>0</v>
      </c>
      <c r="M734" s="9">
        <f t="shared" si="55"/>
        <v>12.99</v>
      </c>
      <c r="N734" s="8">
        <f t="shared" si="56"/>
        <v>7755.03</v>
      </c>
      <c r="O734" s="9">
        <f>_xlfn.XLOOKUP(G734,[1]!tblProductMaster[SKU],[1]!tblProductMaster[Unit Cost])</f>
        <v>5.2</v>
      </c>
      <c r="P734" s="8">
        <f t="shared" si="57"/>
        <v>3104.4</v>
      </c>
      <c r="Q734" s="8">
        <f t="shared" si="58"/>
        <v>4650.6299999999992</v>
      </c>
      <c r="R734" s="4">
        <f t="shared" si="59"/>
        <v>0.59969207082371045</v>
      </c>
      <c r="S734" t="s">
        <v>87</v>
      </c>
      <c r="T734">
        <f>Table6[[#This Row],[Discount]]*Table6[[#This Row],[List Price]]*Table6[[#This Row],[Units]]</f>
        <v>0</v>
      </c>
    </row>
    <row r="735" spans="1:20" x14ac:dyDescent="0.2">
      <c r="A735" t="s">
        <v>828</v>
      </c>
      <c r="B735" s="2">
        <v>46360.206042186779</v>
      </c>
      <c r="C735" t="s">
        <v>84</v>
      </c>
      <c r="D735" t="s">
        <v>85</v>
      </c>
      <c r="E735" t="s">
        <v>8</v>
      </c>
      <c r="F735" t="s">
        <v>7</v>
      </c>
      <c r="G735" t="s">
        <v>12</v>
      </c>
      <c r="H735" t="str">
        <f>_xlfn.XLOOKUP(Table6[[#This Row],[SKU]],tblProductMaster[SKU],tblProductMaster[Product])</f>
        <v>Conditioner 250ml</v>
      </c>
      <c r="I735">
        <v>1135</v>
      </c>
      <c r="J735">
        <f>_xlfn.XLOOKUP(G735,[1]!tblProductMaster[SKU],[1]!tblProductMaster[List Price])</f>
        <v>5.49</v>
      </c>
      <c r="K735" t="s">
        <v>89</v>
      </c>
      <c r="L735" s="3">
        <v>0.2</v>
      </c>
      <c r="M735" s="9">
        <f t="shared" si="55"/>
        <v>4.3920000000000003</v>
      </c>
      <c r="N735" s="8">
        <f t="shared" si="56"/>
        <v>4984.92</v>
      </c>
      <c r="O735" s="9">
        <f>_xlfn.XLOOKUP(G735,[1]!tblProductMaster[SKU],[1]!tblProductMaster[Unit Cost])</f>
        <v>2.2000000000000002</v>
      </c>
      <c r="P735" s="8">
        <f t="shared" si="57"/>
        <v>2497</v>
      </c>
      <c r="Q735" s="8">
        <f t="shared" si="58"/>
        <v>2487.92</v>
      </c>
      <c r="R735" s="4">
        <f t="shared" si="59"/>
        <v>0.49908925318761382</v>
      </c>
      <c r="S735" t="s">
        <v>99</v>
      </c>
      <c r="T735">
        <f>Table6[[#This Row],[Discount]]*Table6[[#This Row],[List Price]]*Table6[[#This Row],[Units]]</f>
        <v>1246.23</v>
      </c>
    </row>
    <row r="736" spans="1:20" x14ac:dyDescent="0.2">
      <c r="A736" t="s">
        <v>829</v>
      </c>
      <c r="B736" s="2">
        <v>46040.341096591372</v>
      </c>
      <c r="C736" t="s">
        <v>93</v>
      </c>
      <c r="D736" t="s">
        <v>104</v>
      </c>
      <c r="E736" t="s">
        <v>25</v>
      </c>
      <c r="F736" t="s">
        <v>15</v>
      </c>
      <c r="G736" t="s">
        <v>29</v>
      </c>
      <c r="H736" t="str">
        <f>_xlfn.XLOOKUP(Table6[[#This Row],[SKU]],tblProductMaster[SKU],tblProductMaster[Product])</f>
        <v>Shower Gel 250ml</v>
      </c>
      <c r="I736">
        <v>303</v>
      </c>
      <c r="J736">
        <f>_xlfn.XLOOKUP(G736,[1]!tblProductMaster[SKU],[1]!tblProductMaster[List Price])</f>
        <v>4.49</v>
      </c>
      <c r="K736" t="s">
        <v>86</v>
      </c>
      <c r="L736" s="3">
        <v>0</v>
      </c>
      <c r="M736" s="9">
        <f t="shared" si="55"/>
        <v>4.49</v>
      </c>
      <c r="N736" s="8">
        <f t="shared" si="56"/>
        <v>1360.47</v>
      </c>
      <c r="O736" s="9">
        <f>_xlfn.XLOOKUP(G736,[1]!tblProductMaster[SKU],[1]!tblProductMaster[Unit Cost])</f>
        <v>1.9</v>
      </c>
      <c r="P736" s="8">
        <f t="shared" si="57"/>
        <v>575.69999999999993</v>
      </c>
      <c r="Q736" s="8">
        <f t="shared" si="58"/>
        <v>784.7700000000001</v>
      </c>
      <c r="R736" s="4">
        <f t="shared" si="59"/>
        <v>0.57683741648106912</v>
      </c>
      <c r="S736" t="s">
        <v>87</v>
      </c>
      <c r="T736">
        <f>Table6[[#This Row],[Discount]]*Table6[[#This Row],[List Price]]*Table6[[#This Row],[Units]]</f>
        <v>0</v>
      </c>
    </row>
    <row r="737" spans="1:20" x14ac:dyDescent="0.2">
      <c r="A737" t="s">
        <v>830</v>
      </c>
      <c r="B737" s="2">
        <v>46102.78204456572</v>
      </c>
      <c r="C737" t="s">
        <v>98</v>
      </c>
      <c r="D737" t="s">
        <v>96</v>
      </c>
      <c r="E737" t="s">
        <v>25</v>
      </c>
      <c r="F737" t="s">
        <v>15</v>
      </c>
      <c r="G737" t="s">
        <v>29</v>
      </c>
      <c r="H737" t="str">
        <f>_xlfn.XLOOKUP(Table6[[#This Row],[SKU]],tblProductMaster[SKU],tblProductMaster[Product])</f>
        <v>Shower Gel 250ml</v>
      </c>
      <c r="I737">
        <v>417</v>
      </c>
      <c r="J737">
        <f>_xlfn.XLOOKUP(G737,[1]!tblProductMaster[SKU],[1]!tblProductMaster[List Price])</f>
        <v>4.49</v>
      </c>
      <c r="K737" t="s">
        <v>86</v>
      </c>
      <c r="L737" s="3">
        <v>0</v>
      </c>
      <c r="M737" s="9">
        <f t="shared" si="55"/>
        <v>4.49</v>
      </c>
      <c r="N737" s="8">
        <f t="shared" si="56"/>
        <v>1872.3300000000002</v>
      </c>
      <c r="O737" s="9">
        <f>_xlfn.XLOOKUP(G737,[1]!tblProductMaster[SKU],[1]!tblProductMaster[Unit Cost])</f>
        <v>1.9</v>
      </c>
      <c r="P737" s="8">
        <f t="shared" si="57"/>
        <v>792.3</v>
      </c>
      <c r="Q737" s="8">
        <f t="shared" si="58"/>
        <v>1080.0300000000002</v>
      </c>
      <c r="R737" s="4">
        <f t="shared" si="59"/>
        <v>0.57683741648106912</v>
      </c>
      <c r="S737" t="s">
        <v>87</v>
      </c>
      <c r="T737">
        <f>Table6[[#This Row],[Discount]]*Table6[[#This Row],[List Price]]*Table6[[#This Row],[Units]]</f>
        <v>0</v>
      </c>
    </row>
    <row r="738" spans="1:20" x14ac:dyDescent="0.2">
      <c r="A738" t="s">
        <v>831</v>
      </c>
      <c r="B738" s="2">
        <v>46226.169987931476</v>
      </c>
      <c r="C738" t="s">
        <v>98</v>
      </c>
      <c r="D738" t="s">
        <v>96</v>
      </c>
      <c r="E738" t="s">
        <v>56</v>
      </c>
      <c r="F738" t="s">
        <v>18</v>
      </c>
      <c r="G738" t="s">
        <v>60</v>
      </c>
      <c r="H738" t="str">
        <f>_xlfn.XLOOKUP(Table6[[#This Row],[SKU]],tblProductMaster[SKU],tblProductMaster[Product])</f>
        <v>Sensitive Toothpaste</v>
      </c>
      <c r="I738">
        <v>520</v>
      </c>
      <c r="J738">
        <f>_xlfn.XLOOKUP(G738,[1]!tblProductMaster[SKU],[1]!tblProductMaster[List Price])</f>
        <v>4.49</v>
      </c>
      <c r="K738" t="s">
        <v>89</v>
      </c>
      <c r="L738" s="3">
        <v>0.1</v>
      </c>
      <c r="M738" s="9">
        <f t="shared" si="55"/>
        <v>4.0410000000000004</v>
      </c>
      <c r="N738" s="8">
        <f t="shared" si="56"/>
        <v>2101.3200000000002</v>
      </c>
      <c r="O738" s="9">
        <f>_xlfn.XLOOKUP(G738,[1]!tblProductMaster[SKU],[1]!tblProductMaster[Unit Cost])</f>
        <v>1.7</v>
      </c>
      <c r="P738" s="8">
        <f t="shared" si="57"/>
        <v>884</v>
      </c>
      <c r="Q738" s="8">
        <f t="shared" si="58"/>
        <v>1217.3200000000002</v>
      </c>
      <c r="R738" s="4">
        <f t="shared" si="59"/>
        <v>0.57931205147240783</v>
      </c>
      <c r="S738" t="s">
        <v>94</v>
      </c>
      <c r="T738">
        <f>Table6[[#This Row],[Discount]]*Table6[[#This Row],[List Price]]*Table6[[#This Row],[Units]]</f>
        <v>233.48000000000005</v>
      </c>
    </row>
    <row r="739" spans="1:20" x14ac:dyDescent="0.2">
      <c r="A739" t="s">
        <v>832</v>
      </c>
      <c r="B739" s="2">
        <v>46110.827558826502</v>
      </c>
      <c r="C739" t="s">
        <v>93</v>
      </c>
      <c r="D739" t="s">
        <v>96</v>
      </c>
      <c r="E739" t="s">
        <v>8</v>
      </c>
      <c r="F739" t="s">
        <v>18</v>
      </c>
      <c r="G739" t="s">
        <v>17</v>
      </c>
      <c r="H739" t="str">
        <f>_xlfn.XLOOKUP(Table6[[#This Row],[SKU]],tblProductMaster[SKU],tblProductMaster[Product])</f>
        <v>Anti-Dandruff Shampoo</v>
      </c>
      <c r="I739">
        <v>274</v>
      </c>
      <c r="J739">
        <f>_xlfn.XLOOKUP(G739,[1]!tblProductMaster[SKU],[1]!tblProductMaster[List Price])</f>
        <v>6.49</v>
      </c>
      <c r="K739" t="s">
        <v>86</v>
      </c>
      <c r="L739" s="3">
        <v>0</v>
      </c>
      <c r="M739" s="9">
        <f t="shared" si="55"/>
        <v>6.49</v>
      </c>
      <c r="N739" s="8">
        <f t="shared" si="56"/>
        <v>1778.26</v>
      </c>
      <c r="O739" s="9">
        <f>_xlfn.XLOOKUP(G739,[1]!tblProductMaster[SKU],[1]!tblProductMaster[Unit Cost])</f>
        <v>2.8</v>
      </c>
      <c r="P739" s="8">
        <f t="shared" si="57"/>
        <v>767.19999999999993</v>
      </c>
      <c r="Q739" s="8">
        <f t="shared" si="58"/>
        <v>1011.0600000000001</v>
      </c>
      <c r="R739" s="4">
        <f t="shared" si="59"/>
        <v>0.5685670261941449</v>
      </c>
      <c r="S739" t="s">
        <v>87</v>
      </c>
      <c r="T739">
        <f>Table6[[#This Row],[Discount]]*Table6[[#This Row],[List Price]]*Table6[[#This Row],[Units]]</f>
        <v>0</v>
      </c>
    </row>
    <row r="740" spans="1:20" x14ac:dyDescent="0.2">
      <c r="A740" t="s">
        <v>833</v>
      </c>
      <c r="B740" s="2">
        <v>46199.385035525935</v>
      </c>
      <c r="C740" t="s">
        <v>93</v>
      </c>
      <c r="D740" t="s">
        <v>104</v>
      </c>
      <c r="E740" t="s">
        <v>8</v>
      </c>
      <c r="F740" t="s">
        <v>18</v>
      </c>
      <c r="G740" t="s">
        <v>20</v>
      </c>
      <c r="H740" t="str">
        <f>_xlfn.XLOOKUP(Table6[[#This Row],[SKU]],tblProductMaster[SKU],tblProductMaster[Product])</f>
        <v>Hair Oil</v>
      </c>
      <c r="I740">
        <v>385</v>
      </c>
      <c r="J740">
        <f>_xlfn.XLOOKUP(G740,[1]!tblProductMaster[SKU],[1]!tblProductMaster[List Price])</f>
        <v>7.49</v>
      </c>
      <c r="K740" t="s">
        <v>86</v>
      </c>
      <c r="L740" s="3">
        <v>0</v>
      </c>
      <c r="M740" s="9">
        <f t="shared" si="55"/>
        <v>7.49</v>
      </c>
      <c r="N740" s="8">
        <f t="shared" si="56"/>
        <v>2883.65</v>
      </c>
      <c r="O740" s="9">
        <f>_xlfn.XLOOKUP(G740,[1]!tblProductMaster[SKU],[1]!tblProductMaster[Unit Cost])</f>
        <v>3.1</v>
      </c>
      <c r="P740" s="8">
        <f t="shared" si="57"/>
        <v>1193.5</v>
      </c>
      <c r="Q740" s="8">
        <f t="shared" si="58"/>
        <v>1690.15</v>
      </c>
      <c r="R740" s="4">
        <f t="shared" si="59"/>
        <v>0.58611481975967961</v>
      </c>
      <c r="S740" t="s">
        <v>87</v>
      </c>
      <c r="T740">
        <f>Table6[[#This Row],[Discount]]*Table6[[#This Row],[List Price]]*Table6[[#This Row],[Units]]</f>
        <v>0</v>
      </c>
    </row>
    <row r="741" spans="1:20" x14ac:dyDescent="0.2">
      <c r="A741" t="s">
        <v>834</v>
      </c>
      <c r="B741" s="2">
        <v>46240.761818858649</v>
      </c>
      <c r="C741" t="s">
        <v>84</v>
      </c>
      <c r="D741" t="s">
        <v>96</v>
      </c>
      <c r="E741" t="s">
        <v>25</v>
      </c>
      <c r="F741" t="s">
        <v>18</v>
      </c>
      <c r="G741" t="s">
        <v>37</v>
      </c>
      <c r="H741" t="str">
        <f>_xlfn.XLOOKUP(Table6[[#This Row],[SKU]],tblProductMaster[SKU],tblProductMaster[Product])</f>
        <v>Body Wash</v>
      </c>
      <c r="I741">
        <v>478</v>
      </c>
      <c r="J741">
        <f>_xlfn.XLOOKUP(G741,[1]!tblProductMaster[SKU],[1]!tblProductMaster[List Price])</f>
        <v>5.49</v>
      </c>
      <c r="K741" t="s">
        <v>86</v>
      </c>
      <c r="L741" s="3">
        <v>0</v>
      </c>
      <c r="M741" s="9">
        <f t="shared" si="55"/>
        <v>5.49</v>
      </c>
      <c r="N741" s="8">
        <f t="shared" si="56"/>
        <v>2624.2200000000003</v>
      </c>
      <c r="O741" s="9">
        <f>_xlfn.XLOOKUP(G741,[1]!tblProductMaster[SKU],[1]!tblProductMaster[Unit Cost])</f>
        <v>2.2999999999999998</v>
      </c>
      <c r="P741" s="8">
        <f t="shared" si="57"/>
        <v>1099.3999999999999</v>
      </c>
      <c r="Q741" s="8">
        <f t="shared" si="58"/>
        <v>1524.8200000000004</v>
      </c>
      <c r="R741" s="4">
        <f t="shared" si="59"/>
        <v>0.58105646630236807</v>
      </c>
      <c r="S741" t="s">
        <v>87</v>
      </c>
      <c r="T741">
        <f>Table6[[#This Row],[Discount]]*Table6[[#This Row],[List Price]]*Table6[[#This Row],[Units]]</f>
        <v>0</v>
      </c>
    </row>
    <row r="742" spans="1:20" x14ac:dyDescent="0.2">
      <c r="A742" t="s">
        <v>835</v>
      </c>
      <c r="B742" s="2">
        <v>46201.469726649098</v>
      </c>
      <c r="C742" t="s">
        <v>84</v>
      </c>
      <c r="D742" t="s">
        <v>104</v>
      </c>
      <c r="E742" t="s">
        <v>40</v>
      </c>
      <c r="F742" t="s">
        <v>15</v>
      </c>
      <c r="G742" t="s">
        <v>46</v>
      </c>
      <c r="H742" t="str">
        <f>_xlfn.XLOOKUP(Table6[[#This Row],[SKU]],tblProductMaster[SKU],tblProductMaster[Product])</f>
        <v>Stain Remover</v>
      </c>
      <c r="I742">
        <v>594</v>
      </c>
      <c r="J742">
        <f>_xlfn.XLOOKUP(G742,[1]!tblProductMaster[SKU],[1]!tblProductMaster[List Price])</f>
        <v>5.99</v>
      </c>
      <c r="K742" t="s">
        <v>89</v>
      </c>
      <c r="L742" s="3">
        <v>0.3</v>
      </c>
      <c r="M742" s="9">
        <f t="shared" si="55"/>
        <v>4.1929999999999996</v>
      </c>
      <c r="N742" s="8">
        <f t="shared" si="56"/>
        <v>2490.6419999999998</v>
      </c>
      <c r="O742" s="9">
        <f>_xlfn.XLOOKUP(G742,[1]!tblProductMaster[SKU],[1]!tblProductMaster[Unit Cost])</f>
        <v>2.5</v>
      </c>
      <c r="P742" s="8">
        <f t="shared" si="57"/>
        <v>1485</v>
      </c>
      <c r="Q742" s="8">
        <f t="shared" si="58"/>
        <v>1005.6419999999998</v>
      </c>
      <c r="R742" s="4">
        <f t="shared" si="59"/>
        <v>0.40376818507035533</v>
      </c>
      <c r="S742" t="s">
        <v>94</v>
      </c>
      <c r="T742">
        <f>Table6[[#This Row],[Discount]]*Table6[[#This Row],[List Price]]*Table6[[#This Row],[Units]]</f>
        <v>1067.4179999999999</v>
      </c>
    </row>
    <row r="743" spans="1:20" x14ac:dyDescent="0.2">
      <c r="A743" t="s">
        <v>836</v>
      </c>
      <c r="B743" s="2">
        <v>46320.895016834234</v>
      </c>
      <c r="C743" t="s">
        <v>93</v>
      </c>
      <c r="D743" t="s">
        <v>85</v>
      </c>
      <c r="E743" t="s">
        <v>56</v>
      </c>
      <c r="F743" t="s">
        <v>15</v>
      </c>
      <c r="G743" t="s">
        <v>62</v>
      </c>
      <c r="H743" t="str">
        <f>_xlfn.XLOOKUP(Table6[[#This Row],[SKU]],tblProductMaster[SKU],tblProductMaster[Product])</f>
        <v>Mouthwash 500ml</v>
      </c>
      <c r="I743">
        <v>530</v>
      </c>
      <c r="J743">
        <f>_xlfn.XLOOKUP(G743,[1]!tblProductMaster[SKU],[1]!tblProductMaster[List Price])</f>
        <v>5.99</v>
      </c>
      <c r="K743" t="s">
        <v>89</v>
      </c>
      <c r="L743" s="3">
        <v>0.2</v>
      </c>
      <c r="M743" s="9">
        <f t="shared" si="55"/>
        <v>4.7920000000000007</v>
      </c>
      <c r="N743" s="8">
        <f t="shared" si="56"/>
        <v>2539.7600000000002</v>
      </c>
      <c r="O743" s="9">
        <f>_xlfn.XLOOKUP(G743,[1]!tblProductMaster[SKU],[1]!tblProductMaster[Unit Cost])</f>
        <v>2.4</v>
      </c>
      <c r="P743" s="8">
        <f t="shared" si="57"/>
        <v>1272</v>
      </c>
      <c r="Q743" s="8">
        <f t="shared" si="58"/>
        <v>1267.7600000000002</v>
      </c>
      <c r="R743" s="4">
        <f t="shared" si="59"/>
        <v>0.49916527545909856</v>
      </c>
      <c r="S743" t="s">
        <v>99</v>
      </c>
      <c r="T743">
        <f>Table6[[#This Row],[Discount]]*Table6[[#This Row],[List Price]]*Table6[[#This Row],[Units]]</f>
        <v>634.94000000000005</v>
      </c>
    </row>
    <row r="744" spans="1:20" x14ac:dyDescent="0.2">
      <c r="A744" t="s">
        <v>837</v>
      </c>
      <c r="B744" s="2">
        <v>46109.413464922967</v>
      </c>
      <c r="C744" t="s">
        <v>93</v>
      </c>
      <c r="D744" t="s">
        <v>104</v>
      </c>
      <c r="E744" t="s">
        <v>56</v>
      </c>
      <c r="F744" t="s">
        <v>18</v>
      </c>
      <c r="G744" t="s">
        <v>60</v>
      </c>
      <c r="H744" t="str">
        <f>_xlfn.XLOOKUP(Table6[[#This Row],[SKU]],tblProductMaster[SKU],tblProductMaster[Product])</f>
        <v>Sensitive Toothpaste</v>
      </c>
      <c r="I744">
        <v>776</v>
      </c>
      <c r="J744">
        <f>_xlfn.XLOOKUP(G744,[1]!tblProductMaster[SKU],[1]!tblProductMaster[List Price])</f>
        <v>4.49</v>
      </c>
      <c r="K744" t="s">
        <v>86</v>
      </c>
      <c r="L744" s="3">
        <v>0</v>
      </c>
      <c r="M744" s="9">
        <f t="shared" si="55"/>
        <v>4.49</v>
      </c>
      <c r="N744" s="8">
        <f t="shared" si="56"/>
        <v>3484.2400000000002</v>
      </c>
      <c r="O744" s="9">
        <f>_xlfn.XLOOKUP(G744,[1]!tblProductMaster[SKU],[1]!tblProductMaster[Unit Cost])</f>
        <v>1.7</v>
      </c>
      <c r="P744" s="8">
        <f t="shared" si="57"/>
        <v>1319.2</v>
      </c>
      <c r="Q744" s="8">
        <f t="shared" si="58"/>
        <v>2165.04</v>
      </c>
      <c r="R744" s="4">
        <f t="shared" si="59"/>
        <v>0.62138084632516699</v>
      </c>
      <c r="S744" t="s">
        <v>87</v>
      </c>
      <c r="T744">
        <f>Table6[[#This Row],[Discount]]*Table6[[#This Row],[List Price]]*Table6[[#This Row],[Units]]</f>
        <v>0</v>
      </c>
    </row>
    <row r="745" spans="1:20" x14ac:dyDescent="0.2">
      <c r="A745" t="s">
        <v>838</v>
      </c>
      <c r="B745" s="2">
        <v>46078.831971159409</v>
      </c>
      <c r="C745" t="s">
        <v>98</v>
      </c>
      <c r="D745" t="s">
        <v>96</v>
      </c>
      <c r="E745" t="s">
        <v>8</v>
      </c>
      <c r="F745" t="s">
        <v>7</v>
      </c>
      <c r="G745" t="s">
        <v>12</v>
      </c>
      <c r="H745" t="str">
        <f>_xlfn.XLOOKUP(Table6[[#This Row],[SKU]],tblProductMaster[SKU],tblProductMaster[Product])</f>
        <v>Conditioner 250ml</v>
      </c>
      <c r="I745">
        <v>317</v>
      </c>
      <c r="J745">
        <f>_xlfn.XLOOKUP(G745,[1]!tblProductMaster[SKU],[1]!tblProductMaster[List Price])</f>
        <v>5.49</v>
      </c>
      <c r="K745" t="s">
        <v>86</v>
      </c>
      <c r="L745" s="3">
        <v>0</v>
      </c>
      <c r="M745" s="9">
        <f t="shared" si="55"/>
        <v>5.49</v>
      </c>
      <c r="N745" s="8">
        <f t="shared" si="56"/>
        <v>1740.3300000000002</v>
      </c>
      <c r="O745" s="9">
        <f>_xlfn.XLOOKUP(G745,[1]!tblProductMaster[SKU],[1]!tblProductMaster[Unit Cost])</f>
        <v>2.2000000000000002</v>
      </c>
      <c r="P745" s="8">
        <f t="shared" si="57"/>
        <v>697.40000000000009</v>
      </c>
      <c r="Q745" s="8">
        <f t="shared" si="58"/>
        <v>1042.93</v>
      </c>
      <c r="R745" s="4">
        <f t="shared" si="59"/>
        <v>0.59927140255009104</v>
      </c>
      <c r="S745" t="s">
        <v>87</v>
      </c>
      <c r="T745">
        <f>Table6[[#This Row],[Discount]]*Table6[[#This Row],[List Price]]*Table6[[#This Row],[Units]]</f>
        <v>0</v>
      </c>
    </row>
    <row r="746" spans="1:20" x14ac:dyDescent="0.2">
      <c r="A746" t="s">
        <v>839</v>
      </c>
      <c r="B746" s="2">
        <v>46254.379936937672</v>
      </c>
      <c r="C746" t="s">
        <v>93</v>
      </c>
      <c r="D746" t="s">
        <v>85</v>
      </c>
      <c r="E746" t="s">
        <v>40</v>
      </c>
      <c r="F746" t="s">
        <v>18</v>
      </c>
      <c r="G746" t="s">
        <v>42</v>
      </c>
      <c r="H746" t="str">
        <f>_xlfn.XLOOKUP(Table6[[#This Row],[SKU]],tblProductMaster[SKU],tblProductMaster[Product])</f>
        <v>Detergent Capsules</v>
      </c>
      <c r="I746">
        <v>625</v>
      </c>
      <c r="J746">
        <f>_xlfn.XLOOKUP(G746,[1]!tblProductMaster[SKU],[1]!tblProductMaster[List Price])</f>
        <v>11.99</v>
      </c>
      <c r="K746" t="s">
        <v>86</v>
      </c>
      <c r="L746" s="3">
        <v>0</v>
      </c>
      <c r="M746" s="9">
        <f t="shared" si="55"/>
        <v>11.99</v>
      </c>
      <c r="N746" s="8">
        <f t="shared" si="56"/>
        <v>7493.75</v>
      </c>
      <c r="O746" s="9">
        <f>_xlfn.XLOOKUP(G746,[1]!tblProductMaster[SKU],[1]!tblProductMaster[Unit Cost])</f>
        <v>5.2</v>
      </c>
      <c r="P746" s="8">
        <f t="shared" si="57"/>
        <v>3250</v>
      </c>
      <c r="Q746" s="8">
        <f t="shared" si="58"/>
        <v>4243.75</v>
      </c>
      <c r="R746" s="4">
        <f t="shared" si="59"/>
        <v>0.56630525437864887</v>
      </c>
      <c r="S746" t="s">
        <v>87</v>
      </c>
      <c r="T746">
        <f>Table6[[#This Row],[Discount]]*Table6[[#This Row],[List Price]]*Table6[[#This Row],[Units]]</f>
        <v>0</v>
      </c>
    </row>
    <row r="747" spans="1:20" x14ac:dyDescent="0.2">
      <c r="A747" t="s">
        <v>840</v>
      </c>
      <c r="B747" s="2">
        <v>46383.203826366756</v>
      </c>
      <c r="C747" t="s">
        <v>93</v>
      </c>
      <c r="D747" t="s">
        <v>96</v>
      </c>
      <c r="E747" t="s">
        <v>40</v>
      </c>
      <c r="F747" t="s">
        <v>7</v>
      </c>
      <c r="G747" t="s">
        <v>44</v>
      </c>
      <c r="H747" t="str">
        <f>_xlfn.XLOOKUP(Table6[[#This Row],[SKU]],tblProductMaster[SKU],tblProductMaster[Product])</f>
        <v>Fabric Softener</v>
      </c>
      <c r="I747">
        <v>699</v>
      </c>
      <c r="J747">
        <f>_xlfn.XLOOKUP(G747,[1]!tblProductMaster[SKU],[1]!tblProductMaster[List Price])</f>
        <v>6.99</v>
      </c>
      <c r="K747" t="s">
        <v>86</v>
      </c>
      <c r="L747" s="3">
        <v>0</v>
      </c>
      <c r="M747" s="9">
        <f t="shared" si="55"/>
        <v>6.99</v>
      </c>
      <c r="N747" s="8">
        <f t="shared" si="56"/>
        <v>4886.01</v>
      </c>
      <c r="O747" s="9">
        <f>_xlfn.XLOOKUP(G747,[1]!tblProductMaster[SKU],[1]!tblProductMaster[Unit Cost])</f>
        <v>2.9</v>
      </c>
      <c r="P747" s="8">
        <f t="shared" si="57"/>
        <v>2027.1</v>
      </c>
      <c r="Q747" s="8">
        <f t="shared" si="58"/>
        <v>2858.9100000000003</v>
      </c>
      <c r="R747" s="4">
        <f t="shared" si="59"/>
        <v>0.58512160228898435</v>
      </c>
      <c r="S747" t="s">
        <v>87</v>
      </c>
      <c r="T747">
        <f>Table6[[#This Row],[Discount]]*Table6[[#This Row],[List Price]]*Table6[[#This Row],[Units]]</f>
        <v>0</v>
      </c>
    </row>
    <row r="748" spans="1:20" x14ac:dyDescent="0.2">
      <c r="A748" t="s">
        <v>841</v>
      </c>
      <c r="B748" s="2">
        <v>46373.306044668716</v>
      </c>
      <c r="C748" t="s">
        <v>98</v>
      </c>
      <c r="D748" t="s">
        <v>104</v>
      </c>
      <c r="E748" t="s">
        <v>8</v>
      </c>
      <c r="F748" t="s">
        <v>15</v>
      </c>
      <c r="G748" t="s">
        <v>14</v>
      </c>
      <c r="H748" t="str">
        <f>_xlfn.XLOOKUP(Table6[[#This Row],[SKU]],tblProductMaster[SKU],tblProductMaster[Product])</f>
        <v>Shampoo 250ml</v>
      </c>
      <c r="I748">
        <v>515</v>
      </c>
      <c r="J748">
        <f>_xlfn.XLOOKUP(G748,[1]!tblProductMaster[SKU],[1]!tblProductMaster[List Price])</f>
        <v>4.99</v>
      </c>
      <c r="K748" t="s">
        <v>86</v>
      </c>
      <c r="L748" s="3">
        <v>0</v>
      </c>
      <c r="M748" s="9">
        <f t="shared" si="55"/>
        <v>4.99</v>
      </c>
      <c r="N748" s="8">
        <f t="shared" si="56"/>
        <v>2569.85</v>
      </c>
      <c r="O748" s="9">
        <f>_xlfn.XLOOKUP(G748,[1]!tblProductMaster[SKU],[1]!tblProductMaster[Unit Cost])</f>
        <v>2.1</v>
      </c>
      <c r="P748" s="8">
        <f t="shared" si="57"/>
        <v>1081.5</v>
      </c>
      <c r="Q748" s="8">
        <f t="shared" si="58"/>
        <v>1488.35</v>
      </c>
      <c r="R748" s="4">
        <f t="shared" si="59"/>
        <v>0.57915831663326656</v>
      </c>
      <c r="S748" t="s">
        <v>87</v>
      </c>
      <c r="T748">
        <f>Table6[[#This Row],[Discount]]*Table6[[#This Row],[List Price]]*Table6[[#This Row],[Units]]</f>
        <v>0</v>
      </c>
    </row>
    <row r="749" spans="1:20" x14ac:dyDescent="0.2">
      <c r="A749" t="s">
        <v>842</v>
      </c>
      <c r="B749" s="2">
        <v>46284.816552626442</v>
      </c>
      <c r="C749" t="s">
        <v>84</v>
      </c>
      <c r="D749" t="s">
        <v>96</v>
      </c>
      <c r="E749" t="s">
        <v>8</v>
      </c>
      <c r="F749" t="s">
        <v>18</v>
      </c>
      <c r="G749" t="s">
        <v>17</v>
      </c>
      <c r="H749" t="str">
        <f>_xlfn.XLOOKUP(Table6[[#This Row],[SKU]],tblProductMaster[SKU],tblProductMaster[Product])</f>
        <v>Anti-Dandruff Shampoo</v>
      </c>
      <c r="I749">
        <v>733</v>
      </c>
      <c r="J749">
        <f>_xlfn.XLOOKUP(G749,[1]!tblProductMaster[SKU],[1]!tblProductMaster[List Price])</f>
        <v>6.49</v>
      </c>
      <c r="K749" t="s">
        <v>86</v>
      </c>
      <c r="L749" s="3">
        <v>0</v>
      </c>
      <c r="M749" s="9">
        <f t="shared" si="55"/>
        <v>6.49</v>
      </c>
      <c r="N749" s="8">
        <f t="shared" si="56"/>
        <v>4757.17</v>
      </c>
      <c r="O749" s="9">
        <f>_xlfn.XLOOKUP(G749,[1]!tblProductMaster[SKU],[1]!tblProductMaster[Unit Cost])</f>
        <v>2.8</v>
      </c>
      <c r="P749" s="8">
        <f t="shared" si="57"/>
        <v>2052.4</v>
      </c>
      <c r="Q749" s="8">
        <f t="shared" si="58"/>
        <v>2704.77</v>
      </c>
      <c r="R749" s="4">
        <f t="shared" si="59"/>
        <v>0.56856702619414479</v>
      </c>
      <c r="S749" t="s">
        <v>87</v>
      </c>
      <c r="T749">
        <f>Table6[[#This Row],[Discount]]*Table6[[#This Row],[List Price]]*Table6[[#This Row],[Units]]</f>
        <v>0</v>
      </c>
    </row>
    <row r="750" spans="1:20" x14ac:dyDescent="0.2">
      <c r="A750" t="s">
        <v>843</v>
      </c>
      <c r="B750" s="2">
        <v>46319.395760772866</v>
      </c>
      <c r="C750" t="s">
        <v>93</v>
      </c>
      <c r="D750" t="s">
        <v>85</v>
      </c>
      <c r="E750" t="s">
        <v>40</v>
      </c>
      <c r="F750" t="s">
        <v>18</v>
      </c>
      <c r="G750" t="s">
        <v>50</v>
      </c>
      <c r="H750" t="str">
        <f>_xlfn.XLOOKUP(Table6[[#This Row],[SKU]],tblProductMaster[SKU],tblProductMaster[Product])</f>
        <v>Sensitive Detergent</v>
      </c>
      <c r="I750">
        <v>298</v>
      </c>
      <c r="J750">
        <f>_xlfn.XLOOKUP(G750,[1]!tblProductMaster[SKU],[1]!tblProductMaster[List Price])</f>
        <v>8.99</v>
      </c>
      <c r="K750" t="s">
        <v>86</v>
      </c>
      <c r="L750" s="3">
        <v>0</v>
      </c>
      <c r="M750" s="9">
        <f t="shared" si="55"/>
        <v>8.99</v>
      </c>
      <c r="N750" s="8">
        <f t="shared" si="56"/>
        <v>2679.02</v>
      </c>
      <c r="O750" s="9">
        <f>_xlfn.XLOOKUP(G750,[1]!tblProductMaster[SKU],[1]!tblProductMaster[Unit Cost])</f>
        <v>4</v>
      </c>
      <c r="P750" s="8">
        <f t="shared" si="57"/>
        <v>1192</v>
      </c>
      <c r="Q750" s="8">
        <f t="shared" si="58"/>
        <v>1487.02</v>
      </c>
      <c r="R750" s="4">
        <f t="shared" si="59"/>
        <v>0.55506117908787544</v>
      </c>
      <c r="S750" t="s">
        <v>87</v>
      </c>
      <c r="T750">
        <f>Table6[[#This Row],[Discount]]*Table6[[#This Row],[List Price]]*Table6[[#This Row],[Units]]</f>
        <v>0</v>
      </c>
    </row>
    <row r="751" spans="1:20" x14ac:dyDescent="0.2">
      <c r="A751" t="s">
        <v>844</v>
      </c>
      <c r="B751" s="2">
        <v>46116.060158776592</v>
      </c>
      <c r="C751" t="s">
        <v>93</v>
      </c>
      <c r="D751" t="s">
        <v>85</v>
      </c>
      <c r="E751" t="s">
        <v>56</v>
      </c>
      <c r="F751" t="s">
        <v>15</v>
      </c>
      <c r="G751" t="s">
        <v>62</v>
      </c>
      <c r="H751" t="str">
        <f>_xlfn.XLOOKUP(Table6[[#This Row],[SKU]],tblProductMaster[SKU],tblProductMaster[Product])</f>
        <v>Mouthwash 500ml</v>
      </c>
      <c r="I751">
        <v>396</v>
      </c>
      <c r="J751">
        <f>_xlfn.XLOOKUP(G751,[1]!tblProductMaster[SKU],[1]!tblProductMaster[List Price])</f>
        <v>5.99</v>
      </c>
      <c r="K751" t="s">
        <v>86</v>
      </c>
      <c r="L751" s="3">
        <v>0</v>
      </c>
      <c r="M751" s="9">
        <f t="shared" si="55"/>
        <v>5.99</v>
      </c>
      <c r="N751" s="8">
        <f t="shared" si="56"/>
        <v>2372.04</v>
      </c>
      <c r="O751" s="9">
        <f>_xlfn.XLOOKUP(G751,[1]!tblProductMaster[SKU],[1]!tblProductMaster[Unit Cost])</f>
        <v>2.4</v>
      </c>
      <c r="P751" s="8">
        <f t="shared" si="57"/>
        <v>950.4</v>
      </c>
      <c r="Q751" s="8">
        <f t="shared" si="58"/>
        <v>1421.6399999999999</v>
      </c>
      <c r="R751" s="4">
        <f t="shared" si="59"/>
        <v>0.59933222036727873</v>
      </c>
      <c r="S751" t="s">
        <v>87</v>
      </c>
      <c r="T751">
        <f>Table6[[#This Row],[Discount]]*Table6[[#This Row],[List Price]]*Table6[[#This Row],[Units]]</f>
        <v>0</v>
      </c>
    </row>
    <row r="752" spans="1:20" x14ac:dyDescent="0.2">
      <c r="A752" t="s">
        <v>845</v>
      </c>
      <c r="B752" s="2">
        <v>46264.289374072854</v>
      </c>
      <c r="C752" t="s">
        <v>93</v>
      </c>
      <c r="D752" t="s">
        <v>104</v>
      </c>
      <c r="E752" t="s">
        <v>25</v>
      </c>
      <c r="F752" t="s">
        <v>15</v>
      </c>
      <c r="G752" t="s">
        <v>35</v>
      </c>
      <c r="H752" t="str">
        <f>_xlfn.XLOOKUP(Table6[[#This Row],[SKU]],tblProductMaster[SKU],tblProductMaster[Product])</f>
        <v>Hand Cream</v>
      </c>
      <c r="I752">
        <v>1131</v>
      </c>
      <c r="J752">
        <f>_xlfn.XLOOKUP(G752,[1]!tblProductMaster[SKU],[1]!tblProductMaster[List Price])</f>
        <v>4.99</v>
      </c>
      <c r="K752" t="s">
        <v>89</v>
      </c>
      <c r="L752" s="3">
        <v>0.1</v>
      </c>
      <c r="M752" s="9">
        <f t="shared" si="55"/>
        <v>4.4910000000000005</v>
      </c>
      <c r="N752" s="8">
        <f t="shared" si="56"/>
        <v>5079.3210000000008</v>
      </c>
      <c r="O752" s="9">
        <f>_xlfn.XLOOKUP(G752,[1]!tblProductMaster[SKU],[1]!tblProductMaster[Unit Cost])</f>
        <v>2.1</v>
      </c>
      <c r="P752" s="8">
        <f t="shared" si="57"/>
        <v>2375.1</v>
      </c>
      <c r="Q752" s="8">
        <f t="shared" si="58"/>
        <v>2704.2210000000009</v>
      </c>
      <c r="R752" s="4">
        <f t="shared" si="59"/>
        <v>0.53239812959251842</v>
      </c>
      <c r="S752" t="s">
        <v>94</v>
      </c>
      <c r="T752">
        <f>Table6[[#This Row],[Discount]]*Table6[[#This Row],[List Price]]*Table6[[#This Row],[Units]]</f>
        <v>564.36900000000003</v>
      </c>
    </row>
    <row r="753" spans="1:20" x14ac:dyDescent="0.2">
      <c r="A753" t="s">
        <v>846</v>
      </c>
      <c r="B753" s="2">
        <v>46170.033678370783</v>
      </c>
      <c r="C753" t="s">
        <v>84</v>
      </c>
      <c r="D753" t="s">
        <v>85</v>
      </c>
      <c r="E753" t="s">
        <v>56</v>
      </c>
      <c r="F753" t="s">
        <v>18</v>
      </c>
      <c r="G753" t="s">
        <v>68</v>
      </c>
      <c r="H753" t="str">
        <f>_xlfn.XLOOKUP(Table6[[#This Row],[SKU]],tblProductMaster[SKU],tblProductMaster[Product])</f>
        <v>Kids Toothpaste</v>
      </c>
      <c r="I753">
        <v>785</v>
      </c>
      <c r="J753">
        <f>_xlfn.XLOOKUP(G753,[1]!tblProductMaster[SKU],[1]!tblProductMaster[List Price])</f>
        <v>3.29</v>
      </c>
      <c r="K753" t="s">
        <v>86</v>
      </c>
      <c r="L753" s="3">
        <v>0</v>
      </c>
      <c r="M753" s="9">
        <f t="shared" si="55"/>
        <v>3.29</v>
      </c>
      <c r="N753" s="8">
        <f t="shared" si="56"/>
        <v>2582.65</v>
      </c>
      <c r="O753" s="9">
        <f>_xlfn.XLOOKUP(G753,[1]!tblProductMaster[SKU],[1]!tblProductMaster[Unit Cost])</f>
        <v>1.1000000000000001</v>
      </c>
      <c r="P753" s="8">
        <f t="shared" si="57"/>
        <v>863.50000000000011</v>
      </c>
      <c r="Q753" s="8">
        <f t="shared" si="58"/>
        <v>1719.15</v>
      </c>
      <c r="R753" s="4">
        <f t="shared" si="59"/>
        <v>0.66565349544072949</v>
      </c>
      <c r="S753" t="s">
        <v>87</v>
      </c>
      <c r="T753">
        <f>Table6[[#This Row],[Discount]]*Table6[[#This Row],[List Price]]*Table6[[#This Row],[Units]]</f>
        <v>0</v>
      </c>
    </row>
    <row r="754" spans="1:20" x14ac:dyDescent="0.2">
      <c r="A754" t="s">
        <v>847</v>
      </c>
      <c r="B754" s="2">
        <v>46358.796781948484</v>
      </c>
      <c r="C754" t="s">
        <v>84</v>
      </c>
      <c r="D754" t="s">
        <v>104</v>
      </c>
      <c r="E754" t="s">
        <v>25</v>
      </c>
      <c r="F754" t="s">
        <v>7</v>
      </c>
      <c r="G754" t="s">
        <v>33</v>
      </c>
      <c r="H754" t="str">
        <f>_xlfn.XLOOKUP(Table6[[#This Row],[SKU]],tblProductMaster[SKU],tblProductMaster[Product])</f>
        <v>Sunscreen 200ml</v>
      </c>
      <c r="I754">
        <v>459</v>
      </c>
      <c r="J754">
        <f>_xlfn.XLOOKUP(G754,[1]!tblProductMaster[SKU],[1]!tblProductMaster[List Price])</f>
        <v>10.99</v>
      </c>
      <c r="K754" t="s">
        <v>89</v>
      </c>
      <c r="L754" s="3">
        <v>0.1</v>
      </c>
      <c r="M754" s="9">
        <f t="shared" si="55"/>
        <v>9.891</v>
      </c>
      <c r="N754" s="8">
        <f t="shared" si="56"/>
        <v>4539.9690000000001</v>
      </c>
      <c r="O754" s="9">
        <f>_xlfn.XLOOKUP(G754,[1]!tblProductMaster[SKU],[1]!tblProductMaster[Unit Cost])</f>
        <v>4.5999999999999996</v>
      </c>
      <c r="P754" s="8">
        <f t="shared" si="57"/>
        <v>2111.3999999999996</v>
      </c>
      <c r="Q754" s="8">
        <f t="shared" si="58"/>
        <v>2428.5690000000004</v>
      </c>
      <c r="R754" s="4">
        <f t="shared" si="59"/>
        <v>0.53493074512182803</v>
      </c>
      <c r="S754" t="s">
        <v>90</v>
      </c>
      <c r="T754">
        <f>Table6[[#This Row],[Discount]]*Table6[[#This Row],[List Price]]*Table6[[#This Row],[Units]]</f>
        <v>504.44099999999997</v>
      </c>
    </row>
    <row r="755" spans="1:20" x14ac:dyDescent="0.2">
      <c r="A755" t="s">
        <v>848</v>
      </c>
      <c r="B755" s="2">
        <v>46223.910241475241</v>
      </c>
      <c r="C755" t="s">
        <v>98</v>
      </c>
      <c r="D755" t="s">
        <v>85</v>
      </c>
      <c r="E755" t="s">
        <v>40</v>
      </c>
      <c r="F755" t="s">
        <v>18</v>
      </c>
      <c r="G755" t="s">
        <v>42</v>
      </c>
      <c r="H755" t="str">
        <f>_xlfn.XLOOKUP(Table6[[#This Row],[SKU]],tblProductMaster[SKU],tblProductMaster[Product])</f>
        <v>Detergent Capsules</v>
      </c>
      <c r="I755">
        <v>449</v>
      </c>
      <c r="J755">
        <f>_xlfn.XLOOKUP(G755,[1]!tblProductMaster[SKU],[1]!tblProductMaster[List Price])</f>
        <v>11.99</v>
      </c>
      <c r="K755" t="s">
        <v>86</v>
      </c>
      <c r="L755" s="3">
        <v>0</v>
      </c>
      <c r="M755" s="9">
        <f t="shared" si="55"/>
        <v>11.99</v>
      </c>
      <c r="N755" s="8">
        <f t="shared" si="56"/>
        <v>5383.51</v>
      </c>
      <c r="O755" s="9">
        <f>_xlfn.XLOOKUP(G755,[1]!tblProductMaster[SKU],[1]!tblProductMaster[Unit Cost])</f>
        <v>5.2</v>
      </c>
      <c r="P755" s="8">
        <f t="shared" si="57"/>
        <v>2334.8000000000002</v>
      </c>
      <c r="Q755" s="8">
        <f t="shared" si="58"/>
        <v>3048.71</v>
      </c>
      <c r="R755" s="4">
        <f t="shared" si="59"/>
        <v>0.56630525437864887</v>
      </c>
      <c r="S755" t="s">
        <v>87</v>
      </c>
      <c r="T755">
        <f>Table6[[#This Row],[Discount]]*Table6[[#This Row],[List Price]]*Table6[[#This Row],[Units]]</f>
        <v>0</v>
      </c>
    </row>
    <row r="756" spans="1:20" x14ac:dyDescent="0.2">
      <c r="A756" t="s">
        <v>849</v>
      </c>
      <c r="B756" s="2">
        <v>46282.522819002545</v>
      </c>
      <c r="C756" t="s">
        <v>84</v>
      </c>
      <c r="D756" t="s">
        <v>104</v>
      </c>
      <c r="E756" t="s">
        <v>56</v>
      </c>
      <c r="F756" t="s">
        <v>7</v>
      </c>
      <c r="G756" t="s">
        <v>58</v>
      </c>
      <c r="H756" t="str">
        <f>_xlfn.XLOOKUP(Table6[[#This Row],[SKU]],tblProductMaster[SKU],tblProductMaster[Product])</f>
        <v>Whitening Toothpaste</v>
      </c>
      <c r="I756">
        <v>447</v>
      </c>
      <c r="J756">
        <f>_xlfn.XLOOKUP(G756,[1]!tblProductMaster[SKU],[1]!tblProductMaster[List Price])</f>
        <v>4.99</v>
      </c>
      <c r="K756" t="s">
        <v>86</v>
      </c>
      <c r="L756" s="3">
        <v>0</v>
      </c>
      <c r="M756" s="9">
        <f t="shared" si="55"/>
        <v>4.99</v>
      </c>
      <c r="N756" s="8">
        <f t="shared" si="56"/>
        <v>2230.5300000000002</v>
      </c>
      <c r="O756" s="9">
        <f>_xlfn.XLOOKUP(G756,[1]!tblProductMaster[SKU],[1]!tblProductMaster[Unit Cost])</f>
        <v>1.8</v>
      </c>
      <c r="P756" s="8">
        <f t="shared" si="57"/>
        <v>804.6</v>
      </c>
      <c r="Q756" s="8">
        <f t="shared" si="58"/>
        <v>1425.9300000000003</v>
      </c>
      <c r="R756" s="4">
        <f t="shared" si="59"/>
        <v>0.63927855711422854</v>
      </c>
      <c r="S756" t="s">
        <v>87</v>
      </c>
      <c r="T756">
        <f>Table6[[#This Row],[Discount]]*Table6[[#This Row],[List Price]]*Table6[[#This Row],[Units]]</f>
        <v>0</v>
      </c>
    </row>
    <row r="757" spans="1:20" x14ac:dyDescent="0.2">
      <c r="A757" t="s">
        <v>850</v>
      </c>
      <c r="B757" s="2">
        <v>46277.216271096448</v>
      </c>
      <c r="C757" t="s">
        <v>93</v>
      </c>
      <c r="D757" t="s">
        <v>96</v>
      </c>
      <c r="E757" t="s">
        <v>8</v>
      </c>
      <c r="F757" t="s">
        <v>7</v>
      </c>
      <c r="G757" t="s">
        <v>6</v>
      </c>
      <c r="H757" t="str">
        <f>_xlfn.XLOOKUP(Table6[[#This Row],[SKU]],tblProductMaster[SKU],tblProductMaster[Product])</f>
        <v>Shampoo 250ml</v>
      </c>
      <c r="I757">
        <v>466</v>
      </c>
      <c r="J757">
        <f>_xlfn.XLOOKUP(G757,[1]!tblProductMaster[SKU],[1]!tblProductMaster[List Price])</f>
        <v>5.99</v>
      </c>
      <c r="K757" t="s">
        <v>89</v>
      </c>
      <c r="L757" s="3">
        <v>0.3</v>
      </c>
      <c r="M757" s="9">
        <f t="shared" si="55"/>
        <v>4.1929999999999996</v>
      </c>
      <c r="N757" s="8">
        <f t="shared" si="56"/>
        <v>1953.9379999999999</v>
      </c>
      <c r="O757" s="9">
        <f>_xlfn.XLOOKUP(G757,[1]!tblProductMaster[SKU],[1]!tblProductMaster[Unit Cost])</f>
        <v>2.4</v>
      </c>
      <c r="P757" s="8">
        <f t="shared" si="57"/>
        <v>1118.3999999999999</v>
      </c>
      <c r="Q757" s="8">
        <f t="shared" si="58"/>
        <v>835.53800000000001</v>
      </c>
      <c r="R757" s="4">
        <f t="shared" si="59"/>
        <v>0.42761745766754117</v>
      </c>
      <c r="S757" t="s">
        <v>99</v>
      </c>
      <c r="T757">
        <f>Table6[[#This Row],[Discount]]*Table6[[#This Row],[List Price]]*Table6[[#This Row],[Units]]</f>
        <v>837.40199999999993</v>
      </c>
    </row>
    <row r="758" spans="1:20" x14ac:dyDescent="0.2">
      <c r="A758" t="s">
        <v>851</v>
      </c>
      <c r="B758" s="2">
        <v>46378.467774807054</v>
      </c>
      <c r="C758" t="s">
        <v>98</v>
      </c>
      <c r="D758" t="s">
        <v>85</v>
      </c>
      <c r="E758" t="s">
        <v>56</v>
      </c>
      <c r="F758" t="s">
        <v>7</v>
      </c>
      <c r="G758" t="s">
        <v>64</v>
      </c>
      <c r="H758" t="str">
        <f>_xlfn.XLOOKUP(Table6[[#This Row],[SKU]],tblProductMaster[SKU],tblProductMaster[Product])</f>
        <v>Toothbrush</v>
      </c>
      <c r="I758">
        <v>579</v>
      </c>
      <c r="J758">
        <f>_xlfn.XLOOKUP(G758,[1]!tblProductMaster[SKU],[1]!tblProductMaster[List Price])</f>
        <v>3.99</v>
      </c>
      <c r="K758" t="s">
        <v>89</v>
      </c>
      <c r="L758" s="3">
        <v>0.2</v>
      </c>
      <c r="M758" s="9">
        <f t="shared" si="55"/>
        <v>3.1920000000000002</v>
      </c>
      <c r="N758" s="8">
        <f t="shared" si="56"/>
        <v>1848.1680000000001</v>
      </c>
      <c r="O758" s="9">
        <f>_xlfn.XLOOKUP(G758,[1]!tblProductMaster[SKU],[1]!tblProductMaster[Unit Cost])</f>
        <v>1.5</v>
      </c>
      <c r="P758" s="8">
        <f t="shared" si="57"/>
        <v>868.5</v>
      </c>
      <c r="Q758" s="8">
        <f t="shared" si="58"/>
        <v>979.66800000000012</v>
      </c>
      <c r="R758" s="4">
        <f t="shared" si="59"/>
        <v>0.53007518796992481</v>
      </c>
      <c r="S758" t="s">
        <v>90</v>
      </c>
      <c r="T758">
        <f>Table6[[#This Row],[Discount]]*Table6[[#This Row],[List Price]]*Table6[[#This Row],[Units]]</f>
        <v>462.04200000000003</v>
      </c>
    </row>
    <row r="759" spans="1:20" x14ac:dyDescent="0.2">
      <c r="A759" t="s">
        <v>852</v>
      </c>
      <c r="B759" s="2">
        <v>46104.3460698817</v>
      </c>
      <c r="C759" t="s">
        <v>98</v>
      </c>
      <c r="D759" t="s">
        <v>104</v>
      </c>
      <c r="E759" t="s">
        <v>25</v>
      </c>
      <c r="F759" t="s">
        <v>7</v>
      </c>
      <c r="G759" t="s">
        <v>31</v>
      </c>
      <c r="H759" t="str">
        <f>_xlfn.XLOOKUP(Table6[[#This Row],[SKU]],tblProductMaster[SKU],tblProductMaster[Product])</f>
        <v>Facial Cleanser</v>
      </c>
      <c r="I759">
        <v>837</v>
      </c>
      <c r="J759">
        <f>_xlfn.XLOOKUP(G759,[1]!tblProductMaster[SKU],[1]!tblProductMaster[List Price])</f>
        <v>8.49</v>
      </c>
      <c r="K759" t="s">
        <v>89</v>
      </c>
      <c r="L759" s="3">
        <v>0.1</v>
      </c>
      <c r="M759" s="9">
        <f t="shared" si="55"/>
        <v>7.641</v>
      </c>
      <c r="N759" s="8">
        <f t="shared" si="56"/>
        <v>6395.5169999999998</v>
      </c>
      <c r="O759" s="9">
        <f>_xlfn.XLOOKUP(G759,[1]!tblProductMaster[SKU],[1]!tblProductMaster[Unit Cost])</f>
        <v>3.5</v>
      </c>
      <c r="P759" s="8">
        <f t="shared" si="57"/>
        <v>2929.5</v>
      </c>
      <c r="Q759" s="8">
        <f t="shared" si="58"/>
        <v>3466.0169999999998</v>
      </c>
      <c r="R759" s="4">
        <f t="shared" si="59"/>
        <v>0.54194477162675037</v>
      </c>
      <c r="S759" t="s">
        <v>99</v>
      </c>
      <c r="T759">
        <f>Table6[[#This Row],[Discount]]*Table6[[#This Row],[List Price]]*Table6[[#This Row],[Units]]</f>
        <v>710.61300000000006</v>
      </c>
    </row>
    <row r="760" spans="1:20" x14ac:dyDescent="0.2">
      <c r="A760" t="s">
        <v>853</v>
      </c>
      <c r="B760" s="2">
        <v>46374.092085031603</v>
      </c>
      <c r="C760" t="s">
        <v>84</v>
      </c>
      <c r="D760" t="s">
        <v>104</v>
      </c>
      <c r="E760" t="s">
        <v>40</v>
      </c>
      <c r="F760" t="s">
        <v>15</v>
      </c>
      <c r="G760" t="s">
        <v>39</v>
      </c>
      <c r="H760" t="str">
        <f>_xlfn.XLOOKUP(Table6[[#This Row],[SKU]],tblProductMaster[SKU],tblProductMaster[Product])</f>
        <v>Detergent 1L</v>
      </c>
      <c r="I760">
        <v>615</v>
      </c>
      <c r="J760">
        <f>_xlfn.XLOOKUP(G760,[1]!tblProductMaster[SKU],[1]!tblProductMaster[List Price])</f>
        <v>8.49</v>
      </c>
      <c r="K760" t="s">
        <v>86</v>
      </c>
      <c r="L760" s="3">
        <v>0</v>
      </c>
      <c r="M760" s="9">
        <f t="shared" si="55"/>
        <v>8.49</v>
      </c>
      <c r="N760" s="8">
        <f t="shared" si="56"/>
        <v>5221.3500000000004</v>
      </c>
      <c r="O760" s="9">
        <f>_xlfn.XLOOKUP(G760,[1]!tblProductMaster[SKU],[1]!tblProductMaster[Unit Cost])</f>
        <v>3.8</v>
      </c>
      <c r="P760" s="8">
        <f t="shared" si="57"/>
        <v>2337</v>
      </c>
      <c r="Q760" s="8">
        <f t="shared" si="58"/>
        <v>2884.3500000000004</v>
      </c>
      <c r="R760" s="4">
        <f t="shared" si="59"/>
        <v>0.55241460541813903</v>
      </c>
      <c r="S760" t="s">
        <v>87</v>
      </c>
      <c r="T760">
        <f>Table6[[#This Row],[Discount]]*Table6[[#This Row],[List Price]]*Table6[[#This Row],[Units]]</f>
        <v>0</v>
      </c>
    </row>
    <row r="761" spans="1:20" x14ac:dyDescent="0.2">
      <c r="A761" t="s">
        <v>854</v>
      </c>
      <c r="B761" s="2">
        <v>46077.571685923962</v>
      </c>
      <c r="C761" t="s">
        <v>98</v>
      </c>
      <c r="D761" t="s">
        <v>85</v>
      </c>
      <c r="E761" t="s">
        <v>40</v>
      </c>
      <c r="F761" t="s">
        <v>7</v>
      </c>
      <c r="G761" t="s">
        <v>44</v>
      </c>
      <c r="H761" t="str">
        <f>_xlfn.XLOOKUP(Table6[[#This Row],[SKU]],tblProductMaster[SKU],tblProductMaster[Product])</f>
        <v>Fabric Softener</v>
      </c>
      <c r="I761">
        <v>491</v>
      </c>
      <c r="J761">
        <f>_xlfn.XLOOKUP(G761,[1]!tblProductMaster[SKU],[1]!tblProductMaster[List Price])</f>
        <v>6.99</v>
      </c>
      <c r="K761" t="s">
        <v>89</v>
      </c>
      <c r="L761" s="3">
        <v>0.3</v>
      </c>
      <c r="M761" s="9">
        <f t="shared" si="55"/>
        <v>4.8929999999999998</v>
      </c>
      <c r="N761" s="8">
        <f t="shared" si="56"/>
        <v>2402.4629999999997</v>
      </c>
      <c r="O761" s="9">
        <f>_xlfn.XLOOKUP(G761,[1]!tblProductMaster[SKU],[1]!tblProductMaster[Unit Cost])</f>
        <v>2.9</v>
      </c>
      <c r="P761" s="8">
        <f t="shared" si="57"/>
        <v>1423.8999999999999</v>
      </c>
      <c r="Q761" s="8">
        <f t="shared" si="58"/>
        <v>978.56299999999987</v>
      </c>
      <c r="R761" s="4">
        <f t="shared" si="59"/>
        <v>0.40731657469854893</v>
      </c>
      <c r="S761" t="s">
        <v>90</v>
      </c>
      <c r="T761">
        <f>Table6[[#This Row],[Discount]]*Table6[[#This Row],[List Price]]*Table6[[#This Row],[Units]]</f>
        <v>1029.627</v>
      </c>
    </row>
    <row r="762" spans="1:20" x14ac:dyDescent="0.2">
      <c r="A762" t="s">
        <v>855</v>
      </c>
      <c r="B762" s="2">
        <v>46307.11347808734</v>
      </c>
      <c r="C762" t="s">
        <v>84</v>
      </c>
      <c r="D762" t="s">
        <v>85</v>
      </c>
      <c r="E762" t="s">
        <v>40</v>
      </c>
      <c r="F762" t="s">
        <v>18</v>
      </c>
      <c r="G762" t="s">
        <v>42</v>
      </c>
      <c r="H762" t="str">
        <f>_xlfn.XLOOKUP(Table6[[#This Row],[SKU]],tblProductMaster[SKU],tblProductMaster[Product])</f>
        <v>Detergent Capsules</v>
      </c>
      <c r="I762">
        <v>1127</v>
      </c>
      <c r="J762">
        <f>_xlfn.XLOOKUP(G762,[1]!tblProductMaster[SKU],[1]!tblProductMaster[List Price])</f>
        <v>11.99</v>
      </c>
      <c r="K762" t="s">
        <v>89</v>
      </c>
      <c r="L762" s="3">
        <v>0.3</v>
      </c>
      <c r="M762" s="9">
        <f t="shared" si="55"/>
        <v>8.3929999999999989</v>
      </c>
      <c r="N762" s="8">
        <f t="shared" si="56"/>
        <v>9458.9109999999982</v>
      </c>
      <c r="O762" s="9">
        <f>_xlfn.XLOOKUP(G762,[1]!tblProductMaster[SKU],[1]!tblProductMaster[Unit Cost])</f>
        <v>5.2</v>
      </c>
      <c r="P762" s="8">
        <f t="shared" si="57"/>
        <v>5860.4000000000005</v>
      </c>
      <c r="Q762" s="8">
        <f t="shared" si="58"/>
        <v>3598.5109999999977</v>
      </c>
      <c r="R762" s="4">
        <f t="shared" si="59"/>
        <v>0.38043607768378396</v>
      </c>
      <c r="S762" t="s">
        <v>94</v>
      </c>
      <c r="T762">
        <f>Table6[[#This Row],[Discount]]*Table6[[#This Row],[List Price]]*Table6[[#This Row],[Units]]</f>
        <v>4053.819</v>
      </c>
    </row>
    <row r="763" spans="1:20" x14ac:dyDescent="0.2">
      <c r="A763" t="s">
        <v>856</v>
      </c>
      <c r="B763" s="2">
        <v>46382.163644450491</v>
      </c>
      <c r="C763" t="s">
        <v>84</v>
      </c>
      <c r="D763" t="s">
        <v>104</v>
      </c>
      <c r="E763" t="s">
        <v>40</v>
      </c>
      <c r="F763" t="s">
        <v>7</v>
      </c>
      <c r="G763" t="s">
        <v>48</v>
      </c>
      <c r="H763" t="str">
        <f>_xlfn.XLOOKUP(Table6[[#This Row],[SKU]],tblProductMaster[SKU],tblProductMaster[Product])</f>
        <v>Color Detergent</v>
      </c>
      <c r="I763">
        <v>978</v>
      </c>
      <c r="J763">
        <f>_xlfn.XLOOKUP(G763,[1]!tblProductMaster[SKU],[1]!tblProductMaster[List Price])</f>
        <v>9.49</v>
      </c>
      <c r="K763" t="s">
        <v>89</v>
      </c>
      <c r="L763" s="3">
        <v>0.3</v>
      </c>
      <c r="M763" s="9">
        <f t="shared" si="55"/>
        <v>6.6429999999999998</v>
      </c>
      <c r="N763" s="8">
        <f t="shared" si="56"/>
        <v>6496.8539999999994</v>
      </c>
      <c r="O763" s="9">
        <f>_xlfn.XLOOKUP(G763,[1]!tblProductMaster[SKU],[1]!tblProductMaster[Unit Cost])</f>
        <v>4</v>
      </c>
      <c r="P763" s="8">
        <f t="shared" si="57"/>
        <v>3912</v>
      </c>
      <c r="Q763" s="8">
        <f t="shared" si="58"/>
        <v>2584.8539999999994</v>
      </c>
      <c r="R763" s="4">
        <f t="shared" si="59"/>
        <v>0.39786241156104163</v>
      </c>
      <c r="S763" t="s">
        <v>99</v>
      </c>
      <c r="T763">
        <f>Table6[[#This Row],[Discount]]*Table6[[#This Row],[List Price]]*Table6[[#This Row],[Units]]</f>
        <v>2784.366</v>
      </c>
    </row>
    <row r="764" spans="1:20" x14ac:dyDescent="0.2">
      <c r="A764" t="s">
        <v>857</v>
      </c>
      <c r="B764" s="2">
        <v>46161.337154545203</v>
      </c>
      <c r="C764" t="s">
        <v>98</v>
      </c>
      <c r="D764" t="s">
        <v>96</v>
      </c>
      <c r="E764" t="s">
        <v>40</v>
      </c>
      <c r="F764" t="s">
        <v>15</v>
      </c>
      <c r="G764" t="s">
        <v>52</v>
      </c>
      <c r="H764" t="str">
        <f>_xlfn.XLOOKUP(Table6[[#This Row],[SKU]],tblProductMaster[SKU],tblProductMaster[Product])</f>
        <v>Laundry Pods</v>
      </c>
      <c r="I764">
        <v>740</v>
      </c>
      <c r="J764">
        <f>_xlfn.XLOOKUP(G764,[1]!tblProductMaster[SKU],[1]!tblProductMaster[List Price])</f>
        <v>10.49</v>
      </c>
      <c r="K764" t="s">
        <v>89</v>
      </c>
      <c r="L764" s="3">
        <v>0.2</v>
      </c>
      <c r="M764" s="9">
        <f t="shared" si="55"/>
        <v>8.3920000000000012</v>
      </c>
      <c r="N764" s="8">
        <f t="shared" si="56"/>
        <v>6210.0800000000008</v>
      </c>
      <c r="O764" s="9">
        <f>_xlfn.XLOOKUP(G764,[1]!tblProductMaster[SKU],[1]!tblProductMaster[Unit Cost])</f>
        <v>4.5999999999999996</v>
      </c>
      <c r="P764" s="8">
        <f t="shared" si="57"/>
        <v>3403.9999999999995</v>
      </c>
      <c r="Q764" s="8">
        <f t="shared" si="58"/>
        <v>2806.0800000000013</v>
      </c>
      <c r="R764" s="4">
        <f t="shared" si="59"/>
        <v>0.45185891325071509</v>
      </c>
      <c r="S764" t="s">
        <v>94</v>
      </c>
      <c r="T764">
        <f>Table6[[#This Row],[Discount]]*Table6[[#This Row],[List Price]]*Table6[[#This Row],[Units]]</f>
        <v>1552.5200000000002</v>
      </c>
    </row>
    <row r="765" spans="1:20" x14ac:dyDescent="0.2">
      <c r="A765" t="s">
        <v>858</v>
      </c>
      <c r="B765" s="2">
        <v>46166.565598153153</v>
      </c>
      <c r="C765" t="s">
        <v>93</v>
      </c>
      <c r="D765" t="s">
        <v>104</v>
      </c>
      <c r="E765" t="s">
        <v>40</v>
      </c>
      <c r="F765" t="s">
        <v>7</v>
      </c>
      <c r="G765" t="s">
        <v>48</v>
      </c>
      <c r="H765" t="str">
        <f>_xlfn.XLOOKUP(Table6[[#This Row],[SKU]],tblProductMaster[SKU],tblProductMaster[Product])</f>
        <v>Color Detergent</v>
      </c>
      <c r="I765">
        <v>697</v>
      </c>
      <c r="J765">
        <f>_xlfn.XLOOKUP(G765,[1]!tblProductMaster[SKU],[1]!tblProductMaster[List Price])</f>
        <v>9.49</v>
      </c>
      <c r="K765" t="s">
        <v>86</v>
      </c>
      <c r="L765" s="3">
        <v>0</v>
      </c>
      <c r="M765" s="9">
        <f t="shared" si="55"/>
        <v>9.49</v>
      </c>
      <c r="N765" s="8">
        <f t="shared" si="56"/>
        <v>6614.53</v>
      </c>
      <c r="O765" s="9">
        <f>_xlfn.XLOOKUP(G765,[1]!tblProductMaster[SKU],[1]!tblProductMaster[Unit Cost])</f>
        <v>4</v>
      </c>
      <c r="P765" s="8">
        <f t="shared" si="57"/>
        <v>2788</v>
      </c>
      <c r="Q765" s="8">
        <f t="shared" si="58"/>
        <v>3826.5299999999997</v>
      </c>
      <c r="R765" s="4">
        <f t="shared" si="59"/>
        <v>0.57850368809272912</v>
      </c>
      <c r="S765" t="s">
        <v>87</v>
      </c>
      <c r="T765">
        <f>Table6[[#This Row],[Discount]]*Table6[[#This Row],[List Price]]*Table6[[#This Row],[Units]]</f>
        <v>0</v>
      </c>
    </row>
    <row r="766" spans="1:20" x14ac:dyDescent="0.2">
      <c r="A766" t="s">
        <v>859</v>
      </c>
      <c r="B766" s="2">
        <v>46071.161083170256</v>
      </c>
      <c r="C766" t="s">
        <v>93</v>
      </c>
      <c r="D766" t="s">
        <v>104</v>
      </c>
      <c r="E766" t="s">
        <v>25</v>
      </c>
      <c r="F766" t="s">
        <v>7</v>
      </c>
      <c r="G766" t="s">
        <v>31</v>
      </c>
      <c r="H766" t="str">
        <f>_xlfn.XLOOKUP(Table6[[#This Row],[SKU]],tblProductMaster[SKU],tblProductMaster[Product])</f>
        <v>Facial Cleanser</v>
      </c>
      <c r="I766">
        <v>994</v>
      </c>
      <c r="J766">
        <f>_xlfn.XLOOKUP(G766,[1]!tblProductMaster[SKU],[1]!tblProductMaster[List Price])</f>
        <v>8.49</v>
      </c>
      <c r="K766" t="s">
        <v>89</v>
      </c>
      <c r="L766" s="3">
        <v>0.2</v>
      </c>
      <c r="M766" s="9">
        <f t="shared" si="55"/>
        <v>6.7920000000000007</v>
      </c>
      <c r="N766" s="8">
        <f t="shared" si="56"/>
        <v>6751.2480000000005</v>
      </c>
      <c r="O766" s="9">
        <f>_xlfn.XLOOKUP(G766,[1]!tblProductMaster[SKU],[1]!tblProductMaster[Unit Cost])</f>
        <v>3.5</v>
      </c>
      <c r="P766" s="8">
        <f t="shared" si="57"/>
        <v>3479</v>
      </c>
      <c r="Q766" s="8">
        <f t="shared" si="58"/>
        <v>3272.2480000000005</v>
      </c>
      <c r="R766" s="4">
        <f t="shared" si="59"/>
        <v>0.48468786808009429</v>
      </c>
      <c r="S766" t="s">
        <v>99</v>
      </c>
      <c r="T766">
        <f>Table6[[#This Row],[Discount]]*Table6[[#This Row],[List Price]]*Table6[[#This Row],[Units]]</f>
        <v>1687.8120000000001</v>
      </c>
    </row>
    <row r="767" spans="1:20" x14ac:dyDescent="0.2">
      <c r="A767" t="s">
        <v>860</v>
      </c>
      <c r="B767" s="2">
        <v>46114.977333930416</v>
      </c>
      <c r="C767" t="s">
        <v>98</v>
      </c>
      <c r="D767" t="s">
        <v>104</v>
      </c>
      <c r="E767" t="s">
        <v>25</v>
      </c>
      <c r="F767" t="s">
        <v>7</v>
      </c>
      <c r="G767" t="s">
        <v>24</v>
      </c>
      <c r="H767" t="str">
        <f>_xlfn.XLOOKUP(Table6[[#This Row],[SKU]],tblProductMaster[SKU],tblProductMaster[Product])</f>
        <v>Body Lotion 400ml</v>
      </c>
      <c r="I767">
        <v>549</v>
      </c>
      <c r="J767">
        <f>_xlfn.XLOOKUP(G767,[1]!tblProductMaster[SKU],[1]!tblProductMaster[List Price])</f>
        <v>7.99</v>
      </c>
      <c r="K767" t="s">
        <v>89</v>
      </c>
      <c r="L767" s="3">
        <v>0.2</v>
      </c>
      <c r="M767" s="9">
        <f t="shared" si="55"/>
        <v>6.3920000000000003</v>
      </c>
      <c r="N767" s="8">
        <f t="shared" si="56"/>
        <v>3509.2080000000001</v>
      </c>
      <c r="O767" s="9">
        <f>_xlfn.XLOOKUP(G767,[1]!tblProductMaster[SKU],[1]!tblProductMaster[Unit Cost])</f>
        <v>3.1</v>
      </c>
      <c r="P767" s="8">
        <f t="shared" si="57"/>
        <v>1701.9</v>
      </c>
      <c r="Q767" s="8">
        <f t="shared" si="58"/>
        <v>1807.308</v>
      </c>
      <c r="R767" s="4">
        <f t="shared" si="59"/>
        <v>0.51501877346683356</v>
      </c>
      <c r="S767" t="s">
        <v>99</v>
      </c>
      <c r="T767">
        <f>Table6[[#This Row],[Discount]]*Table6[[#This Row],[List Price]]*Table6[[#This Row],[Units]]</f>
        <v>877.30200000000002</v>
      </c>
    </row>
    <row r="768" spans="1:20" x14ac:dyDescent="0.2">
      <c r="A768" t="s">
        <v>861</v>
      </c>
      <c r="B768" s="2">
        <v>46162.313230412365</v>
      </c>
      <c r="C768" t="s">
        <v>84</v>
      </c>
      <c r="D768" t="s">
        <v>85</v>
      </c>
      <c r="E768" t="s">
        <v>40</v>
      </c>
      <c r="F768" t="s">
        <v>15</v>
      </c>
      <c r="G768" t="s">
        <v>46</v>
      </c>
      <c r="H768" t="str">
        <f>_xlfn.XLOOKUP(Table6[[#This Row],[SKU]],tblProductMaster[SKU],tblProductMaster[Product])</f>
        <v>Stain Remover</v>
      </c>
      <c r="I768">
        <v>818</v>
      </c>
      <c r="J768">
        <f>_xlfn.XLOOKUP(G768,[1]!tblProductMaster[SKU],[1]!tblProductMaster[List Price])</f>
        <v>5.99</v>
      </c>
      <c r="K768" t="s">
        <v>89</v>
      </c>
      <c r="L768" s="3">
        <v>0.2</v>
      </c>
      <c r="M768" s="9">
        <f t="shared" si="55"/>
        <v>4.7920000000000007</v>
      </c>
      <c r="N768" s="8">
        <f t="shared" si="56"/>
        <v>3919.8560000000007</v>
      </c>
      <c r="O768" s="9">
        <f>_xlfn.XLOOKUP(G768,[1]!tblProductMaster[SKU],[1]!tblProductMaster[Unit Cost])</f>
        <v>2.5</v>
      </c>
      <c r="P768" s="8">
        <f t="shared" si="57"/>
        <v>2045</v>
      </c>
      <c r="Q768" s="8">
        <f t="shared" si="58"/>
        <v>1874.8560000000007</v>
      </c>
      <c r="R768" s="4">
        <f t="shared" si="59"/>
        <v>0.47829716193656102</v>
      </c>
      <c r="S768" t="s">
        <v>94</v>
      </c>
      <c r="T768">
        <f>Table6[[#This Row],[Discount]]*Table6[[#This Row],[List Price]]*Table6[[#This Row],[Units]]</f>
        <v>979.96400000000017</v>
      </c>
    </row>
    <row r="769" spans="1:20" x14ac:dyDescent="0.2">
      <c r="A769" t="s">
        <v>862</v>
      </c>
      <c r="B769" s="2">
        <v>46228.59850452243</v>
      </c>
      <c r="C769" t="s">
        <v>98</v>
      </c>
      <c r="D769" t="s">
        <v>104</v>
      </c>
      <c r="E769" t="s">
        <v>40</v>
      </c>
      <c r="F769" t="s">
        <v>15</v>
      </c>
      <c r="G769" t="s">
        <v>46</v>
      </c>
      <c r="H769" t="str">
        <f>_xlfn.XLOOKUP(Table6[[#This Row],[SKU]],tblProductMaster[SKU],tblProductMaster[Product])</f>
        <v>Stain Remover</v>
      </c>
      <c r="I769">
        <v>501</v>
      </c>
      <c r="J769">
        <f>_xlfn.XLOOKUP(G769,[1]!tblProductMaster[SKU],[1]!tblProductMaster[List Price])</f>
        <v>5.99</v>
      </c>
      <c r="K769" t="s">
        <v>86</v>
      </c>
      <c r="L769" s="3">
        <v>0</v>
      </c>
      <c r="M769" s="9">
        <f t="shared" si="55"/>
        <v>5.99</v>
      </c>
      <c r="N769" s="8">
        <f t="shared" si="56"/>
        <v>3000.9900000000002</v>
      </c>
      <c r="O769" s="9">
        <f>_xlfn.XLOOKUP(G769,[1]!tblProductMaster[SKU],[1]!tblProductMaster[Unit Cost])</f>
        <v>2.5</v>
      </c>
      <c r="P769" s="8">
        <f t="shared" si="57"/>
        <v>1252.5</v>
      </c>
      <c r="Q769" s="8">
        <f t="shared" si="58"/>
        <v>1748.4900000000002</v>
      </c>
      <c r="R769" s="4">
        <f t="shared" si="59"/>
        <v>0.58263772954924875</v>
      </c>
      <c r="S769" t="s">
        <v>87</v>
      </c>
      <c r="T769">
        <f>Table6[[#This Row],[Discount]]*Table6[[#This Row],[List Price]]*Table6[[#This Row],[Units]]</f>
        <v>0</v>
      </c>
    </row>
    <row r="770" spans="1:20" x14ac:dyDescent="0.2">
      <c r="A770" t="s">
        <v>863</v>
      </c>
      <c r="B770" s="2">
        <v>46158.13941825027</v>
      </c>
      <c r="C770" t="s">
        <v>98</v>
      </c>
      <c r="D770" t="s">
        <v>85</v>
      </c>
      <c r="E770" t="s">
        <v>56</v>
      </c>
      <c r="F770" t="s">
        <v>18</v>
      </c>
      <c r="G770" t="s">
        <v>60</v>
      </c>
      <c r="H770" t="str">
        <f>_xlfn.XLOOKUP(Table6[[#This Row],[SKU]],tblProductMaster[SKU],tblProductMaster[Product])</f>
        <v>Sensitive Toothpaste</v>
      </c>
      <c r="I770">
        <v>615</v>
      </c>
      <c r="J770">
        <f>_xlfn.XLOOKUP(G770,[1]!tblProductMaster[SKU],[1]!tblProductMaster[List Price])</f>
        <v>4.49</v>
      </c>
      <c r="K770" t="s">
        <v>89</v>
      </c>
      <c r="L770" s="3">
        <v>0.1</v>
      </c>
      <c r="M770" s="9">
        <f t="shared" si="55"/>
        <v>4.0410000000000004</v>
      </c>
      <c r="N770" s="8">
        <f t="shared" si="56"/>
        <v>2485.2150000000001</v>
      </c>
      <c r="O770" s="9">
        <f>_xlfn.XLOOKUP(G770,[1]!tblProductMaster[SKU],[1]!tblProductMaster[Unit Cost])</f>
        <v>1.7</v>
      </c>
      <c r="P770" s="8">
        <f t="shared" si="57"/>
        <v>1045.5</v>
      </c>
      <c r="Q770" s="8">
        <f t="shared" si="58"/>
        <v>1439.7150000000001</v>
      </c>
      <c r="R770" s="4">
        <f t="shared" si="59"/>
        <v>0.57931205147240783</v>
      </c>
      <c r="S770" t="s">
        <v>94</v>
      </c>
      <c r="T770">
        <f>Table6[[#This Row],[Discount]]*Table6[[#This Row],[List Price]]*Table6[[#This Row],[Units]]</f>
        <v>276.13500000000005</v>
      </c>
    </row>
    <row r="771" spans="1:20" x14ac:dyDescent="0.2">
      <c r="A771" t="s">
        <v>864</v>
      </c>
      <c r="B771" s="2">
        <v>46042.256267505763</v>
      </c>
      <c r="C771" t="s">
        <v>84</v>
      </c>
      <c r="D771" t="s">
        <v>85</v>
      </c>
      <c r="E771" t="s">
        <v>40</v>
      </c>
      <c r="F771" t="s">
        <v>15</v>
      </c>
      <c r="G771" t="s">
        <v>39</v>
      </c>
      <c r="H771" t="str">
        <f>_xlfn.XLOOKUP(Table6[[#This Row],[SKU]],tblProductMaster[SKU],tblProductMaster[Product])</f>
        <v>Detergent 1L</v>
      </c>
      <c r="I771">
        <v>447</v>
      </c>
      <c r="J771">
        <f>_xlfn.XLOOKUP(G771,[1]!tblProductMaster[SKU],[1]!tblProductMaster[List Price])</f>
        <v>8.49</v>
      </c>
      <c r="K771" t="s">
        <v>86</v>
      </c>
      <c r="L771" s="3">
        <v>0</v>
      </c>
      <c r="M771" s="9">
        <f t="shared" ref="M771:M834" si="60">J771*(1-L771)</f>
        <v>8.49</v>
      </c>
      <c r="N771" s="8">
        <f t="shared" ref="N771:N834" si="61">M771*I771</f>
        <v>3795.03</v>
      </c>
      <c r="O771" s="9">
        <f>_xlfn.XLOOKUP(G771,[1]!tblProductMaster[SKU],[1]!tblProductMaster[Unit Cost])</f>
        <v>3.8</v>
      </c>
      <c r="P771" s="8">
        <f t="shared" ref="P771:P834" si="62">O771*I771</f>
        <v>1698.6</v>
      </c>
      <c r="Q771" s="8">
        <f t="shared" ref="Q771:Q834" si="63">N771-P771</f>
        <v>2096.4300000000003</v>
      </c>
      <c r="R771" s="4">
        <f t="shared" ref="R771:R834" si="64">Q771/N771</f>
        <v>0.55241460541813903</v>
      </c>
      <c r="S771" t="s">
        <v>87</v>
      </c>
      <c r="T771">
        <f>Table6[[#This Row],[Discount]]*Table6[[#This Row],[List Price]]*Table6[[#This Row],[Units]]</f>
        <v>0</v>
      </c>
    </row>
    <row r="772" spans="1:20" x14ac:dyDescent="0.2">
      <c r="A772" t="s">
        <v>865</v>
      </c>
      <c r="B772" s="2">
        <v>46083.839456356865</v>
      </c>
      <c r="C772" t="s">
        <v>93</v>
      </c>
      <c r="D772" t="s">
        <v>96</v>
      </c>
      <c r="E772" t="s">
        <v>40</v>
      </c>
      <c r="F772" t="s">
        <v>18</v>
      </c>
      <c r="G772" t="s">
        <v>42</v>
      </c>
      <c r="H772" t="str">
        <f>_xlfn.XLOOKUP(Table6[[#This Row],[SKU]],tblProductMaster[SKU],tblProductMaster[Product])</f>
        <v>Detergent Capsules</v>
      </c>
      <c r="I772">
        <v>885</v>
      </c>
      <c r="J772">
        <f>_xlfn.XLOOKUP(G772,[1]!tblProductMaster[SKU],[1]!tblProductMaster[List Price])</f>
        <v>11.99</v>
      </c>
      <c r="K772" t="s">
        <v>89</v>
      </c>
      <c r="L772" s="3">
        <v>0.3</v>
      </c>
      <c r="M772" s="9">
        <f t="shared" si="60"/>
        <v>8.3929999999999989</v>
      </c>
      <c r="N772" s="8">
        <f t="shared" si="61"/>
        <v>7427.8049999999994</v>
      </c>
      <c r="O772" s="9">
        <f>_xlfn.XLOOKUP(G772,[1]!tblProductMaster[SKU],[1]!tblProductMaster[Unit Cost])</f>
        <v>5.2</v>
      </c>
      <c r="P772" s="8">
        <f t="shared" si="62"/>
        <v>4602</v>
      </c>
      <c r="Q772" s="8">
        <f t="shared" si="63"/>
        <v>2825.8049999999994</v>
      </c>
      <c r="R772" s="4">
        <f t="shared" si="64"/>
        <v>0.38043607768378407</v>
      </c>
      <c r="S772" t="s">
        <v>99</v>
      </c>
      <c r="T772">
        <f>Table6[[#This Row],[Discount]]*Table6[[#This Row],[List Price]]*Table6[[#This Row],[Units]]</f>
        <v>3183.3449999999998</v>
      </c>
    </row>
    <row r="773" spans="1:20" x14ac:dyDescent="0.2">
      <c r="A773" t="s">
        <v>866</v>
      </c>
      <c r="B773" s="2">
        <v>46331.707113747492</v>
      </c>
      <c r="C773" t="s">
        <v>98</v>
      </c>
      <c r="D773" t="s">
        <v>96</v>
      </c>
      <c r="E773" t="s">
        <v>40</v>
      </c>
      <c r="F773" t="s">
        <v>18</v>
      </c>
      <c r="G773" t="s">
        <v>42</v>
      </c>
      <c r="H773" t="str">
        <f>_xlfn.XLOOKUP(Table6[[#This Row],[SKU]],tblProductMaster[SKU],tblProductMaster[Product])</f>
        <v>Detergent Capsules</v>
      </c>
      <c r="I773">
        <v>435</v>
      </c>
      <c r="J773">
        <f>_xlfn.XLOOKUP(G773,[1]!tblProductMaster[SKU],[1]!tblProductMaster[List Price])</f>
        <v>11.99</v>
      </c>
      <c r="K773" t="s">
        <v>89</v>
      </c>
      <c r="L773" s="3">
        <v>0.2</v>
      </c>
      <c r="M773" s="9">
        <f t="shared" si="60"/>
        <v>9.5920000000000005</v>
      </c>
      <c r="N773" s="8">
        <f t="shared" si="61"/>
        <v>4172.5200000000004</v>
      </c>
      <c r="O773" s="9">
        <f>_xlfn.XLOOKUP(G773,[1]!tblProductMaster[SKU],[1]!tblProductMaster[Unit Cost])</f>
        <v>5.2</v>
      </c>
      <c r="P773" s="8">
        <f t="shared" si="62"/>
        <v>2262</v>
      </c>
      <c r="Q773" s="8">
        <f t="shared" si="63"/>
        <v>1910.5200000000004</v>
      </c>
      <c r="R773" s="4">
        <f t="shared" si="64"/>
        <v>0.45788156797331114</v>
      </c>
      <c r="S773" t="s">
        <v>90</v>
      </c>
      <c r="T773">
        <f>Table6[[#This Row],[Discount]]*Table6[[#This Row],[List Price]]*Table6[[#This Row],[Units]]</f>
        <v>1043.1300000000001</v>
      </c>
    </row>
    <row r="774" spans="1:20" x14ac:dyDescent="0.2">
      <c r="A774" t="s">
        <v>867</v>
      </c>
      <c r="B774" s="2">
        <v>46198.056437010207</v>
      </c>
      <c r="C774" t="s">
        <v>98</v>
      </c>
      <c r="D774" t="s">
        <v>104</v>
      </c>
      <c r="E774" t="s">
        <v>40</v>
      </c>
      <c r="F774" t="s">
        <v>7</v>
      </c>
      <c r="G774" t="s">
        <v>44</v>
      </c>
      <c r="H774" t="str">
        <f>_xlfn.XLOOKUP(Table6[[#This Row],[SKU]],tblProductMaster[SKU],tblProductMaster[Product])</f>
        <v>Fabric Softener</v>
      </c>
      <c r="I774">
        <v>394</v>
      </c>
      <c r="J774">
        <f>_xlfn.XLOOKUP(G774,[1]!tblProductMaster[SKU],[1]!tblProductMaster[List Price])</f>
        <v>6.99</v>
      </c>
      <c r="K774" t="s">
        <v>86</v>
      </c>
      <c r="L774" s="3">
        <v>0</v>
      </c>
      <c r="M774" s="9">
        <f t="shared" si="60"/>
        <v>6.99</v>
      </c>
      <c r="N774" s="8">
        <f t="shared" si="61"/>
        <v>2754.06</v>
      </c>
      <c r="O774" s="9">
        <f>_xlfn.XLOOKUP(G774,[1]!tblProductMaster[SKU],[1]!tblProductMaster[Unit Cost])</f>
        <v>2.9</v>
      </c>
      <c r="P774" s="8">
        <f t="shared" si="62"/>
        <v>1142.5999999999999</v>
      </c>
      <c r="Q774" s="8">
        <f t="shared" si="63"/>
        <v>1611.46</v>
      </c>
      <c r="R774" s="4">
        <f t="shared" si="64"/>
        <v>0.58512160228898424</v>
      </c>
      <c r="S774" t="s">
        <v>87</v>
      </c>
      <c r="T774">
        <f>Table6[[#This Row],[Discount]]*Table6[[#This Row],[List Price]]*Table6[[#This Row],[Units]]</f>
        <v>0</v>
      </c>
    </row>
    <row r="775" spans="1:20" x14ac:dyDescent="0.2">
      <c r="A775" t="s">
        <v>868</v>
      </c>
      <c r="B775" s="2">
        <v>46086.170105613157</v>
      </c>
      <c r="C775" t="s">
        <v>84</v>
      </c>
      <c r="D775" t="s">
        <v>104</v>
      </c>
      <c r="E775" t="s">
        <v>25</v>
      </c>
      <c r="F775" t="s">
        <v>18</v>
      </c>
      <c r="G775" t="s">
        <v>27</v>
      </c>
      <c r="H775" t="str">
        <f>_xlfn.XLOOKUP(Table6[[#This Row],[SKU]],tblProductMaster[SKU],tblProductMaster[Product])</f>
        <v>Face Cream 50ml</v>
      </c>
      <c r="I775">
        <v>260</v>
      </c>
      <c r="J775">
        <f>_xlfn.XLOOKUP(G775,[1]!tblProductMaster[SKU],[1]!tblProductMaster[List Price])</f>
        <v>9.99</v>
      </c>
      <c r="K775" t="s">
        <v>86</v>
      </c>
      <c r="L775" s="3">
        <v>0</v>
      </c>
      <c r="M775" s="9">
        <f t="shared" si="60"/>
        <v>9.99</v>
      </c>
      <c r="N775" s="8">
        <f t="shared" si="61"/>
        <v>2597.4</v>
      </c>
      <c r="O775" s="9">
        <f>_xlfn.XLOOKUP(G775,[1]!tblProductMaster[SKU],[1]!tblProductMaster[Unit Cost])</f>
        <v>4.2</v>
      </c>
      <c r="P775" s="8">
        <f t="shared" si="62"/>
        <v>1092</v>
      </c>
      <c r="Q775" s="8">
        <f t="shared" si="63"/>
        <v>1505.4</v>
      </c>
      <c r="R775" s="4">
        <f t="shared" si="64"/>
        <v>0.57957957957957962</v>
      </c>
      <c r="S775" t="s">
        <v>87</v>
      </c>
      <c r="T775">
        <f>Table6[[#This Row],[Discount]]*Table6[[#This Row],[List Price]]*Table6[[#This Row],[Units]]</f>
        <v>0</v>
      </c>
    </row>
    <row r="776" spans="1:20" x14ac:dyDescent="0.2">
      <c r="A776" t="s">
        <v>869</v>
      </c>
      <c r="B776" s="2">
        <v>46220.118391945347</v>
      </c>
      <c r="C776" t="s">
        <v>98</v>
      </c>
      <c r="D776" t="s">
        <v>96</v>
      </c>
      <c r="E776" t="s">
        <v>40</v>
      </c>
      <c r="F776" t="s">
        <v>18</v>
      </c>
      <c r="G776" t="s">
        <v>42</v>
      </c>
      <c r="H776" t="str">
        <f>_xlfn.XLOOKUP(Table6[[#This Row],[SKU]],tblProductMaster[SKU],tblProductMaster[Product])</f>
        <v>Detergent Capsules</v>
      </c>
      <c r="I776">
        <v>665</v>
      </c>
      <c r="J776">
        <f>_xlfn.XLOOKUP(G776,[1]!tblProductMaster[SKU],[1]!tblProductMaster[List Price])</f>
        <v>11.99</v>
      </c>
      <c r="K776" t="s">
        <v>86</v>
      </c>
      <c r="L776" s="3">
        <v>0</v>
      </c>
      <c r="M776" s="9">
        <f t="shared" si="60"/>
        <v>11.99</v>
      </c>
      <c r="N776" s="8">
        <f t="shared" si="61"/>
        <v>7973.35</v>
      </c>
      <c r="O776" s="9">
        <f>_xlfn.XLOOKUP(G776,[1]!tblProductMaster[SKU],[1]!tblProductMaster[Unit Cost])</f>
        <v>5.2</v>
      </c>
      <c r="P776" s="8">
        <f t="shared" si="62"/>
        <v>3458</v>
      </c>
      <c r="Q776" s="8">
        <f t="shared" si="63"/>
        <v>4515.3500000000004</v>
      </c>
      <c r="R776" s="4">
        <f t="shared" si="64"/>
        <v>0.56630525437864887</v>
      </c>
      <c r="S776" t="s">
        <v>87</v>
      </c>
      <c r="T776">
        <f>Table6[[#This Row],[Discount]]*Table6[[#This Row],[List Price]]*Table6[[#This Row],[Units]]</f>
        <v>0</v>
      </c>
    </row>
    <row r="777" spans="1:20" x14ac:dyDescent="0.2">
      <c r="A777" t="s">
        <v>870</v>
      </c>
      <c r="B777" s="2">
        <v>46250.997254220863</v>
      </c>
      <c r="C777" t="s">
        <v>93</v>
      </c>
      <c r="D777" t="s">
        <v>96</v>
      </c>
      <c r="E777" t="s">
        <v>40</v>
      </c>
      <c r="F777" t="s">
        <v>15</v>
      </c>
      <c r="G777" t="s">
        <v>39</v>
      </c>
      <c r="H777" t="str">
        <f>_xlfn.XLOOKUP(Table6[[#This Row],[SKU]],tblProductMaster[SKU],tblProductMaster[Product])</f>
        <v>Detergent 1L</v>
      </c>
      <c r="I777">
        <v>401</v>
      </c>
      <c r="J777">
        <f>_xlfn.XLOOKUP(G777,[1]!tblProductMaster[SKU],[1]!tblProductMaster[List Price])</f>
        <v>8.49</v>
      </c>
      <c r="K777" t="s">
        <v>86</v>
      </c>
      <c r="L777" s="3">
        <v>0</v>
      </c>
      <c r="M777" s="9">
        <f t="shared" si="60"/>
        <v>8.49</v>
      </c>
      <c r="N777" s="8">
        <f t="shared" si="61"/>
        <v>3404.4900000000002</v>
      </c>
      <c r="O777" s="9">
        <f>_xlfn.XLOOKUP(G777,[1]!tblProductMaster[SKU],[1]!tblProductMaster[Unit Cost])</f>
        <v>3.8</v>
      </c>
      <c r="P777" s="8">
        <f t="shared" si="62"/>
        <v>1523.8</v>
      </c>
      <c r="Q777" s="8">
        <f t="shared" si="63"/>
        <v>1880.6900000000003</v>
      </c>
      <c r="R777" s="4">
        <f t="shared" si="64"/>
        <v>0.55241460541813903</v>
      </c>
      <c r="S777" t="s">
        <v>87</v>
      </c>
      <c r="T777">
        <f>Table6[[#This Row],[Discount]]*Table6[[#This Row],[List Price]]*Table6[[#This Row],[Units]]</f>
        <v>0</v>
      </c>
    </row>
    <row r="778" spans="1:20" x14ac:dyDescent="0.2">
      <c r="A778" t="s">
        <v>871</v>
      </c>
      <c r="B778" s="2">
        <v>46159.400859727626</v>
      </c>
      <c r="C778" t="s">
        <v>84</v>
      </c>
      <c r="D778" t="s">
        <v>85</v>
      </c>
      <c r="E778" t="s">
        <v>40</v>
      </c>
      <c r="F778" t="s">
        <v>7</v>
      </c>
      <c r="G778" t="s">
        <v>44</v>
      </c>
      <c r="H778" t="str">
        <f>_xlfn.XLOOKUP(Table6[[#This Row],[SKU]],tblProductMaster[SKU],tblProductMaster[Product])</f>
        <v>Fabric Softener</v>
      </c>
      <c r="I778">
        <v>737</v>
      </c>
      <c r="J778">
        <f>_xlfn.XLOOKUP(G778,[1]!tblProductMaster[SKU],[1]!tblProductMaster[List Price])</f>
        <v>6.99</v>
      </c>
      <c r="K778" t="s">
        <v>86</v>
      </c>
      <c r="L778" s="3">
        <v>0</v>
      </c>
      <c r="M778" s="9">
        <f t="shared" si="60"/>
        <v>6.99</v>
      </c>
      <c r="N778" s="8">
        <f t="shared" si="61"/>
        <v>5151.63</v>
      </c>
      <c r="O778" s="9">
        <f>_xlfn.XLOOKUP(G778,[1]!tblProductMaster[SKU],[1]!tblProductMaster[Unit Cost])</f>
        <v>2.9</v>
      </c>
      <c r="P778" s="8">
        <f t="shared" si="62"/>
        <v>2137.2999999999997</v>
      </c>
      <c r="Q778" s="8">
        <f t="shared" si="63"/>
        <v>3014.3300000000004</v>
      </c>
      <c r="R778" s="4">
        <f t="shared" si="64"/>
        <v>0.58512160228898435</v>
      </c>
      <c r="S778" t="s">
        <v>87</v>
      </c>
      <c r="T778">
        <f>Table6[[#This Row],[Discount]]*Table6[[#This Row],[List Price]]*Table6[[#This Row],[Units]]</f>
        <v>0</v>
      </c>
    </row>
    <row r="779" spans="1:20" x14ac:dyDescent="0.2">
      <c r="A779" t="s">
        <v>872</v>
      </c>
      <c r="B779" s="2">
        <v>46340.595531883358</v>
      </c>
      <c r="C779" t="s">
        <v>98</v>
      </c>
      <c r="D779" t="s">
        <v>85</v>
      </c>
      <c r="E779" t="s">
        <v>8</v>
      </c>
      <c r="F779" t="s">
        <v>18</v>
      </c>
      <c r="G779" t="s">
        <v>17</v>
      </c>
      <c r="H779" t="str">
        <f>_xlfn.XLOOKUP(Table6[[#This Row],[SKU]],tblProductMaster[SKU],tblProductMaster[Product])</f>
        <v>Anti-Dandruff Shampoo</v>
      </c>
      <c r="I779">
        <v>803</v>
      </c>
      <c r="J779">
        <f>_xlfn.XLOOKUP(G779,[1]!tblProductMaster[SKU],[1]!tblProductMaster[List Price])</f>
        <v>6.49</v>
      </c>
      <c r="K779" t="s">
        <v>89</v>
      </c>
      <c r="L779" s="3">
        <v>0.2</v>
      </c>
      <c r="M779" s="9">
        <f t="shared" si="60"/>
        <v>5.1920000000000002</v>
      </c>
      <c r="N779" s="8">
        <f t="shared" si="61"/>
        <v>4169.1760000000004</v>
      </c>
      <c r="O779" s="9">
        <f>_xlfn.XLOOKUP(G779,[1]!tblProductMaster[SKU],[1]!tblProductMaster[Unit Cost])</f>
        <v>2.8</v>
      </c>
      <c r="P779" s="8">
        <f t="shared" si="62"/>
        <v>2248.3999999999996</v>
      </c>
      <c r="Q779" s="8">
        <f t="shared" si="63"/>
        <v>1920.7760000000007</v>
      </c>
      <c r="R779" s="4">
        <f t="shared" si="64"/>
        <v>0.46070878274268118</v>
      </c>
      <c r="S779" t="s">
        <v>99</v>
      </c>
      <c r="T779">
        <f>Table6[[#This Row],[Discount]]*Table6[[#This Row],[List Price]]*Table6[[#This Row],[Units]]</f>
        <v>1042.2940000000001</v>
      </c>
    </row>
    <row r="780" spans="1:20" x14ac:dyDescent="0.2">
      <c r="A780" t="s">
        <v>873</v>
      </c>
      <c r="B780" s="2">
        <v>46066.936868249788</v>
      </c>
      <c r="C780" t="s">
        <v>93</v>
      </c>
      <c r="D780" t="s">
        <v>96</v>
      </c>
      <c r="E780" t="s">
        <v>25</v>
      </c>
      <c r="F780" t="s">
        <v>18</v>
      </c>
      <c r="G780" t="s">
        <v>37</v>
      </c>
      <c r="H780" t="str">
        <f>_xlfn.XLOOKUP(Table6[[#This Row],[SKU]],tblProductMaster[SKU],tblProductMaster[Product])</f>
        <v>Body Wash</v>
      </c>
      <c r="I780">
        <v>401</v>
      </c>
      <c r="J780">
        <f>_xlfn.XLOOKUP(G780,[1]!tblProductMaster[SKU],[1]!tblProductMaster[List Price])</f>
        <v>5.49</v>
      </c>
      <c r="K780" t="s">
        <v>86</v>
      </c>
      <c r="L780" s="3">
        <v>0</v>
      </c>
      <c r="M780" s="9">
        <f t="shared" si="60"/>
        <v>5.49</v>
      </c>
      <c r="N780" s="8">
        <f t="shared" si="61"/>
        <v>2201.4900000000002</v>
      </c>
      <c r="O780" s="9">
        <f>_xlfn.XLOOKUP(G780,[1]!tblProductMaster[SKU],[1]!tblProductMaster[Unit Cost])</f>
        <v>2.2999999999999998</v>
      </c>
      <c r="P780" s="8">
        <f t="shared" si="62"/>
        <v>922.3</v>
      </c>
      <c r="Q780" s="8">
        <f t="shared" si="63"/>
        <v>1279.1900000000003</v>
      </c>
      <c r="R780" s="4">
        <f t="shared" si="64"/>
        <v>0.58105646630236796</v>
      </c>
      <c r="S780" t="s">
        <v>87</v>
      </c>
      <c r="T780">
        <f>Table6[[#This Row],[Discount]]*Table6[[#This Row],[List Price]]*Table6[[#This Row],[Units]]</f>
        <v>0</v>
      </c>
    </row>
    <row r="781" spans="1:20" x14ac:dyDescent="0.2">
      <c r="A781" t="s">
        <v>874</v>
      </c>
      <c r="B781" s="2">
        <v>46051.811275928434</v>
      </c>
      <c r="C781" t="s">
        <v>84</v>
      </c>
      <c r="D781" t="s">
        <v>85</v>
      </c>
      <c r="E781" t="s">
        <v>8</v>
      </c>
      <c r="F781" t="s">
        <v>7</v>
      </c>
      <c r="G781" t="s">
        <v>12</v>
      </c>
      <c r="H781" t="str">
        <f>_xlfn.XLOOKUP(Table6[[#This Row],[SKU]],tblProductMaster[SKU],tblProductMaster[Product])</f>
        <v>Conditioner 250ml</v>
      </c>
      <c r="I781">
        <v>836</v>
      </c>
      <c r="J781">
        <f>_xlfn.XLOOKUP(G781,[1]!tblProductMaster[SKU],[1]!tblProductMaster[List Price])</f>
        <v>5.49</v>
      </c>
      <c r="K781" t="s">
        <v>89</v>
      </c>
      <c r="L781" s="3">
        <v>0.3</v>
      </c>
      <c r="M781" s="9">
        <f t="shared" si="60"/>
        <v>3.843</v>
      </c>
      <c r="N781" s="8">
        <f t="shared" si="61"/>
        <v>3212.748</v>
      </c>
      <c r="O781" s="9">
        <f>_xlfn.XLOOKUP(G781,[1]!tblProductMaster[SKU],[1]!tblProductMaster[Unit Cost])</f>
        <v>2.2000000000000002</v>
      </c>
      <c r="P781" s="8">
        <f t="shared" si="62"/>
        <v>1839.2</v>
      </c>
      <c r="Q781" s="8">
        <f t="shared" si="63"/>
        <v>1373.548</v>
      </c>
      <c r="R781" s="4">
        <f t="shared" si="64"/>
        <v>0.42753057507155867</v>
      </c>
      <c r="S781" t="s">
        <v>99</v>
      </c>
      <c r="T781">
        <f>Table6[[#This Row],[Discount]]*Table6[[#This Row],[List Price]]*Table6[[#This Row],[Units]]</f>
        <v>1376.8920000000001</v>
      </c>
    </row>
    <row r="782" spans="1:20" x14ac:dyDescent="0.2">
      <c r="A782" t="s">
        <v>875</v>
      </c>
      <c r="B782" s="2">
        <v>46353.165488762534</v>
      </c>
      <c r="C782" t="s">
        <v>93</v>
      </c>
      <c r="D782" t="s">
        <v>85</v>
      </c>
      <c r="E782" t="s">
        <v>8</v>
      </c>
      <c r="F782" t="s">
        <v>18</v>
      </c>
      <c r="G782" t="s">
        <v>20</v>
      </c>
      <c r="H782" t="str">
        <f>_xlfn.XLOOKUP(Table6[[#This Row],[SKU]],tblProductMaster[SKU],tblProductMaster[Product])</f>
        <v>Hair Oil</v>
      </c>
      <c r="I782">
        <v>403</v>
      </c>
      <c r="J782">
        <f>_xlfn.XLOOKUP(G782,[1]!tblProductMaster[SKU],[1]!tblProductMaster[List Price])</f>
        <v>7.49</v>
      </c>
      <c r="K782" t="s">
        <v>86</v>
      </c>
      <c r="L782" s="3">
        <v>0</v>
      </c>
      <c r="M782" s="9">
        <f t="shared" si="60"/>
        <v>7.49</v>
      </c>
      <c r="N782" s="8">
        <f t="shared" si="61"/>
        <v>3018.4700000000003</v>
      </c>
      <c r="O782" s="9">
        <f>_xlfn.XLOOKUP(G782,[1]!tblProductMaster[SKU],[1]!tblProductMaster[Unit Cost])</f>
        <v>3.1</v>
      </c>
      <c r="P782" s="8">
        <f t="shared" si="62"/>
        <v>1249.3</v>
      </c>
      <c r="Q782" s="8">
        <f t="shared" si="63"/>
        <v>1769.1700000000003</v>
      </c>
      <c r="R782" s="4">
        <f t="shared" si="64"/>
        <v>0.58611481975967961</v>
      </c>
      <c r="S782" t="s">
        <v>87</v>
      </c>
      <c r="T782">
        <f>Table6[[#This Row],[Discount]]*Table6[[#This Row],[List Price]]*Table6[[#This Row],[Units]]</f>
        <v>0</v>
      </c>
    </row>
    <row r="783" spans="1:20" x14ac:dyDescent="0.2">
      <c r="A783" t="s">
        <v>876</v>
      </c>
      <c r="B783" s="2">
        <v>46329.98484836414</v>
      </c>
      <c r="C783" t="s">
        <v>93</v>
      </c>
      <c r="D783" t="s">
        <v>85</v>
      </c>
      <c r="E783" t="s">
        <v>40</v>
      </c>
      <c r="F783" t="s">
        <v>7</v>
      </c>
      <c r="G783" t="s">
        <v>48</v>
      </c>
      <c r="H783" t="str">
        <f>_xlfn.XLOOKUP(Table6[[#This Row],[SKU]],tblProductMaster[SKU],tblProductMaster[Product])</f>
        <v>Color Detergent</v>
      </c>
      <c r="I783">
        <v>676</v>
      </c>
      <c r="J783">
        <f>_xlfn.XLOOKUP(G783,[1]!tblProductMaster[SKU],[1]!tblProductMaster[List Price])</f>
        <v>9.49</v>
      </c>
      <c r="K783" t="s">
        <v>86</v>
      </c>
      <c r="L783" s="3">
        <v>0</v>
      </c>
      <c r="M783" s="9">
        <f t="shared" si="60"/>
        <v>9.49</v>
      </c>
      <c r="N783" s="8">
        <f t="shared" si="61"/>
        <v>6415.24</v>
      </c>
      <c r="O783" s="9">
        <f>_xlfn.XLOOKUP(G783,[1]!tblProductMaster[SKU],[1]!tblProductMaster[Unit Cost])</f>
        <v>4</v>
      </c>
      <c r="P783" s="8">
        <f t="shared" si="62"/>
        <v>2704</v>
      </c>
      <c r="Q783" s="8">
        <f t="shared" si="63"/>
        <v>3711.24</v>
      </c>
      <c r="R783" s="4">
        <f t="shared" si="64"/>
        <v>0.57850368809272923</v>
      </c>
      <c r="S783" t="s">
        <v>87</v>
      </c>
      <c r="T783">
        <f>Table6[[#This Row],[Discount]]*Table6[[#This Row],[List Price]]*Table6[[#This Row],[Units]]</f>
        <v>0</v>
      </c>
    </row>
    <row r="784" spans="1:20" x14ac:dyDescent="0.2">
      <c r="A784" t="s">
        <v>877</v>
      </c>
      <c r="B784" s="2">
        <v>46362.57153049107</v>
      </c>
      <c r="C784" t="s">
        <v>93</v>
      </c>
      <c r="D784" t="s">
        <v>96</v>
      </c>
      <c r="E784" t="s">
        <v>8</v>
      </c>
      <c r="F784" t="s">
        <v>7</v>
      </c>
      <c r="G784" t="s">
        <v>10</v>
      </c>
      <c r="H784" t="str">
        <f>_xlfn.XLOOKUP(Table6[[#This Row],[SKU]],tblProductMaster[SKU],tblProductMaster[Product])</f>
        <v>Shampoo 500ml</v>
      </c>
      <c r="I784">
        <v>422</v>
      </c>
      <c r="J784">
        <f>_xlfn.XLOOKUP(G784,[1]!tblProductMaster[SKU],[1]!tblProductMaster[List Price])</f>
        <v>8.99</v>
      </c>
      <c r="K784" t="s">
        <v>86</v>
      </c>
      <c r="L784" s="3">
        <v>0</v>
      </c>
      <c r="M784" s="9">
        <f t="shared" si="60"/>
        <v>8.99</v>
      </c>
      <c r="N784" s="8">
        <f t="shared" si="61"/>
        <v>3793.78</v>
      </c>
      <c r="O784" s="9">
        <f>_xlfn.XLOOKUP(G784,[1]!tblProductMaster[SKU],[1]!tblProductMaster[Unit Cost])</f>
        <v>3.6</v>
      </c>
      <c r="P784" s="8">
        <f t="shared" si="62"/>
        <v>1519.2</v>
      </c>
      <c r="Q784" s="8">
        <f t="shared" si="63"/>
        <v>2274.58</v>
      </c>
      <c r="R784" s="4">
        <f t="shared" si="64"/>
        <v>0.59955506117908786</v>
      </c>
      <c r="S784" t="s">
        <v>87</v>
      </c>
      <c r="T784">
        <f>Table6[[#This Row],[Discount]]*Table6[[#This Row],[List Price]]*Table6[[#This Row],[Units]]</f>
        <v>0</v>
      </c>
    </row>
    <row r="785" spans="1:20" x14ac:dyDescent="0.2">
      <c r="A785" t="s">
        <v>878</v>
      </c>
      <c r="B785" s="2">
        <v>46086.56338248682</v>
      </c>
      <c r="C785" t="s">
        <v>84</v>
      </c>
      <c r="D785" t="s">
        <v>104</v>
      </c>
      <c r="E785" t="s">
        <v>56</v>
      </c>
      <c r="F785" t="s">
        <v>18</v>
      </c>
      <c r="G785" t="s">
        <v>68</v>
      </c>
      <c r="H785" t="str">
        <f>_xlfn.XLOOKUP(Table6[[#This Row],[SKU]],tblProductMaster[SKU],tblProductMaster[Product])</f>
        <v>Kids Toothpaste</v>
      </c>
      <c r="I785">
        <v>553</v>
      </c>
      <c r="J785">
        <f>_xlfn.XLOOKUP(G785,[1]!tblProductMaster[SKU],[1]!tblProductMaster[List Price])</f>
        <v>3.29</v>
      </c>
      <c r="K785" t="s">
        <v>86</v>
      </c>
      <c r="L785" s="3">
        <v>0</v>
      </c>
      <c r="M785" s="9">
        <f t="shared" si="60"/>
        <v>3.29</v>
      </c>
      <c r="N785" s="8">
        <f t="shared" si="61"/>
        <v>1819.3700000000001</v>
      </c>
      <c r="O785" s="9">
        <f>_xlfn.XLOOKUP(G785,[1]!tblProductMaster[SKU],[1]!tblProductMaster[Unit Cost])</f>
        <v>1.1000000000000001</v>
      </c>
      <c r="P785" s="8">
        <f t="shared" si="62"/>
        <v>608.30000000000007</v>
      </c>
      <c r="Q785" s="8">
        <f t="shared" si="63"/>
        <v>1211.0700000000002</v>
      </c>
      <c r="R785" s="4">
        <f t="shared" si="64"/>
        <v>0.66565349544072949</v>
      </c>
      <c r="S785" t="s">
        <v>87</v>
      </c>
      <c r="T785">
        <f>Table6[[#This Row],[Discount]]*Table6[[#This Row],[List Price]]*Table6[[#This Row],[Units]]</f>
        <v>0</v>
      </c>
    </row>
    <row r="786" spans="1:20" x14ac:dyDescent="0.2">
      <c r="A786" t="s">
        <v>879</v>
      </c>
      <c r="B786" s="2">
        <v>46168.817389558564</v>
      </c>
      <c r="C786" t="s">
        <v>84</v>
      </c>
      <c r="D786" t="s">
        <v>104</v>
      </c>
      <c r="E786" t="s">
        <v>8</v>
      </c>
      <c r="F786" t="s">
        <v>15</v>
      </c>
      <c r="G786" t="s">
        <v>14</v>
      </c>
      <c r="H786" t="str">
        <f>_xlfn.XLOOKUP(Table6[[#This Row],[SKU]],tblProductMaster[SKU],tblProductMaster[Product])</f>
        <v>Shampoo 250ml</v>
      </c>
      <c r="I786">
        <v>615</v>
      </c>
      <c r="J786">
        <f>_xlfn.XLOOKUP(G786,[1]!tblProductMaster[SKU],[1]!tblProductMaster[List Price])</f>
        <v>4.99</v>
      </c>
      <c r="K786" t="s">
        <v>86</v>
      </c>
      <c r="L786" s="3">
        <v>0</v>
      </c>
      <c r="M786" s="9">
        <f t="shared" si="60"/>
        <v>4.99</v>
      </c>
      <c r="N786" s="8">
        <f t="shared" si="61"/>
        <v>3068.85</v>
      </c>
      <c r="O786" s="9">
        <f>_xlfn.XLOOKUP(G786,[1]!tblProductMaster[SKU],[1]!tblProductMaster[Unit Cost])</f>
        <v>2.1</v>
      </c>
      <c r="P786" s="8">
        <f t="shared" si="62"/>
        <v>1291.5</v>
      </c>
      <c r="Q786" s="8">
        <f t="shared" si="63"/>
        <v>1777.35</v>
      </c>
      <c r="R786" s="4">
        <f t="shared" si="64"/>
        <v>0.57915831663326656</v>
      </c>
      <c r="S786" t="s">
        <v>87</v>
      </c>
      <c r="T786">
        <f>Table6[[#This Row],[Discount]]*Table6[[#This Row],[List Price]]*Table6[[#This Row],[Units]]</f>
        <v>0</v>
      </c>
    </row>
    <row r="787" spans="1:20" x14ac:dyDescent="0.2">
      <c r="A787" t="s">
        <v>880</v>
      </c>
      <c r="B787" s="2">
        <v>46265.718927387745</v>
      </c>
      <c r="C787" t="s">
        <v>84</v>
      </c>
      <c r="D787" t="s">
        <v>104</v>
      </c>
      <c r="E787" t="s">
        <v>56</v>
      </c>
      <c r="F787" t="s">
        <v>7</v>
      </c>
      <c r="G787" t="s">
        <v>58</v>
      </c>
      <c r="H787" t="str">
        <f>_xlfn.XLOOKUP(Table6[[#This Row],[SKU]],tblProductMaster[SKU],tblProductMaster[Product])</f>
        <v>Whitening Toothpaste</v>
      </c>
      <c r="I787">
        <v>719</v>
      </c>
      <c r="J787">
        <f>_xlfn.XLOOKUP(G787,[1]!tblProductMaster[SKU],[1]!tblProductMaster[List Price])</f>
        <v>4.99</v>
      </c>
      <c r="K787" t="s">
        <v>89</v>
      </c>
      <c r="L787" s="3">
        <v>0.3</v>
      </c>
      <c r="M787" s="9">
        <f t="shared" si="60"/>
        <v>3.4929999999999999</v>
      </c>
      <c r="N787" s="8">
        <f t="shared" si="61"/>
        <v>2511.4670000000001</v>
      </c>
      <c r="O787" s="9">
        <f>_xlfn.XLOOKUP(G787,[1]!tblProductMaster[SKU],[1]!tblProductMaster[Unit Cost])</f>
        <v>1.8</v>
      </c>
      <c r="P787" s="8">
        <f t="shared" si="62"/>
        <v>1294.2</v>
      </c>
      <c r="Q787" s="8">
        <f t="shared" si="63"/>
        <v>1217.2670000000001</v>
      </c>
      <c r="R787" s="4">
        <f t="shared" si="64"/>
        <v>0.48468365302032634</v>
      </c>
      <c r="S787" t="s">
        <v>90</v>
      </c>
      <c r="T787">
        <f>Table6[[#This Row],[Discount]]*Table6[[#This Row],[List Price]]*Table6[[#This Row],[Units]]</f>
        <v>1076.3430000000001</v>
      </c>
    </row>
    <row r="788" spans="1:20" x14ac:dyDescent="0.2">
      <c r="A788" t="s">
        <v>881</v>
      </c>
      <c r="B788" s="2">
        <v>46205.62348772477</v>
      </c>
      <c r="C788" t="s">
        <v>98</v>
      </c>
      <c r="D788" t="s">
        <v>85</v>
      </c>
      <c r="E788" t="s">
        <v>56</v>
      </c>
      <c r="F788" t="s">
        <v>7</v>
      </c>
      <c r="G788" t="s">
        <v>64</v>
      </c>
      <c r="H788" t="str">
        <f>_xlfn.XLOOKUP(Table6[[#This Row],[SKU]],tblProductMaster[SKU],tblProductMaster[Product])</f>
        <v>Toothbrush</v>
      </c>
      <c r="I788">
        <v>527</v>
      </c>
      <c r="J788">
        <f>_xlfn.XLOOKUP(G788,[1]!tblProductMaster[SKU],[1]!tblProductMaster[List Price])</f>
        <v>3.99</v>
      </c>
      <c r="K788" t="s">
        <v>86</v>
      </c>
      <c r="L788" s="3">
        <v>0</v>
      </c>
      <c r="M788" s="9">
        <f t="shared" si="60"/>
        <v>3.99</v>
      </c>
      <c r="N788" s="8">
        <f t="shared" si="61"/>
        <v>2102.73</v>
      </c>
      <c r="O788" s="9">
        <f>_xlfn.XLOOKUP(G788,[1]!tblProductMaster[SKU],[1]!tblProductMaster[Unit Cost])</f>
        <v>1.5</v>
      </c>
      <c r="P788" s="8">
        <f t="shared" si="62"/>
        <v>790.5</v>
      </c>
      <c r="Q788" s="8">
        <f t="shared" si="63"/>
        <v>1312.23</v>
      </c>
      <c r="R788" s="4">
        <f t="shared" si="64"/>
        <v>0.62406015037593987</v>
      </c>
      <c r="S788" t="s">
        <v>87</v>
      </c>
      <c r="T788">
        <f>Table6[[#This Row],[Discount]]*Table6[[#This Row],[List Price]]*Table6[[#This Row],[Units]]</f>
        <v>0</v>
      </c>
    </row>
    <row r="789" spans="1:20" x14ac:dyDescent="0.2">
      <c r="A789" t="s">
        <v>882</v>
      </c>
      <c r="B789" s="2">
        <v>46284.705376931939</v>
      </c>
      <c r="C789" t="s">
        <v>93</v>
      </c>
      <c r="D789" t="s">
        <v>85</v>
      </c>
      <c r="E789" t="s">
        <v>56</v>
      </c>
      <c r="F789" t="s">
        <v>18</v>
      </c>
      <c r="G789" t="s">
        <v>60</v>
      </c>
      <c r="H789" t="str">
        <f>_xlfn.XLOOKUP(Table6[[#This Row],[SKU]],tblProductMaster[SKU],tblProductMaster[Product])</f>
        <v>Sensitive Toothpaste</v>
      </c>
      <c r="I789">
        <v>1067</v>
      </c>
      <c r="J789">
        <f>_xlfn.XLOOKUP(G789,[1]!tblProductMaster[SKU],[1]!tblProductMaster[List Price])</f>
        <v>4.49</v>
      </c>
      <c r="K789" t="s">
        <v>89</v>
      </c>
      <c r="L789" s="3">
        <v>0.2</v>
      </c>
      <c r="M789" s="9">
        <f t="shared" si="60"/>
        <v>3.5920000000000005</v>
      </c>
      <c r="N789" s="8">
        <f t="shared" si="61"/>
        <v>3832.6640000000007</v>
      </c>
      <c r="O789" s="9">
        <f>_xlfn.XLOOKUP(G789,[1]!tblProductMaster[SKU],[1]!tblProductMaster[Unit Cost])</f>
        <v>1.7</v>
      </c>
      <c r="P789" s="8">
        <f t="shared" si="62"/>
        <v>1813.8999999999999</v>
      </c>
      <c r="Q789" s="8">
        <f t="shared" si="63"/>
        <v>2018.7640000000008</v>
      </c>
      <c r="R789" s="4">
        <f t="shared" si="64"/>
        <v>0.52672605790645888</v>
      </c>
      <c r="S789" t="s">
        <v>90</v>
      </c>
      <c r="T789">
        <f>Table6[[#This Row],[Discount]]*Table6[[#This Row],[List Price]]*Table6[[#This Row],[Units]]</f>
        <v>958.16600000000017</v>
      </c>
    </row>
    <row r="790" spans="1:20" x14ac:dyDescent="0.2">
      <c r="A790" t="s">
        <v>883</v>
      </c>
      <c r="B790" s="2">
        <v>46279.193502674447</v>
      </c>
      <c r="C790" t="s">
        <v>98</v>
      </c>
      <c r="D790" t="s">
        <v>85</v>
      </c>
      <c r="E790" t="s">
        <v>56</v>
      </c>
      <c r="F790" t="s">
        <v>18</v>
      </c>
      <c r="G790" t="s">
        <v>60</v>
      </c>
      <c r="H790" t="str">
        <f>_xlfn.XLOOKUP(Table6[[#This Row],[SKU]],tblProductMaster[SKU],tblProductMaster[Product])</f>
        <v>Sensitive Toothpaste</v>
      </c>
      <c r="I790">
        <v>575</v>
      </c>
      <c r="J790">
        <f>_xlfn.XLOOKUP(G790,[1]!tblProductMaster[SKU],[1]!tblProductMaster[List Price])</f>
        <v>4.49</v>
      </c>
      <c r="K790" t="s">
        <v>86</v>
      </c>
      <c r="L790" s="3">
        <v>0</v>
      </c>
      <c r="M790" s="9">
        <f t="shared" si="60"/>
        <v>4.49</v>
      </c>
      <c r="N790" s="8">
        <f t="shared" si="61"/>
        <v>2581.75</v>
      </c>
      <c r="O790" s="9">
        <f>_xlfn.XLOOKUP(G790,[1]!tblProductMaster[SKU],[1]!tblProductMaster[Unit Cost])</f>
        <v>1.7</v>
      </c>
      <c r="P790" s="8">
        <f t="shared" si="62"/>
        <v>977.5</v>
      </c>
      <c r="Q790" s="8">
        <f t="shared" si="63"/>
        <v>1604.25</v>
      </c>
      <c r="R790" s="4">
        <f t="shared" si="64"/>
        <v>0.62138084632516699</v>
      </c>
      <c r="S790" t="s">
        <v>87</v>
      </c>
      <c r="T790">
        <f>Table6[[#This Row],[Discount]]*Table6[[#This Row],[List Price]]*Table6[[#This Row],[Units]]</f>
        <v>0</v>
      </c>
    </row>
    <row r="791" spans="1:20" x14ac:dyDescent="0.2">
      <c r="A791" t="s">
        <v>884</v>
      </c>
      <c r="B791" s="2">
        <v>46025.299481708571</v>
      </c>
      <c r="C791" t="s">
        <v>98</v>
      </c>
      <c r="D791" t="s">
        <v>104</v>
      </c>
      <c r="E791" t="s">
        <v>56</v>
      </c>
      <c r="F791" t="s">
        <v>15</v>
      </c>
      <c r="G791" t="s">
        <v>55</v>
      </c>
      <c r="H791" t="str">
        <f>_xlfn.XLOOKUP(Table6[[#This Row],[SKU]],tblProductMaster[SKU],tblProductMaster[Product])</f>
        <v>Toothpaste 75ml</v>
      </c>
      <c r="I791">
        <v>890</v>
      </c>
      <c r="J791">
        <f>_xlfn.XLOOKUP(G791,[1]!tblProductMaster[SKU],[1]!tblProductMaster[List Price])</f>
        <v>3.49</v>
      </c>
      <c r="K791" t="s">
        <v>89</v>
      </c>
      <c r="L791" s="3">
        <v>0.2</v>
      </c>
      <c r="M791" s="9">
        <f t="shared" si="60"/>
        <v>2.7920000000000003</v>
      </c>
      <c r="N791" s="8">
        <f t="shared" si="61"/>
        <v>2484.88</v>
      </c>
      <c r="O791" s="9">
        <f>_xlfn.XLOOKUP(G791,[1]!tblProductMaster[SKU],[1]!tblProductMaster[Unit Cost])</f>
        <v>1.2</v>
      </c>
      <c r="P791" s="8">
        <f t="shared" si="62"/>
        <v>1068</v>
      </c>
      <c r="Q791" s="8">
        <f t="shared" si="63"/>
        <v>1416.88</v>
      </c>
      <c r="R791" s="4">
        <f t="shared" si="64"/>
        <v>0.57020057306590255</v>
      </c>
      <c r="S791" t="s">
        <v>90</v>
      </c>
      <c r="T791">
        <f>Table6[[#This Row],[Discount]]*Table6[[#This Row],[List Price]]*Table6[[#This Row],[Units]]</f>
        <v>621.22</v>
      </c>
    </row>
    <row r="792" spans="1:20" x14ac:dyDescent="0.2">
      <c r="A792" t="s">
        <v>885</v>
      </c>
      <c r="B792" s="2">
        <v>46144.597204580918</v>
      </c>
      <c r="C792" t="s">
        <v>84</v>
      </c>
      <c r="D792" t="s">
        <v>104</v>
      </c>
      <c r="E792" t="s">
        <v>40</v>
      </c>
      <c r="F792" t="s">
        <v>7</v>
      </c>
      <c r="G792" t="s">
        <v>48</v>
      </c>
      <c r="H792" t="str">
        <f>_xlfn.XLOOKUP(Table6[[#This Row],[SKU]],tblProductMaster[SKU],tblProductMaster[Product])</f>
        <v>Color Detergent</v>
      </c>
      <c r="I792">
        <v>279</v>
      </c>
      <c r="J792">
        <f>_xlfn.XLOOKUP(G792,[1]!tblProductMaster[SKU],[1]!tblProductMaster[List Price])</f>
        <v>9.49</v>
      </c>
      <c r="K792" t="s">
        <v>86</v>
      </c>
      <c r="L792" s="3">
        <v>0</v>
      </c>
      <c r="M792" s="9">
        <f t="shared" si="60"/>
        <v>9.49</v>
      </c>
      <c r="N792" s="8">
        <f t="shared" si="61"/>
        <v>2647.71</v>
      </c>
      <c r="O792" s="9">
        <f>_xlfn.XLOOKUP(G792,[1]!tblProductMaster[SKU],[1]!tblProductMaster[Unit Cost])</f>
        <v>4</v>
      </c>
      <c r="P792" s="8">
        <f t="shared" si="62"/>
        <v>1116</v>
      </c>
      <c r="Q792" s="8">
        <f t="shared" si="63"/>
        <v>1531.71</v>
      </c>
      <c r="R792" s="4">
        <f t="shared" si="64"/>
        <v>0.57850368809272923</v>
      </c>
      <c r="S792" t="s">
        <v>87</v>
      </c>
      <c r="T792">
        <f>Table6[[#This Row],[Discount]]*Table6[[#This Row],[List Price]]*Table6[[#This Row],[Units]]</f>
        <v>0</v>
      </c>
    </row>
    <row r="793" spans="1:20" x14ac:dyDescent="0.2">
      <c r="A793" t="s">
        <v>886</v>
      </c>
      <c r="B793" s="2">
        <v>46188.214300910826</v>
      </c>
      <c r="C793" t="s">
        <v>98</v>
      </c>
      <c r="D793" t="s">
        <v>96</v>
      </c>
      <c r="E793" t="s">
        <v>25</v>
      </c>
      <c r="F793" t="s">
        <v>15</v>
      </c>
      <c r="G793" t="s">
        <v>35</v>
      </c>
      <c r="H793" t="str">
        <f>_xlfn.XLOOKUP(Table6[[#This Row],[SKU]],tblProductMaster[SKU],tblProductMaster[Product])</f>
        <v>Hand Cream</v>
      </c>
      <c r="I793">
        <v>210</v>
      </c>
      <c r="J793">
        <f>_xlfn.XLOOKUP(G793,[1]!tblProductMaster[SKU],[1]!tblProductMaster[List Price])</f>
        <v>4.99</v>
      </c>
      <c r="K793" t="s">
        <v>86</v>
      </c>
      <c r="L793" s="3">
        <v>0</v>
      </c>
      <c r="M793" s="9">
        <f t="shared" si="60"/>
        <v>4.99</v>
      </c>
      <c r="N793" s="8">
        <f t="shared" si="61"/>
        <v>1047.9000000000001</v>
      </c>
      <c r="O793" s="9">
        <f>_xlfn.XLOOKUP(G793,[1]!tblProductMaster[SKU],[1]!tblProductMaster[Unit Cost])</f>
        <v>2.1</v>
      </c>
      <c r="P793" s="8">
        <f t="shared" si="62"/>
        <v>441</v>
      </c>
      <c r="Q793" s="8">
        <f t="shared" si="63"/>
        <v>606.90000000000009</v>
      </c>
      <c r="R793" s="4">
        <f t="shared" si="64"/>
        <v>0.57915831663326656</v>
      </c>
      <c r="S793" t="s">
        <v>87</v>
      </c>
      <c r="T793">
        <f>Table6[[#This Row],[Discount]]*Table6[[#This Row],[List Price]]*Table6[[#This Row],[Units]]</f>
        <v>0</v>
      </c>
    </row>
    <row r="794" spans="1:20" x14ac:dyDescent="0.2">
      <c r="A794" t="s">
        <v>887</v>
      </c>
      <c r="B794" s="2">
        <v>46139.422046933891</v>
      </c>
      <c r="C794" t="s">
        <v>93</v>
      </c>
      <c r="D794" t="s">
        <v>85</v>
      </c>
      <c r="E794" t="s">
        <v>8</v>
      </c>
      <c r="F794" t="s">
        <v>7</v>
      </c>
      <c r="G794" t="s">
        <v>10</v>
      </c>
      <c r="H794" t="str">
        <f>_xlfn.XLOOKUP(Table6[[#This Row],[SKU]],tblProductMaster[SKU],tblProductMaster[Product])</f>
        <v>Shampoo 500ml</v>
      </c>
      <c r="I794">
        <v>594</v>
      </c>
      <c r="J794">
        <f>_xlfn.XLOOKUP(G794,[1]!tblProductMaster[SKU],[1]!tblProductMaster[List Price])</f>
        <v>8.99</v>
      </c>
      <c r="K794" t="s">
        <v>86</v>
      </c>
      <c r="L794" s="3">
        <v>0</v>
      </c>
      <c r="M794" s="9">
        <f t="shared" si="60"/>
        <v>8.99</v>
      </c>
      <c r="N794" s="8">
        <f t="shared" si="61"/>
        <v>5340.06</v>
      </c>
      <c r="O794" s="9">
        <f>_xlfn.XLOOKUP(G794,[1]!tblProductMaster[SKU],[1]!tblProductMaster[Unit Cost])</f>
        <v>3.6</v>
      </c>
      <c r="P794" s="8">
        <f t="shared" si="62"/>
        <v>2138.4</v>
      </c>
      <c r="Q794" s="8">
        <f t="shared" si="63"/>
        <v>3201.6600000000003</v>
      </c>
      <c r="R794" s="4">
        <f t="shared" si="64"/>
        <v>0.59955506117908786</v>
      </c>
      <c r="S794" t="s">
        <v>87</v>
      </c>
      <c r="T794">
        <f>Table6[[#This Row],[Discount]]*Table6[[#This Row],[List Price]]*Table6[[#This Row],[Units]]</f>
        <v>0</v>
      </c>
    </row>
    <row r="795" spans="1:20" x14ac:dyDescent="0.2">
      <c r="A795" t="s">
        <v>888</v>
      </c>
      <c r="B795" s="2">
        <v>46189.162252988921</v>
      </c>
      <c r="C795" t="s">
        <v>93</v>
      </c>
      <c r="D795" t="s">
        <v>96</v>
      </c>
      <c r="E795" t="s">
        <v>56</v>
      </c>
      <c r="F795" t="s">
        <v>15</v>
      </c>
      <c r="G795" t="s">
        <v>62</v>
      </c>
      <c r="H795" t="str">
        <f>_xlfn.XLOOKUP(Table6[[#This Row],[SKU]],tblProductMaster[SKU],tblProductMaster[Product])</f>
        <v>Mouthwash 500ml</v>
      </c>
      <c r="I795">
        <v>381</v>
      </c>
      <c r="J795">
        <f>_xlfn.XLOOKUP(G795,[1]!tblProductMaster[SKU],[1]!tblProductMaster[List Price])</f>
        <v>5.99</v>
      </c>
      <c r="K795" t="s">
        <v>86</v>
      </c>
      <c r="L795" s="3">
        <v>0</v>
      </c>
      <c r="M795" s="9">
        <f t="shared" si="60"/>
        <v>5.99</v>
      </c>
      <c r="N795" s="8">
        <f t="shared" si="61"/>
        <v>2282.19</v>
      </c>
      <c r="O795" s="9">
        <f>_xlfn.XLOOKUP(G795,[1]!tblProductMaster[SKU],[1]!tblProductMaster[Unit Cost])</f>
        <v>2.4</v>
      </c>
      <c r="P795" s="8">
        <f t="shared" si="62"/>
        <v>914.4</v>
      </c>
      <c r="Q795" s="8">
        <f t="shared" si="63"/>
        <v>1367.79</v>
      </c>
      <c r="R795" s="4">
        <f t="shared" si="64"/>
        <v>0.59933222036727873</v>
      </c>
      <c r="S795" t="s">
        <v>87</v>
      </c>
      <c r="T795">
        <f>Table6[[#This Row],[Discount]]*Table6[[#This Row],[List Price]]*Table6[[#This Row],[Units]]</f>
        <v>0</v>
      </c>
    </row>
    <row r="796" spans="1:20" x14ac:dyDescent="0.2">
      <c r="A796" t="s">
        <v>889</v>
      </c>
      <c r="B796" s="2">
        <v>46313.793197798143</v>
      </c>
      <c r="C796" t="s">
        <v>93</v>
      </c>
      <c r="D796" t="s">
        <v>85</v>
      </c>
      <c r="E796" t="s">
        <v>8</v>
      </c>
      <c r="F796" t="s">
        <v>15</v>
      </c>
      <c r="G796" t="s">
        <v>14</v>
      </c>
      <c r="H796" t="str">
        <f>_xlfn.XLOOKUP(Table6[[#This Row],[SKU]],tblProductMaster[SKU],tblProductMaster[Product])</f>
        <v>Shampoo 250ml</v>
      </c>
      <c r="I796">
        <v>301</v>
      </c>
      <c r="J796">
        <f>_xlfn.XLOOKUP(G796,[1]!tblProductMaster[SKU],[1]!tblProductMaster[List Price])</f>
        <v>4.99</v>
      </c>
      <c r="K796" t="s">
        <v>86</v>
      </c>
      <c r="L796" s="3">
        <v>0</v>
      </c>
      <c r="M796" s="9">
        <f t="shared" si="60"/>
        <v>4.99</v>
      </c>
      <c r="N796" s="8">
        <f t="shared" si="61"/>
        <v>1501.99</v>
      </c>
      <c r="O796" s="9">
        <f>_xlfn.XLOOKUP(G796,[1]!tblProductMaster[SKU],[1]!tblProductMaster[Unit Cost])</f>
        <v>2.1</v>
      </c>
      <c r="P796" s="8">
        <f t="shared" si="62"/>
        <v>632.1</v>
      </c>
      <c r="Q796" s="8">
        <f t="shared" si="63"/>
        <v>869.89</v>
      </c>
      <c r="R796" s="4">
        <f t="shared" si="64"/>
        <v>0.57915831663326656</v>
      </c>
      <c r="S796" t="s">
        <v>87</v>
      </c>
      <c r="T796">
        <f>Table6[[#This Row],[Discount]]*Table6[[#This Row],[List Price]]*Table6[[#This Row],[Units]]</f>
        <v>0</v>
      </c>
    </row>
    <row r="797" spans="1:20" x14ac:dyDescent="0.2">
      <c r="A797" t="s">
        <v>890</v>
      </c>
      <c r="B797" s="2">
        <v>46098.395003916063</v>
      </c>
      <c r="C797" t="s">
        <v>93</v>
      </c>
      <c r="D797" t="s">
        <v>96</v>
      </c>
      <c r="E797" t="s">
        <v>8</v>
      </c>
      <c r="F797" t="s">
        <v>7</v>
      </c>
      <c r="G797" t="s">
        <v>12</v>
      </c>
      <c r="H797" t="str">
        <f>_xlfn.XLOOKUP(Table6[[#This Row],[SKU]],tblProductMaster[SKU],tblProductMaster[Product])</f>
        <v>Conditioner 250ml</v>
      </c>
      <c r="I797">
        <v>433</v>
      </c>
      <c r="J797">
        <f>_xlfn.XLOOKUP(G797,[1]!tblProductMaster[SKU],[1]!tblProductMaster[List Price])</f>
        <v>5.49</v>
      </c>
      <c r="K797" t="s">
        <v>89</v>
      </c>
      <c r="L797" s="3">
        <v>0.3</v>
      </c>
      <c r="M797" s="9">
        <f t="shared" si="60"/>
        <v>3.843</v>
      </c>
      <c r="N797" s="8">
        <f t="shared" si="61"/>
        <v>1664.019</v>
      </c>
      <c r="O797" s="9">
        <f>_xlfn.XLOOKUP(G797,[1]!tblProductMaster[SKU],[1]!tblProductMaster[Unit Cost])</f>
        <v>2.2000000000000002</v>
      </c>
      <c r="P797" s="8">
        <f t="shared" si="62"/>
        <v>952.6</v>
      </c>
      <c r="Q797" s="8">
        <f t="shared" si="63"/>
        <v>711.41899999999998</v>
      </c>
      <c r="R797" s="4">
        <f t="shared" si="64"/>
        <v>0.42753057507155867</v>
      </c>
      <c r="S797" t="s">
        <v>90</v>
      </c>
      <c r="T797">
        <f>Table6[[#This Row],[Discount]]*Table6[[#This Row],[List Price]]*Table6[[#This Row],[Units]]</f>
        <v>713.15099999999995</v>
      </c>
    </row>
    <row r="798" spans="1:20" x14ac:dyDescent="0.2">
      <c r="A798" t="s">
        <v>891</v>
      </c>
      <c r="B798" s="2">
        <v>46264.72554579706</v>
      </c>
      <c r="C798" t="s">
        <v>84</v>
      </c>
      <c r="D798" t="s">
        <v>104</v>
      </c>
      <c r="E798" t="s">
        <v>40</v>
      </c>
      <c r="F798" t="s">
        <v>18</v>
      </c>
      <c r="G798" t="s">
        <v>42</v>
      </c>
      <c r="H798" t="str">
        <f>_xlfn.XLOOKUP(Table6[[#This Row],[SKU]],tblProductMaster[SKU],tblProductMaster[Product])</f>
        <v>Detergent Capsules</v>
      </c>
      <c r="I798">
        <v>628</v>
      </c>
      <c r="J798">
        <f>_xlfn.XLOOKUP(G798,[1]!tblProductMaster[SKU],[1]!tblProductMaster[List Price])</f>
        <v>11.99</v>
      </c>
      <c r="K798" t="s">
        <v>86</v>
      </c>
      <c r="L798" s="3">
        <v>0</v>
      </c>
      <c r="M798" s="9">
        <f t="shared" si="60"/>
        <v>11.99</v>
      </c>
      <c r="N798" s="8">
        <f t="shared" si="61"/>
        <v>7529.72</v>
      </c>
      <c r="O798" s="9">
        <f>_xlfn.XLOOKUP(G798,[1]!tblProductMaster[SKU],[1]!tblProductMaster[Unit Cost])</f>
        <v>5.2</v>
      </c>
      <c r="P798" s="8">
        <f t="shared" si="62"/>
        <v>3265.6</v>
      </c>
      <c r="Q798" s="8">
        <f t="shared" si="63"/>
        <v>4264.1200000000008</v>
      </c>
      <c r="R798" s="4">
        <f t="shared" si="64"/>
        <v>0.56630525437864898</v>
      </c>
      <c r="S798" t="s">
        <v>87</v>
      </c>
      <c r="T798">
        <f>Table6[[#This Row],[Discount]]*Table6[[#This Row],[List Price]]*Table6[[#This Row],[Units]]</f>
        <v>0</v>
      </c>
    </row>
    <row r="799" spans="1:20" x14ac:dyDescent="0.2">
      <c r="A799" t="s">
        <v>892</v>
      </c>
      <c r="B799" s="2">
        <v>46239.841769722829</v>
      </c>
      <c r="C799" t="s">
        <v>93</v>
      </c>
      <c r="D799" t="s">
        <v>85</v>
      </c>
      <c r="E799" t="s">
        <v>8</v>
      </c>
      <c r="F799" t="s">
        <v>18</v>
      </c>
      <c r="G799" t="s">
        <v>17</v>
      </c>
      <c r="H799" t="str">
        <f>_xlfn.XLOOKUP(Table6[[#This Row],[SKU]],tblProductMaster[SKU],tblProductMaster[Product])</f>
        <v>Anti-Dandruff Shampoo</v>
      </c>
      <c r="I799">
        <v>437</v>
      </c>
      <c r="J799">
        <f>_xlfn.XLOOKUP(G799,[1]!tblProductMaster[SKU],[1]!tblProductMaster[List Price])</f>
        <v>6.49</v>
      </c>
      <c r="K799" t="s">
        <v>86</v>
      </c>
      <c r="L799" s="3">
        <v>0</v>
      </c>
      <c r="M799" s="9">
        <f t="shared" si="60"/>
        <v>6.49</v>
      </c>
      <c r="N799" s="8">
        <f t="shared" si="61"/>
        <v>2836.13</v>
      </c>
      <c r="O799" s="9">
        <f>_xlfn.XLOOKUP(G799,[1]!tblProductMaster[SKU],[1]!tblProductMaster[Unit Cost])</f>
        <v>2.8</v>
      </c>
      <c r="P799" s="8">
        <f t="shared" si="62"/>
        <v>1223.5999999999999</v>
      </c>
      <c r="Q799" s="8">
        <f t="shared" si="63"/>
        <v>1612.5300000000002</v>
      </c>
      <c r="R799" s="4">
        <f t="shared" si="64"/>
        <v>0.5685670261941449</v>
      </c>
      <c r="S799" t="s">
        <v>87</v>
      </c>
      <c r="T799">
        <f>Table6[[#This Row],[Discount]]*Table6[[#This Row],[List Price]]*Table6[[#This Row],[Units]]</f>
        <v>0</v>
      </c>
    </row>
    <row r="800" spans="1:20" x14ac:dyDescent="0.2">
      <c r="A800" t="s">
        <v>893</v>
      </c>
      <c r="B800" s="2">
        <v>46132.958867562367</v>
      </c>
      <c r="C800" t="s">
        <v>84</v>
      </c>
      <c r="D800" t="s">
        <v>96</v>
      </c>
      <c r="E800" t="s">
        <v>8</v>
      </c>
      <c r="F800" t="s">
        <v>18</v>
      </c>
      <c r="G800" t="s">
        <v>17</v>
      </c>
      <c r="H800" t="str">
        <f>_xlfn.XLOOKUP(Table6[[#This Row],[SKU]],tblProductMaster[SKU],tblProductMaster[Product])</f>
        <v>Anti-Dandruff Shampoo</v>
      </c>
      <c r="I800">
        <v>989</v>
      </c>
      <c r="J800">
        <f>_xlfn.XLOOKUP(G800,[1]!tblProductMaster[SKU],[1]!tblProductMaster[List Price])</f>
        <v>6.49</v>
      </c>
      <c r="K800" t="s">
        <v>89</v>
      </c>
      <c r="L800" s="3">
        <v>0.2</v>
      </c>
      <c r="M800" s="9">
        <f t="shared" si="60"/>
        <v>5.1920000000000002</v>
      </c>
      <c r="N800" s="8">
        <f t="shared" si="61"/>
        <v>5134.8879999999999</v>
      </c>
      <c r="O800" s="9">
        <f>_xlfn.XLOOKUP(G800,[1]!tblProductMaster[SKU],[1]!tblProductMaster[Unit Cost])</f>
        <v>2.8</v>
      </c>
      <c r="P800" s="8">
        <f t="shared" si="62"/>
        <v>2769.2</v>
      </c>
      <c r="Q800" s="8">
        <f t="shared" si="63"/>
        <v>2365.6880000000001</v>
      </c>
      <c r="R800" s="4">
        <f t="shared" si="64"/>
        <v>0.46070878274268107</v>
      </c>
      <c r="S800" t="s">
        <v>94</v>
      </c>
      <c r="T800">
        <f>Table6[[#This Row],[Discount]]*Table6[[#This Row],[List Price]]*Table6[[#This Row],[Units]]</f>
        <v>1283.722</v>
      </c>
    </row>
    <row r="801" spans="1:20" x14ac:dyDescent="0.2">
      <c r="A801" t="s">
        <v>894</v>
      </c>
      <c r="B801" s="2">
        <v>46130.073166757524</v>
      </c>
      <c r="C801" t="s">
        <v>98</v>
      </c>
      <c r="D801" t="s">
        <v>104</v>
      </c>
      <c r="E801" t="s">
        <v>25</v>
      </c>
      <c r="F801" t="s">
        <v>18</v>
      </c>
      <c r="G801" t="s">
        <v>37</v>
      </c>
      <c r="H801" t="str">
        <f>_xlfn.XLOOKUP(Table6[[#This Row],[SKU]],tblProductMaster[SKU],tblProductMaster[Product])</f>
        <v>Body Wash</v>
      </c>
      <c r="I801">
        <v>1012</v>
      </c>
      <c r="J801">
        <f>_xlfn.XLOOKUP(G801,[1]!tblProductMaster[SKU],[1]!tblProductMaster[List Price])</f>
        <v>5.49</v>
      </c>
      <c r="K801" t="s">
        <v>89</v>
      </c>
      <c r="L801" s="3">
        <v>0.3</v>
      </c>
      <c r="M801" s="9">
        <f t="shared" si="60"/>
        <v>3.843</v>
      </c>
      <c r="N801" s="8">
        <f t="shared" si="61"/>
        <v>3889.116</v>
      </c>
      <c r="O801" s="9">
        <f>_xlfn.XLOOKUP(G801,[1]!tblProductMaster[SKU],[1]!tblProductMaster[Unit Cost])</f>
        <v>2.2999999999999998</v>
      </c>
      <c r="P801" s="8">
        <f t="shared" si="62"/>
        <v>2327.6</v>
      </c>
      <c r="Q801" s="8">
        <f t="shared" si="63"/>
        <v>1561.5160000000001</v>
      </c>
      <c r="R801" s="4">
        <f t="shared" si="64"/>
        <v>0.40150923757481138</v>
      </c>
      <c r="S801" t="s">
        <v>94</v>
      </c>
      <c r="T801">
        <f>Table6[[#This Row],[Discount]]*Table6[[#This Row],[List Price]]*Table6[[#This Row],[Units]]</f>
        <v>1666.7640000000001</v>
      </c>
    </row>
    <row r="802" spans="1:20" x14ac:dyDescent="0.2">
      <c r="A802" t="s">
        <v>895</v>
      </c>
      <c r="B802" s="2">
        <v>46032.074381777493</v>
      </c>
      <c r="C802" t="s">
        <v>84</v>
      </c>
      <c r="D802" t="s">
        <v>104</v>
      </c>
      <c r="E802" t="s">
        <v>25</v>
      </c>
      <c r="F802" t="s">
        <v>15</v>
      </c>
      <c r="G802" t="s">
        <v>35</v>
      </c>
      <c r="H802" t="str">
        <f>_xlfn.XLOOKUP(Table6[[#This Row],[SKU]],tblProductMaster[SKU],tblProductMaster[Product])</f>
        <v>Hand Cream</v>
      </c>
      <c r="I802">
        <v>759</v>
      </c>
      <c r="J802">
        <f>_xlfn.XLOOKUP(G802,[1]!tblProductMaster[SKU],[1]!tblProductMaster[List Price])</f>
        <v>4.99</v>
      </c>
      <c r="K802" t="s">
        <v>86</v>
      </c>
      <c r="L802" s="3">
        <v>0</v>
      </c>
      <c r="M802" s="9">
        <f t="shared" si="60"/>
        <v>4.99</v>
      </c>
      <c r="N802" s="8">
        <f t="shared" si="61"/>
        <v>3787.4100000000003</v>
      </c>
      <c r="O802" s="9">
        <f>_xlfn.XLOOKUP(G802,[1]!tblProductMaster[SKU],[1]!tblProductMaster[Unit Cost])</f>
        <v>2.1</v>
      </c>
      <c r="P802" s="8">
        <f t="shared" si="62"/>
        <v>1593.9</v>
      </c>
      <c r="Q802" s="8">
        <f t="shared" si="63"/>
        <v>2193.5100000000002</v>
      </c>
      <c r="R802" s="4">
        <f t="shared" si="64"/>
        <v>0.57915831663326656</v>
      </c>
      <c r="S802" t="s">
        <v>87</v>
      </c>
      <c r="T802">
        <f>Table6[[#This Row],[Discount]]*Table6[[#This Row],[List Price]]*Table6[[#This Row],[Units]]</f>
        <v>0</v>
      </c>
    </row>
    <row r="803" spans="1:20" x14ac:dyDescent="0.2">
      <c r="A803" t="s">
        <v>896</v>
      </c>
      <c r="B803" s="2">
        <v>46264.207674821278</v>
      </c>
      <c r="C803" t="s">
        <v>84</v>
      </c>
      <c r="D803" t="s">
        <v>104</v>
      </c>
      <c r="E803" t="s">
        <v>56</v>
      </c>
      <c r="F803" t="s">
        <v>15</v>
      </c>
      <c r="G803" t="s">
        <v>62</v>
      </c>
      <c r="H803" t="str">
        <f>_xlfn.XLOOKUP(Table6[[#This Row],[SKU]],tblProductMaster[SKU],tblProductMaster[Product])</f>
        <v>Mouthwash 500ml</v>
      </c>
      <c r="I803">
        <v>385</v>
      </c>
      <c r="J803">
        <f>_xlfn.XLOOKUP(G803,[1]!tblProductMaster[SKU],[1]!tblProductMaster[List Price])</f>
        <v>5.99</v>
      </c>
      <c r="K803" t="s">
        <v>86</v>
      </c>
      <c r="L803" s="3">
        <v>0</v>
      </c>
      <c r="M803" s="9">
        <f t="shared" si="60"/>
        <v>5.99</v>
      </c>
      <c r="N803" s="8">
        <f t="shared" si="61"/>
        <v>2306.15</v>
      </c>
      <c r="O803" s="9">
        <f>_xlfn.XLOOKUP(G803,[1]!tblProductMaster[SKU],[1]!tblProductMaster[Unit Cost])</f>
        <v>2.4</v>
      </c>
      <c r="P803" s="8">
        <f t="shared" si="62"/>
        <v>924</v>
      </c>
      <c r="Q803" s="8">
        <f t="shared" si="63"/>
        <v>1382.15</v>
      </c>
      <c r="R803" s="4">
        <f t="shared" si="64"/>
        <v>0.59933222036727885</v>
      </c>
      <c r="S803" t="s">
        <v>87</v>
      </c>
      <c r="T803">
        <f>Table6[[#This Row],[Discount]]*Table6[[#This Row],[List Price]]*Table6[[#This Row],[Units]]</f>
        <v>0</v>
      </c>
    </row>
    <row r="804" spans="1:20" x14ac:dyDescent="0.2">
      <c r="A804" t="s">
        <v>897</v>
      </c>
      <c r="B804" s="2">
        <v>46276.376442458801</v>
      </c>
      <c r="C804" t="s">
        <v>93</v>
      </c>
      <c r="D804" t="s">
        <v>96</v>
      </c>
      <c r="E804" t="s">
        <v>8</v>
      </c>
      <c r="F804" t="s">
        <v>15</v>
      </c>
      <c r="G804" t="s">
        <v>22</v>
      </c>
      <c r="H804" t="str">
        <f>_xlfn.XLOOKUP(Table6[[#This Row],[SKU]],tblProductMaster[SKU],tblProductMaster[Product])</f>
        <v>Styling Gel</v>
      </c>
      <c r="I804">
        <v>568</v>
      </c>
      <c r="J804">
        <f>_xlfn.XLOOKUP(G804,[1]!tblProductMaster[SKU],[1]!tblProductMaster[List Price])</f>
        <v>4.49</v>
      </c>
      <c r="K804" t="s">
        <v>86</v>
      </c>
      <c r="L804" s="3">
        <v>0</v>
      </c>
      <c r="M804" s="9">
        <f t="shared" si="60"/>
        <v>4.49</v>
      </c>
      <c r="N804" s="8">
        <f t="shared" si="61"/>
        <v>2550.3200000000002</v>
      </c>
      <c r="O804" s="9">
        <f>_xlfn.XLOOKUP(G804,[1]!tblProductMaster[SKU],[1]!tblProductMaster[Unit Cost])</f>
        <v>1.9</v>
      </c>
      <c r="P804" s="8">
        <f t="shared" si="62"/>
        <v>1079.2</v>
      </c>
      <c r="Q804" s="8">
        <f t="shared" si="63"/>
        <v>1471.1200000000001</v>
      </c>
      <c r="R804" s="4">
        <f t="shared" si="64"/>
        <v>0.57683741648106901</v>
      </c>
      <c r="S804" t="s">
        <v>87</v>
      </c>
      <c r="T804">
        <f>Table6[[#This Row],[Discount]]*Table6[[#This Row],[List Price]]*Table6[[#This Row],[Units]]</f>
        <v>0</v>
      </c>
    </row>
    <row r="805" spans="1:20" x14ac:dyDescent="0.2">
      <c r="A805" t="s">
        <v>898</v>
      </c>
      <c r="B805" s="2">
        <v>46356.029077640909</v>
      </c>
      <c r="C805" t="s">
        <v>98</v>
      </c>
      <c r="D805" t="s">
        <v>96</v>
      </c>
      <c r="E805" t="s">
        <v>25</v>
      </c>
      <c r="F805" t="s">
        <v>15</v>
      </c>
      <c r="G805" t="s">
        <v>35</v>
      </c>
      <c r="H805" t="str">
        <f>_xlfn.XLOOKUP(Table6[[#This Row],[SKU]],tblProductMaster[SKU],tblProductMaster[Product])</f>
        <v>Hand Cream</v>
      </c>
      <c r="I805">
        <v>702</v>
      </c>
      <c r="J805">
        <f>_xlfn.XLOOKUP(G805,[1]!tblProductMaster[SKU],[1]!tblProductMaster[List Price])</f>
        <v>4.99</v>
      </c>
      <c r="K805" t="s">
        <v>86</v>
      </c>
      <c r="L805" s="3">
        <v>0</v>
      </c>
      <c r="M805" s="9">
        <f t="shared" si="60"/>
        <v>4.99</v>
      </c>
      <c r="N805" s="8">
        <f t="shared" si="61"/>
        <v>3502.98</v>
      </c>
      <c r="O805" s="9">
        <f>_xlfn.XLOOKUP(G805,[1]!tblProductMaster[SKU],[1]!tblProductMaster[Unit Cost])</f>
        <v>2.1</v>
      </c>
      <c r="P805" s="8">
        <f t="shared" si="62"/>
        <v>1474.2</v>
      </c>
      <c r="Q805" s="8">
        <f t="shared" si="63"/>
        <v>2028.78</v>
      </c>
      <c r="R805" s="4">
        <f t="shared" si="64"/>
        <v>0.57915831663326656</v>
      </c>
      <c r="S805" t="s">
        <v>87</v>
      </c>
      <c r="T805">
        <f>Table6[[#This Row],[Discount]]*Table6[[#This Row],[List Price]]*Table6[[#This Row],[Units]]</f>
        <v>0</v>
      </c>
    </row>
    <row r="806" spans="1:20" x14ac:dyDescent="0.2">
      <c r="A806" t="s">
        <v>899</v>
      </c>
      <c r="B806" s="2">
        <v>46049.100095702248</v>
      </c>
      <c r="C806" t="s">
        <v>93</v>
      </c>
      <c r="D806" t="s">
        <v>96</v>
      </c>
      <c r="E806" t="s">
        <v>25</v>
      </c>
      <c r="F806" t="s">
        <v>7</v>
      </c>
      <c r="G806" t="s">
        <v>31</v>
      </c>
      <c r="H806" t="str">
        <f>_xlfn.XLOOKUP(Table6[[#This Row],[SKU]],tblProductMaster[SKU],tblProductMaster[Product])</f>
        <v>Facial Cleanser</v>
      </c>
      <c r="I806">
        <v>599</v>
      </c>
      <c r="J806">
        <f>_xlfn.XLOOKUP(G806,[1]!tblProductMaster[SKU],[1]!tblProductMaster[List Price])</f>
        <v>8.49</v>
      </c>
      <c r="K806" t="s">
        <v>89</v>
      </c>
      <c r="L806" s="3">
        <v>0.2</v>
      </c>
      <c r="M806" s="9">
        <f t="shared" si="60"/>
        <v>6.7920000000000007</v>
      </c>
      <c r="N806" s="8">
        <f t="shared" si="61"/>
        <v>4068.4080000000004</v>
      </c>
      <c r="O806" s="9">
        <f>_xlfn.XLOOKUP(G806,[1]!tblProductMaster[SKU],[1]!tblProductMaster[Unit Cost])</f>
        <v>3.5</v>
      </c>
      <c r="P806" s="8">
        <f t="shared" si="62"/>
        <v>2096.5</v>
      </c>
      <c r="Q806" s="8">
        <f t="shared" si="63"/>
        <v>1971.9080000000004</v>
      </c>
      <c r="R806" s="4">
        <f t="shared" si="64"/>
        <v>0.48468786808009429</v>
      </c>
      <c r="S806" t="s">
        <v>99</v>
      </c>
      <c r="T806">
        <f>Table6[[#This Row],[Discount]]*Table6[[#This Row],[List Price]]*Table6[[#This Row],[Units]]</f>
        <v>1017.1020000000001</v>
      </c>
    </row>
    <row r="807" spans="1:20" x14ac:dyDescent="0.2">
      <c r="A807" t="s">
        <v>900</v>
      </c>
      <c r="B807" s="2">
        <v>46385.684716450756</v>
      </c>
      <c r="C807" t="s">
        <v>98</v>
      </c>
      <c r="D807" t="s">
        <v>96</v>
      </c>
      <c r="E807" t="s">
        <v>56</v>
      </c>
      <c r="F807" t="s">
        <v>15</v>
      </c>
      <c r="G807" t="s">
        <v>55</v>
      </c>
      <c r="H807" t="str">
        <f>_xlfn.XLOOKUP(Table6[[#This Row],[SKU]],tblProductMaster[SKU],tblProductMaster[Product])</f>
        <v>Toothpaste 75ml</v>
      </c>
      <c r="I807">
        <v>492</v>
      </c>
      <c r="J807">
        <f>_xlfn.XLOOKUP(G807,[1]!tblProductMaster[SKU],[1]!tblProductMaster[List Price])</f>
        <v>3.49</v>
      </c>
      <c r="K807" t="s">
        <v>86</v>
      </c>
      <c r="L807" s="3">
        <v>0</v>
      </c>
      <c r="M807" s="9">
        <f t="shared" si="60"/>
        <v>3.49</v>
      </c>
      <c r="N807" s="8">
        <f t="shared" si="61"/>
        <v>1717.0800000000002</v>
      </c>
      <c r="O807" s="9">
        <f>_xlfn.XLOOKUP(G807,[1]!tblProductMaster[SKU],[1]!tblProductMaster[Unit Cost])</f>
        <v>1.2</v>
      </c>
      <c r="P807" s="8">
        <f t="shared" si="62"/>
        <v>590.4</v>
      </c>
      <c r="Q807" s="8">
        <f t="shared" si="63"/>
        <v>1126.6800000000003</v>
      </c>
      <c r="R807" s="4">
        <f t="shared" si="64"/>
        <v>0.6561604584527222</v>
      </c>
      <c r="S807" t="s">
        <v>87</v>
      </c>
      <c r="T807">
        <f>Table6[[#This Row],[Discount]]*Table6[[#This Row],[List Price]]*Table6[[#This Row],[Units]]</f>
        <v>0</v>
      </c>
    </row>
    <row r="808" spans="1:20" x14ac:dyDescent="0.2">
      <c r="A808" t="s">
        <v>901</v>
      </c>
      <c r="B808" s="2">
        <v>46116.437779263157</v>
      </c>
      <c r="C808" t="s">
        <v>93</v>
      </c>
      <c r="D808" t="s">
        <v>96</v>
      </c>
      <c r="E808" t="s">
        <v>40</v>
      </c>
      <c r="F808" t="s">
        <v>18</v>
      </c>
      <c r="G808" t="s">
        <v>42</v>
      </c>
      <c r="H808" t="str">
        <f>_xlfn.XLOOKUP(Table6[[#This Row],[SKU]],tblProductMaster[SKU],tblProductMaster[Product])</f>
        <v>Detergent Capsules</v>
      </c>
      <c r="I808">
        <v>725</v>
      </c>
      <c r="J808">
        <f>_xlfn.XLOOKUP(G808,[1]!tblProductMaster[SKU],[1]!tblProductMaster[List Price])</f>
        <v>11.99</v>
      </c>
      <c r="K808" t="s">
        <v>86</v>
      </c>
      <c r="L808" s="3">
        <v>0</v>
      </c>
      <c r="M808" s="9">
        <f t="shared" si="60"/>
        <v>11.99</v>
      </c>
      <c r="N808" s="8">
        <f t="shared" si="61"/>
        <v>8692.75</v>
      </c>
      <c r="O808" s="9">
        <f>_xlfn.XLOOKUP(G808,[1]!tblProductMaster[SKU],[1]!tblProductMaster[Unit Cost])</f>
        <v>5.2</v>
      </c>
      <c r="P808" s="8">
        <f t="shared" si="62"/>
        <v>3770</v>
      </c>
      <c r="Q808" s="8">
        <f t="shared" si="63"/>
        <v>4922.75</v>
      </c>
      <c r="R808" s="4">
        <f t="shared" si="64"/>
        <v>0.56630525437864887</v>
      </c>
      <c r="S808" t="s">
        <v>87</v>
      </c>
      <c r="T808">
        <f>Table6[[#This Row],[Discount]]*Table6[[#This Row],[List Price]]*Table6[[#This Row],[Units]]</f>
        <v>0</v>
      </c>
    </row>
    <row r="809" spans="1:20" x14ac:dyDescent="0.2">
      <c r="A809" t="s">
        <v>902</v>
      </c>
      <c r="B809" s="2">
        <v>46186.454867338856</v>
      </c>
      <c r="C809" t="s">
        <v>98</v>
      </c>
      <c r="D809" t="s">
        <v>104</v>
      </c>
      <c r="E809" t="s">
        <v>25</v>
      </c>
      <c r="F809" t="s">
        <v>15</v>
      </c>
      <c r="G809" t="s">
        <v>35</v>
      </c>
      <c r="H809" t="str">
        <f>_xlfn.XLOOKUP(Table6[[#This Row],[SKU]],tblProductMaster[SKU],tblProductMaster[Product])</f>
        <v>Hand Cream</v>
      </c>
      <c r="I809">
        <v>312</v>
      </c>
      <c r="J809">
        <f>_xlfn.XLOOKUP(G809,[1]!tblProductMaster[SKU],[1]!tblProductMaster[List Price])</f>
        <v>4.99</v>
      </c>
      <c r="K809" t="s">
        <v>86</v>
      </c>
      <c r="L809" s="3">
        <v>0</v>
      </c>
      <c r="M809" s="9">
        <f t="shared" si="60"/>
        <v>4.99</v>
      </c>
      <c r="N809" s="8">
        <f t="shared" si="61"/>
        <v>1556.88</v>
      </c>
      <c r="O809" s="9">
        <f>_xlfn.XLOOKUP(G809,[1]!tblProductMaster[SKU],[1]!tblProductMaster[Unit Cost])</f>
        <v>2.1</v>
      </c>
      <c r="P809" s="8">
        <f t="shared" si="62"/>
        <v>655.20000000000005</v>
      </c>
      <c r="Q809" s="8">
        <f t="shared" si="63"/>
        <v>901.68000000000006</v>
      </c>
      <c r="R809" s="4">
        <f t="shared" si="64"/>
        <v>0.57915831663326656</v>
      </c>
      <c r="S809" t="s">
        <v>87</v>
      </c>
      <c r="T809">
        <f>Table6[[#This Row],[Discount]]*Table6[[#This Row],[List Price]]*Table6[[#This Row],[Units]]</f>
        <v>0</v>
      </c>
    </row>
    <row r="810" spans="1:20" x14ac:dyDescent="0.2">
      <c r="A810" t="s">
        <v>903</v>
      </c>
      <c r="B810" s="2">
        <v>46173.253223141306</v>
      </c>
      <c r="C810" t="s">
        <v>84</v>
      </c>
      <c r="D810" t="s">
        <v>85</v>
      </c>
      <c r="E810" t="s">
        <v>8</v>
      </c>
      <c r="F810" t="s">
        <v>18</v>
      </c>
      <c r="G810" t="s">
        <v>20</v>
      </c>
      <c r="H810" t="str">
        <f>_xlfn.XLOOKUP(Table6[[#This Row],[SKU]],tblProductMaster[SKU],tblProductMaster[Product])</f>
        <v>Hair Oil</v>
      </c>
      <c r="I810">
        <v>618</v>
      </c>
      <c r="J810">
        <f>_xlfn.XLOOKUP(G810,[1]!tblProductMaster[SKU],[1]!tblProductMaster[List Price])</f>
        <v>7.49</v>
      </c>
      <c r="K810" t="s">
        <v>86</v>
      </c>
      <c r="L810" s="3">
        <v>0</v>
      </c>
      <c r="M810" s="9">
        <f t="shared" si="60"/>
        <v>7.49</v>
      </c>
      <c r="N810" s="8">
        <f t="shared" si="61"/>
        <v>4628.82</v>
      </c>
      <c r="O810" s="9">
        <f>_xlfn.XLOOKUP(G810,[1]!tblProductMaster[SKU],[1]!tblProductMaster[Unit Cost])</f>
        <v>3.1</v>
      </c>
      <c r="P810" s="8">
        <f t="shared" si="62"/>
        <v>1915.8</v>
      </c>
      <c r="Q810" s="8">
        <f t="shared" si="63"/>
        <v>2713.0199999999995</v>
      </c>
      <c r="R810" s="4">
        <f t="shared" si="64"/>
        <v>0.5861148197596795</v>
      </c>
      <c r="S810" t="s">
        <v>87</v>
      </c>
      <c r="T810">
        <f>Table6[[#This Row],[Discount]]*Table6[[#This Row],[List Price]]*Table6[[#This Row],[Units]]</f>
        <v>0</v>
      </c>
    </row>
    <row r="811" spans="1:20" x14ac:dyDescent="0.2">
      <c r="A811" t="s">
        <v>904</v>
      </c>
      <c r="B811" s="2">
        <v>46186.526717208959</v>
      </c>
      <c r="C811" t="s">
        <v>98</v>
      </c>
      <c r="D811" t="s">
        <v>104</v>
      </c>
      <c r="E811" t="s">
        <v>25</v>
      </c>
      <c r="F811" t="s">
        <v>18</v>
      </c>
      <c r="G811" t="s">
        <v>37</v>
      </c>
      <c r="H811" t="str">
        <f>_xlfn.XLOOKUP(Table6[[#This Row],[SKU]],tblProductMaster[SKU],tblProductMaster[Product])</f>
        <v>Body Wash</v>
      </c>
      <c r="I811">
        <v>338</v>
      </c>
      <c r="J811">
        <f>_xlfn.XLOOKUP(G811,[1]!tblProductMaster[SKU],[1]!tblProductMaster[List Price])</f>
        <v>5.49</v>
      </c>
      <c r="K811" t="s">
        <v>86</v>
      </c>
      <c r="L811" s="3">
        <v>0</v>
      </c>
      <c r="M811" s="9">
        <f t="shared" si="60"/>
        <v>5.49</v>
      </c>
      <c r="N811" s="8">
        <f t="shared" si="61"/>
        <v>1855.6200000000001</v>
      </c>
      <c r="O811" s="9">
        <f>_xlfn.XLOOKUP(G811,[1]!tblProductMaster[SKU],[1]!tblProductMaster[Unit Cost])</f>
        <v>2.2999999999999998</v>
      </c>
      <c r="P811" s="8">
        <f t="shared" si="62"/>
        <v>777.4</v>
      </c>
      <c r="Q811" s="8">
        <f t="shared" si="63"/>
        <v>1078.2200000000003</v>
      </c>
      <c r="R811" s="4">
        <f t="shared" si="64"/>
        <v>0.58105646630236807</v>
      </c>
      <c r="S811" t="s">
        <v>87</v>
      </c>
      <c r="T811">
        <f>Table6[[#This Row],[Discount]]*Table6[[#This Row],[List Price]]*Table6[[#This Row],[Units]]</f>
        <v>0</v>
      </c>
    </row>
    <row r="812" spans="1:20" x14ac:dyDescent="0.2">
      <c r="A812" t="s">
        <v>905</v>
      </c>
      <c r="B812" s="2">
        <v>46292.458821523709</v>
      </c>
      <c r="C812" t="s">
        <v>98</v>
      </c>
      <c r="D812" t="s">
        <v>104</v>
      </c>
      <c r="E812" t="s">
        <v>8</v>
      </c>
      <c r="F812" t="s">
        <v>7</v>
      </c>
      <c r="G812" t="s">
        <v>6</v>
      </c>
      <c r="H812" t="str">
        <f>_xlfn.XLOOKUP(Table6[[#This Row],[SKU]],tblProductMaster[SKU],tblProductMaster[Product])</f>
        <v>Shampoo 250ml</v>
      </c>
      <c r="I812">
        <v>224</v>
      </c>
      <c r="J812">
        <f>_xlfn.XLOOKUP(G812,[1]!tblProductMaster[SKU],[1]!tblProductMaster[List Price])</f>
        <v>5.99</v>
      </c>
      <c r="K812" t="s">
        <v>86</v>
      </c>
      <c r="L812" s="3">
        <v>0</v>
      </c>
      <c r="M812" s="9">
        <f t="shared" si="60"/>
        <v>5.99</v>
      </c>
      <c r="N812" s="8">
        <f t="shared" si="61"/>
        <v>1341.76</v>
      </c>
      <c r="O812" s="9">
        <f>_xlfn.XLOOKUP(G812,[1]!tblProductMaster[SKU],[1]!tblProductMaster[Unit Cost])</f>
        <v>2.4</v>
      </c>
      <c r="P812" s="8">
        <f t="shared" si="62"/>
        <v>537.6</v>
      </c>
      <c r="Q812" s="8">
        <f t="shared" si="63"/>
        <v>804.16</v>
      </c>
      <c r="R812" s="4">
        <f t="shared" si="64"/>
        <v>0.59933222036727873</v>
      </c>
      <c r="S812" t="s">
        <v>87</v>
      </c>
      <c r="T812">
        <f>Table6[[#This Row],[Discount]]*Table6[[#This Row],[List Price]]*Table6[[#This Row],[Units]]</f>
        <v>0</v>
      </c>
    </row>
    <row r="813" spans="1:20" x14ac:dyDescent="0.2">
      <c r="A813" t="s">
        <v>906</v>
      </c>
      <c r="B813" s="2">
        <v>46269.976927478376</v>
      </c>
      <c r="C813" t="s">
        <v>93</v>
      </c>
      <c r="D813" t="s">
        <v>104</v>
      </c>
      <c r="E813" t="s">
        <v>56</v>
      </c>
      <c r="F813" t="s">
        <v>18</v>
      </c>
      <c r="G813" t="s">
        <v>60</v>
      </c>
      <c r="H813" t="str">
        <f>_xlfn.XLOOKUP(Table6[[#This Row],[SKU]],tblProductMaster[SKU],tblProductMaster[Product])</f>
        <v>Sensitive Toothpaste</v>
      </c>
      <c r="I813">
        <v>395</v>
      </c>
      <c r="J813">
        <f>_xlfn.XLOOKUP(G813,[1]!tblProductMaster[SKU],[1]!tblProductMaster[List Price])</f>
        <v>4.49</v>
      </c>
      <c r="K813" t="s">
        <v>86</v>
      </c>
      <c r="L813" s="3">
        <v>0</v>
      </c>
      <c r="M813" s="9">
        <f t="shared" si="60"/>
        <v>4.49</v>
      </c>
      <c r="N813" s="8">
        <f t="shared" si="61"/>
        <v>1773.5500000000002</v>
      </c>
      <c r="O813" s="9">
        <f>_xlfn.XLOOKUP(G813,[1]!tblProductMaster[SKU],[1]!tblProductMaster[Unit Cost])</f>
        <v>1.7</v>
      </c>
      <c r="P813" s="8">
        <f t="shared" si="62"/>
        <v>671.5</v>
      </c>
      <c r="Q813" s="8">
        <f t="shared" si="63"/>
        <v>1102.0500000000002</v>
      </c>
      <c r="R813" s="4">
        <f t="shared" si="64"/>
        <v>0.6213808463251671</v>
      </c>
      <c r="S813" t="s">
        <v>87</v>
      </c>
      <c r="T813">
        <f>Table6[[#This Row],[Discount]]*Table6[[#This Row],[List Price]]*Table6[[#This Row],[Units]]</f>
        <v>0</v>
      </c>
    </row>
    <row r="814" spans="1:20" x14ac:dyDescent="0.2">
      <c r="A814" t="s">
        <v>907</v>
      </c>
      <c r="B814" s="2">
        <v>46375.201974908581</v>
      </c>
      <c r="C814" t="s">
        <v>84</v>
      </c>
      <c r="D814" t="s">
        <v>85</v>
      </c>
      <c r="E814" t="s">
        <v>56</v>
      </c>
      <c r="F814" t="s">
        <v>7</v>
      </c>
      <c r="G814" t="s">
        <v>66</v>
      </c>
      <c r="H814" t="str">
        <f>_xlfn.XLOOKUP(Table6[[#This Row],[SKU]],tblProductMaster[SKU],tblProductMaster[Product])</f>
        <v>Electric Brush Heads</v>
      </c>
      <c r="I814">
        <v>530</v>
      </c>
      <c r="J814">
        <f>_xlfn.XLOOKUP(G814,[1]!tblProductMaster[SKU],[1]!tblProductMaster[List Price])</f>
        <v>12.99</v>
      </c>
      <c r="K814" t="s">
        <v>86</v>
      </c>
      <c r="L814" s="3">
        <v>0</v>
      </c>
      <c r="M814" s="9">
        <f t="shared" si="60"/>
        <v>12.99</v>
      </c>
      <c r="N814" s="8">
        <f t="shared" si="61"/>
        <v>6884.7</v>
      </c>
      <c r="O814" s="9">
        <f>_xlfn.XLOOKUP(G814,[1]!tblProductMaster[SKU],[1]!tblProductMaster[Unit Cost])</f>
        <v>5.2</v>
      </c>
      <c r="P814" s="8">
        <f t="shared" si="62"/>
        <v>2756</v>
      </c>
      <c r="Q814" s="8">
        <f t="shared" si="63"/>
        <v>4128.7</v>
      </c>
      <c r="R814" s="4">
        <f t="shared" si="64"/>
        <v>0.59969207082371057</v>
      </c>
      <c r="S814" t="s">
        <v>87</v>
      </c>
      <c r="T814">
        <f>Table6[[#This Row],[Discount]]*Table6[[#This Row],[List Price]]*Table6[[#This Row],[Units]]</f>
        <v>0</v>
      </c>
    </row>
    <row r="815" spans="1:20" x14ac:dyDescent="0.2">
      <c r="A815" t="s">
        <v>908</v>
      </c>
      <c r="B815" s="2">
        <v>46059.140523237096</v>
      </c>
      <c r="C815" t="s">
        <v>93</v>
      </c>
      <c r="D815" t="s">
        <v>85</v>
      </c>
      <c r="E815" t="s">
        <v>8</v>
      </c>
      <c r="F815" t="s">
        <v>7</v>
      </c>
      <c r="G815" t="s">
        <v>6</v>
      </c>
      <c r="H815" t="str">
        <f>_xlfn.XLOOKUP(Table6[[#This Row],[SKU]],tblProductMaster[SKU],tblProductMaster[Product])</f>
        <v>Shampoo 250ml</v>
      </c>
      <c r="I815">
        <v>249</v>
      </c>
      <c r="J815">
        <f>_xlfn.XLOOKUP(G815,[1]!tblProductMaster[SKU],[1]!tblProductMaster[List Price])</f>
        <v>5.99</v>
      </c>
      <c r="K815" t="s">
        <v>86</v>
      </c>
      <c r="L815" s="3">
        <v>0</v>
      </c>
      <c r="M815" s="9">
        <f t="shared" si="60"/>
        <v>5.99</v>
      </c>
      <c r="N815" s="8">
        <f t="shared" si="61"/>
        <v>1491.51</v>
      </c>
      <c r="O815" s="9">
        <f>_xlfn.XLOOKUP(G815,[1]!tblProductMaster[SKU],[1]!tblProductMaster[Unit Cost])</f>
        <v>2.4</v>
      </c>
      <c r="P815" s="8">
        <f t="shared" si="62"/>
        <v>597.6</v>
      </c>
      <c r="Q815" s="8">
        <f t="shared" si="63"/>
        <v>893.91</v>
      </c>
      <c r="R815" s="4">
        <f t="shared" si="64"/>
        <v>0.59933222036727873</v>
      </c>
      <c r="S815" t="s">
        <v>87</v>
      </c>
      <c r="T815">
        <f>Table6[[#This Row],[Discount]]*Table6[[#This Row],[List Price]]*Table6[[#This Row],[Units]]</f>
        <v>0</v>
      </c>
    </row>
    <row r="816" spans="1:20" x14ac:dyDescent="0.2">
      <c r="A816" t="s">
        <v>909</v>
      </c>
      <c r="B816" s="2">
        <v>46055.650333366233</v>
      </c>
      <c r="C816" t="s">
        <v>84</v>
      </c>
      <c r="D816" t="s">
        <v>96</v>
      </c>
      <c r="E816" t="s">
        <v>56</v>
      </c>
      <c r="F816" t="s">
        <v>18</v>
      </c>
      <c r="G816" t="s">
        <v>68</v>
      </c>
      <c r="H816" t="str">
        <f>_xlfn.XLOOKUP(Table6[[#This Row],[SKU]],tblProductMaster[SKU],tblProductMaster[Product])</f>
        <v>Kids Toothpaste</v>
      </c>
      <c r="I816">
        <v>511</v>
      </c>
      <c r="J816">
        <f>_xlfn.XLOOKUP(G816,[1]!tblProductMaster[SKU],[1]!tblProductMaster[List Price])</f>
        <v>3.29</v>
      </c>
      <c r="K816" t="s">
        <v>86</v>
      </c>
      <c r="L816" s="3">
        <v>0</v>
      </c>
      <c r="M816" s="9">
        <f t="shared" si="60"/>
        <v>3.29</v>
      </c>
      <c r="N816" s="8">
        <f t="shared" si="61"/>
        <v>1681.19</v>
      </c>
      <c r="O816" s="9">
        <f>_xlfn.XLOOKUP(G816,[1]!tblProductMaster[SKU],[1]!tblProductMaster[Unit Cost])</f>
        <v>1.1000000000000001</v>
      </c>
      <c r="P816" s="8">
        <f t="shared" si="62"/>
        <v>562.1</v>
      </c>
      <c r="Q816" s="8">
        <f t="shared" si="63"/>
        <v>1119.0900000000001</v>
      </c>
      <c r="R816" s="4">
        <f t="shared" si="64"/>
        <v>0.6656534954407296</v>
      </c>
      <c r="S816" t="s">
        <v>87</v>
      </c>
      <c r="T816">
        <f>Table6[[#This Row],[Discount]]*Table6[[#This Row],[List Price]]*Table6[[#This Row],[Units]]</f>
        <v>0</v>
      </c>
    </row>
    <row r="817" spans="1:20" x14ac:dyDescent="0.2">
      <c r="A817" t="s">
        <v>910</v>
      </c>
      <c r="B817" s="2">
        <v>46057.429534387506</v>
      </c>
      <c r="C817" t="s">
        <v>93</v>
      </c>
      <c r="D817" t="s">
        <v>96</v>
      </c>
      <c r="E817" t="s">
        <v>40</v>
      </c>
      <c r="F817" t="s">
        <v>15</v>
      </c>
      <c r="G817" t="s">
        <v>46</v>
      </c>
      <c r="H817" t="str">
        <f>_xlfn.XLOOKUP(Table6[[#This Row],[SKU]],tblProductMaster[SKU],tblProductMaster[Product])</f>
        <v>Stain Remover</v>
      </c>
      <c r="I817">
        <v>519</v>
      </c>
      <c r="J817">
        <f>_xlfn.XLOOKUP(G817,[1]!tblProductMaster[SKU],[1]!tblProductMaster[List Price])</f>
        <v>5.99</v>
      </c>
      <c r="K817" t="s">
        <v>89</v>
      </c>
      <c r="L817" s="3">
        <v>0.2</v>
      </c>
      <c r="M817" s="9">
        <f t="shared" si="60"/>
        <v>4.7920000000000007</v>
      </c>
      <c r="N817" s="8">
        <f t="shared" si="61"/>
        <v>2487.0480000000002</v>
      </c>
      <c r="O817" s="9">
        <f>_xlfn.XLOOKUP(G817,[1]!tblProductMaster[SKU],[1]!tblProductMaster[Unit Cost])</f>
        <v>2.5</v>
      </c>
      <c r="P817" s="8">
        <f t="shared" si="62"/>
        <v>1297.5</v>
      </c>
      <c r="Q817" s="8">
        <f t="shared" si="63"/>
        <v>1189.5480000000002</v>
      </c>
      <c r="R817" s="4">
        <f t="shared" si="64"/>
        <v>0.47829716193656097</v>
      </c>
      <c r="S817" t="s">
        <v>90</v>
      </c>
      <c r="T817">
        <f>Table6[[#This Row],[Discount]]*Table6[[#This Row],[List Price]]*Table6[[#This Row],[Units]]</f>
        <v>621.76200000000006</v>
      </c>
    </row>
    <row r="818" spans="1:20" x14ac:dyDescent="0.2">
      <c r="A818" t="s">
        <v>911</v>
      </c>
      <c r="B818" s="2">
        <v>46217.418628069223</v>
      </c>
      <c r="C818" t="s">
        <v>98</v>
      </c>
      <c r="D818" t="s">
        <v>96</v>
      </c>
      <c r="E818" t="s">
        <v>40</v>
      </c>
      <c r="F818" t="s">
        <v>18</v>
      </c>
      <c r="G818" t="s">
        <v>50</v>
      </c>
      <c r="H818" t="str">
        <f>_xlfn.XLOOKUP(Table6[[#This Row],[SKU]],tblProductMaster[SKU],tblProductMaster[Product])</f>
        <v>Sensitive Detergent</v>
      </c>
      <c r="I818">
        <v>406</v>
      </c>
      <c r="J818">
        <f>_xlfn.XLOOKUP(G818,[1]!tblProductMaster[SKU],[1]!tblProductMaster[List Price])</f>
        <v>8.99</v>
      </c>
      <c r="K818" t="s">
        <v>89</v>
      </c>
      <c r="L818" s="3">
        <v>0.1</v>
      </c>
      <c r="M818" s="9">
        <f t="shared" si="60"/>
        <v>8.0910000000000011</v>
      </c>
      <c r="N818" s="8">
        <f t="shared" si="61"/>
        <v>3284.9460000000004</v>
      </c>
      <c r="O818" s="9">
        <f>_xlfn.XLOOKUP(G818,[1]!tblProductMaster[SKU],[1]!tblProductMaster[Unit Cost])</f>
        <v>4</v>
      </c>
      <c r="P818" s="8">
        <f t="shared" si="62"/>
        <v>1624</v>
      </c>
      <c r="Q818" s="8">
        <f t="shared" si="63"/>
        <v>1660.9460000000004</v>
      </c>
      <c r="R818" s="4">
        <f t="shared" si="64"/>
        <v>0.50562353231986168</v>
      </c>
      <c r="S818" t="s">
        <v>99</v>
      </c>
      <c r="T818">
        <f>Table6[[#This Row],[Discount]]*Table6[[#This Row],[List Price]]*Table6[[#This Row],[Units]]</f>
        <v>364.99400000000003</v>
      </c>
    </row>
    <row r="819" spans="1:20" x14ac:dyDescent="0.2">
      <c r="A819" t="s">
        <v>912</v>
      </c>
      <c r="B819" s="2">
        <v>46085.442829528518</v>
      </c>
      <c r="C819" t="s">
        <v>84</v>
      </c>
      <c r="D819" t="s">
        <v>96</v>
      </c>
      <c r="E819" t="s">
        <v>8</v>
      </c>
      <c r="F819" t="s">
        <v>18</v>
      </c>
      <c r="G819" t="s">
        <v>17</v>
      </c>
      <c r="H819" t="str">
        <f>_xlfn.XLOOKUP(Table6[[#This Row],[SKU]],tblProductMaster[SKU],tblProductMaster[Product])</f>
        <v>Anti-Dandruff Shampoo</v>
      </c>
      <c r="I819">
        <v>675</v>
      </c>
      <c r="J819">
        <f>_xlfn.XLOOKUP(G819,[1]!tblProductMaster[SKU],[1]!tblProductMaster[List Price])</f>
        <v>6.49</v>
      </c>
      <c r="K819" t="s">
        <v>89</v>
      </c>
      <c r="L819" s="3">
        <v>0.1</v>
      </c>
      <c r="M819" s="9">
        <f t="shared" si="60"/>
        <v>5.8410000000000002</v>
      </c>
      <c r="N819" s="8">
        <f t="shared" si="61"/>
        <v>3942.6750000000002</v>
      </c>
      <c r="O819" s="9">
        <f>_xlfn.XLOOKUP(G819,[1]!tblProductMaster[SKU],[1]!tblProductMaster[Unit Cost])</f>
        <v>2.8</v>
      </c>
      <c r="P819" s="8">
        <f t="shared" si="62"/>
        <v>1889.9999999999998</v>
      </c>
      <c r="Q819" s="8">
        <f t="shared" si="63"/>
        <v>2052.6750000000002</v>
      </c>
      <c r="R819" s="4">
        <f t="shared" si="64"/>
        <v>0.52063002910460543</v>
      </c>
      <c r="S819" t="s">
        <v>99</v>
      </c>
      <c r="T819">
        <f>Table6[[#This Row],[Discount]]*Table6[[#This Row],[List Price]]*Table6[[#This Row],[Units]]</f>
        <v>438.07499999999999</v>
      </c>
    </row>
    <row r="820" spans="1:20" x14ac:dyDescent="0.2">
      <c r="A820" t="s">
        <v>913</v>
      </c>
      <c r="B820" s="2">
        <v>46250.39018647145</v>
      </c>
      <c r="C820" t="s">
        <v>98</v>
      </c>
      <c r="D820" t="s">
        <v>104</v>
      </c>
      <c r="E820" t="s">
        <v>8</v>
      </c>
      <c r="F820" t="s">
        <v>15</v>
      </c>
      <c r="G820" t="s">
        <v>14</v>
      </c>
      <c r="H820" t="str">
        <f>_xlfn.XLOOKUP(Table6[[#This Row],[SKU]],tblProductMaster[SKU],tblProductMaster[Product])</f>
        <v>Shampoo 250ml</v>
      </c>
      <c r="I820">
        <v>644</v>
      </c>
      <c r="J820">
        <f>_xlfn.XLOOKUP(G820,[1]!tblProductMaster[SKU],[1]!tblProductMaster[List Price])</f>
        <v>4.99</v>
      </c>
      <c r="K820" t="s">
        <v>86</v>
      </c>
      <c r="L820" s="3">
        <v>0</v>
      </c>
      <c r="M820" s="9">
        <f t="shared" si="60"/>
        <v>4.99</v>
      </c>
      <c r="N820" s="8">
        <f t="shared" si="61"/>
        <v>3213.56</v>
      </c>
      <c r="O820" s="9">
        <f>_xlfn.XLOOKUP(G820,[1]!tblProductMaster[SKU],[1]!tblProductMaster[Unit Cost])</f>
        <v>2.1</v>
      </c>
      <c r="P820" s="8">
        <f t="shared" si="62"/>
        <v>1352.4</v>
      </c>
      <c r="Q820" s="8">
        <f t="shared" si="63"/>
        <v>1861.1599999999999</v>
      </c>
      <c r="R820" s="4">
        <f t="shared" si="64"/>
        <v>0.57915831663326645</v>
      </c>
      <c r="S820" t="s">
        <v>87</v>
      </c>
      <c r="T820">
        <f>Table6[[#This Row],[Discount]]*Table6[[#This Row],[List Price]]*Table6[[#This Row],[Units]]</f>
        <v>0</v>
      </c>
    </row>
    <row r="821" spans="1:20" x14ac:dyDescent="0.2">
      <c r="A821" t="s">
        <v>914</v>
      </c>
      <c r="B821" s="2">
        <v>46049.418153665967</v>
      </c>
      <c r="C821" t="s">
        <v>98</v>
      </c>
      <c r="D821" t="s">
        <v>96</v>
      </c>
      <c r="E821" t="s">
        <v>8</v>
      </c>
      <c r="F821" t="s">
        <v>15</v>
      </c>
      <c r="G821" t="s">
        <v>14</v>
      </c>
      <c r="H821" t="str">
        <f>_xlfn.XLOOKUP(Table6[[#This Row],[SKU]],tblProductMaster[SKU],tblProductMaster[Product])</f>
        <v>Shampoo 250ml</v>
      </c>
      <c r="I821">
        <v>721</v>
      </c>
      <c r="J821">
        <f>_xlfn.XLOOKUP(G821,[1]!tblProductMaster[SKU],[1]!tblProductMaster[List Price])</f>
        <v>4.99</v>
      </c>
      <c r="K821" t="s">
        <v>89</v>
      </c>
      <c r="L821" s="3">
        <v>0.3</v>
      </c>
      <c r="M821" s="9">
        <f t="shared" si="60"/>
        <v>3.4929999999999999</v>
      </c>
      <c r="N821" s="8">
        <f t="shared" si="61"/>
        <v>2518.453</v>
      </c>
      <c r="O821" s="9">
        <f>_xlfn.XLOOKUP(G821,[1]!tblProductMaster[SKU],[1]!tblProductMaster[Unit Cost])</f>
        <v>2.1</v>
      </c>
      <c r="P821" s="8">
        <f t="shared" si="62"/>
        <v>1514.1000000000001</v>
      </c>
      <c r="Q821" s="8">
        <f t="shared" si="63"/>
        <v>1004.3529999999998</v>
      </c>
      <c r="R821" s="4">
        <f t="shared" si="64"/>
        <v>0.39879759519038072</v>
      </c>
      <c r="S821" t="s">
        <v>94</v>
      </c>
      <c r="T821">
        <f>Table6[[#This Row],[Discount]]*Table6[[#This Row],[List Price]]*Table6[[#This Row],[Units]]</f>
        <v>1079.337</v>
      </c>
    </row>
    <row r="822" spans="1:20" x14ac:dyDescent="0.2">
      <c r="A822" t="s">
        <v>915</v>
      </c>
      <c r="B822" s="2">
        <v>46330.045046844534</v>
      </c>
      <c r="C822" t="s">
        <v>93</v>
      </c>
      <c r="D822" t="s">
        <v>96</v>
      </c>
      <c r="E822" t="s">
        <v>56</v>
      </c>
      <c r="F822" t="s">
        <v>18</v>
      </c>
      <c r="G822" t="s">
        <v>68</v>
      </c>
      <c r="H822" t="str">
        <f>_xlfn.XLOOKUP(Table6[[#This Row],[SKU]],tblProductMaster[SKU],tblProductMaster[Product])</f>
        <v>Kids Toothpaste</v>
      </c>
      <c r="I822">
        <v>698</v>
      </c>
      <c r="J822">
        <f>_xlfn.XLOOKUP(G822,[1]!tblProductMaster[SKU],[1]!tblProductMaster[List Price])</f>
        <v>3.29</v>
      </c>
      <c r="K822" t="s">
        <v>86</v>
      </c>
      <c r="L822" s="3">
        <v>0</v>
      </c>
      <c r="M822" s="9">
        <f t="shared" si="60"/>
        <v>3.29</v>
      </c>
      <c r="N822" s="8">
        <f t="shared" si="61"/>
        <v>2296.42</v>
      </c>
      <c r="O822" s="9">
        <f>_xlfn.XLOOKUP(G822,[1]!tblProductMaster[SKU],[1]!tblProductMaster[Unit Cost])</f>
        <v>1.1000000000000001</v>
      </c>
      <c r="P822" s="8">
        <f t="shared" si="62"/>
        <v>767.80000000000007</v>
      </c>
      <c r="Q822" s="8">
        <f t="shared" si="63"/>
        <v>1528.62</v>
      </c>
      <c r="R822" s="4">
        <f t="shared" si="64"/>
        <v>0.66565349544072938</v>
      </c>
      <c r="S822" t="s">
        <v>87</v>
      </c>
      <c r="T822">
        <f>Table6[[#This Row],[Discount]]*Table6[[#This Row],[List Price]]*Table6[[#This Row],[Units]]</f>
        <v>0</v>
      </c>
    </row>
    <row r="823" spans="1:20" x14ac:dyDescent="0.2">
      <c r="A823" t="s">
        <v>916</v>
      </c>
      <c r="B823" s="2">
        <v>46028.768888000268</v>
      </c>
      <c r="C823" t="s">
        <v>93</v>
      </c>
      <c r="D823" t="s">
        <v>96</v>
      </c>
      <c r="E823" t="s">
        <v>8</v>
      </c>
      <c r="F823" t="s">
        <v>15</v>
      </c>
      <c r="G823" t="s">
        <v>22</v>
      </c>
      <c r="H823" t="str">
        <f>_xlfn.XLOOKUP(Table6[[#This Row],[SKU]],tblProductMaster[SKU],tblProductMaster[Product])</f>
        <v>Styling Gel</v>
      </c>
      <c r="I823">
        <v>1061</v>
      </c>
      <c r="J823">
        <f>_xlfn.XLOOKUP(G823,[1]!tblProductMaster[SKU],[1]!tblProductMaster[List Price])</f>
        <v>4.49</v>
      </c>
      <c r="K823" t="s">
        <v>89</v>
      </c>
      <c r="L823" s="3">
        <v>0.3</v>
      </c>
      <c r="M823" s="9">
        <f t="shared" si="60"/>
        <v>3.1429999999999998</v>
      </c>
      <c r="N823" s="8">
        <f t="shared" si="61"/>
        <v>3334.723</v>
      </c>
      <c r="O823" s="9">
        <f>_xlfn.XLOOKUP(G823,[1]!tblProductMaster[SKU],[1]!tblProductMaster[Unit Cost])</f>
        <v>1.9</v>
      </c>
      <c r="P823" s="8">
        <f t="shared" si="62"/>
        <v>2015.8999999999999</v>
      </c>
      <c r="Q823" s="8">
        <f t="shared" si="63"/>
        <v>1318.8230000000001</v>
      </c>
      <c r="R823" s="4">
        <f t="shared" si="64"/>
        <v>0.39548202354438439</v>
      </c>
      <c r="S823" t="s">
        <v>99</v>
      </c>
      <c r="T823">
        <f>Table6[[#This Row],[Discount]]*Table6[[#This Row],[List Price]]*Table6[[#This Row],[Units]]</f>
        <v>1429.1669999999999</v>
      </c>
    </row>
    <row r="824" spans="1:20" x14ac:dyDescent="0.2">
      <c r="A824" t="s">
        <v>917</v>
      </c>
      <c r="B824" s="2">
        <v>46184.013175369248</v>
      </c>
      <c r="C824" t="s">
        <v>98</v>
      </c>
      <c r="D824" t="s">
        <v>85</v>
      </c>
      <c r="E824" t="s">
        <v>8</v>
      </c>
      <c r="F824" t="s">
        <v>15</v>
      </c>
      <c r="G824" t="s">
        <v>14</v>
      </c>
      <c r="H824" t="str">
        <f>_xlfn.XLOOKUP(Table6[[#This Row],[SKU]],tblProductMaster[SKU],tblProductMaster[Product])</f>
        <v>Shampoo 250ml</v>
      </c>
      <c r="I824">
        <v>658</v>
      </c>
      <c r="J824">
        <f>_xlfn.XLOOKUP(G824,[1]!tblProductMaster[SKU],[1]!tblProductMaster[List Price])</f>
        <v>4.99</v>
      </c>
      <c r="K824" t="s">
        <v>86</v>
      </c>
      <c r="L824" s="3">
        <v>0</v>
      </c>
      <c r="M824" s="9">
        <f t="shared" si="60"/>
        <v>4.99</v>
      </c>
      <c r="N824" s="8">
        <f t="shared" si="61"/>
        <v>3283.42</v>
      </c>
      <c r="O824" s="9">
        <f>_xlfn.XLOOKUP(G824,[1]!tblProductMaster[SKU],[1]!tblProductMaster[Unit Cost])</f>
        <v>2.1</v>
      </c>
      <c r="P824" s="8">
        <f t="shared" si="62"/>
        <v>1381.8</v>
      </c>
      <c r="Q824" s="8">
        <f t="shared" si="63"/>
        <v>1901.6200000000001</v>
      </c>
      <c r="R824" s="4">
        <f t="shared" si="64"/>
        <v>0.57915831663326656</v>
      </c>
      <c r="S824" t="s">
        <v>87</v>
      </c>
      <c r="T824">
        <f>Table6[[#This Row],[Discount]]*Table6[[#This Row],[List Price]]*Table6[[#This Row],[Units]]</f>
        <v>0</v>
      </c>
    </row>
    <row r="825" spans="1:20" x14ac:dyDescent="0.2">
      <c r="A825" t="s">
        <v>918</v>
      </c>
      <c r="B825" s="2">
        <v>46115.226656921826</v>
      </c>
      <c r="C825" t="s">
        <v>93</v>
      </c>
      <c r="D825" t="s">
        <v>96</v>
      </c>
      <c r="E825" t="s">
        <v>25</v>
      </c>
      <c r="F825" t="s">
        <v>7</v>
      </c>
      <c r="G825" t="s">
        <v>33</v>
      </c>
      <c r="H825" t="str">
        <f>_xlfn.XLOOKUP(Table6[[#This Row],[SKU]],tblProductMaster[SKU],tblProductMaster[Product])</f>
        <v>Sunscreen 200ml</v>
      </c>
      <c r="I825">
        <v>231</v>
      </c>
      <c r="J825">
        <f>_xlfn.XLOOKUP(G825,[1]!tblProductMaster[SKU],[1]!tblProductMaster[List Price])</f>
        <v>10.99</v>
      </c>
      <c r="K825" t="s">
        <v>86</v>
      </c>
      <c r="L825" s="3">
        <v>0</v>
      </c>
      <c r="M825" s="9">
        <f t="shared" si="60"/>
        <v>10.99</v>
      </c>
      <c r="N825" s="8">
        <f t="shared" si="61"/>
        <v>2538.69</v>
      </c>
      <c r="O825" s="9">
        <f>_xlfn.XLOOKUP(G825,[1]!tblProductMaster[SKU],[1]!tblProductMaster[Unit Cost])</f>
        <v>4.5999999999999996</v>
      </c>
      <c r="P825" s="8">
        <f t="shared" si="62"/>
        <v>1062.5999999999999</v>
      </c>
      <c r="Q825" s="8">
        <f t="shared" si="63"/>
        <v>1476.0900000000001</v>
      </c>
      <c r="R825" s="4">
        <f t="shared" si="64"/>
        <v>0.58143767060964513</v>
      </c>
      <c r="S825" t="s">
        <v>87</v>
      </c>
      <c r="T825">
        <f>Table6[[#This Row],[Discount]]*Table6[[#This Row],[List Price]]*Table6[[#This Row],[Units]]</f>
        <v>0</v>
      </c>
    </row>
    <row r="826" spans="1:20" x14ac:dyDescent="0.2">
      <c r="A826" t="s">
        <v>919</v>
      </c>
      <c r="B826" s="2">
        <v>46088.332273580374</v>
      </c>
      <c r="C826" t="s">
        <v>93</v>
      </c>
      <c r="D826" t="s">
        <v>85</v>
      </c>
      <c r="E826" t="s">
        <v>8</v>
      </c>
      <c r="F826" t="s">
        <v>18</v>
      </c>
      <c r="G826" t="s">
        <v>17</v>
      </c>
      <c r="H826" t="str">
        <f>_xlfn.XLOOKUP(Table6[[#This Row],[SKU]],tblProductMaster[SKU],tblProductMaster[Product])</f>
        <v>Anti-Dandruff Shampoo</v>
      </c>
      <c r="I826">
        <v>845</v>
      </c>
      <c r="J826">
        <f>_xlfn.XLOOKUP(G826,[1]!tblProductMaster[SKU],[1]!tblProductMaster[List Price])</f>
        <v>6.49</v>
      </c>
      <c r="K826" t="s">
        <v>89</v>
      </c>
      <c r="L826" s="3">
        <v>0.1</v>
      </c>
      <c r="M826" s="9">
        <f t="shared" si="60"/>
        <v>5.8410000000000002</v>
      </c>
      <c r="N826" s="8">
        <f t="shared" si="61"/>
        <v>4935.6450000000004</v>
      </c>
      <c r="O826" s="9">
        <f>_xlfn.XLOOKUP(G826,[1]!tblProductMaster[SKU],[1]!tblProductMaster[Unit Cost])</f>
        <v>2.8</v>
      </c>
      <c r="P826" s="8">
        <f t="shared" si="62"/>
        <v>2366</v>
      </c>
      <c r="Q826" s="8">
        <f t="shared" si="63"/>
        <v>2569.6450000000004</v>
      </c>
      <c r="R826" s="4">
        <f t="shared" si="64"/>
        <v>0.52063002910460543</v>
      </c>
      <c r="S826" t="s">
        <v>94</v>
      </c>
      <c r="T826">
        <f>Table6[[#This Row],[Discount]]*Table6[[#This Row],[List Price]]*Table6[[#This Row],[Units]]</f>
        <v>548.40499999999997</v>
      </c>
    </row>
    <row r="827" spans="1:20" x14ac:dyDescent="0.2">
      <c r="A827" t="s">
        <v>920</v>
      </c>
      <c r="B827" s="2">
        <v>46375.925140549385</v>
      </c>
      <c r="C827" t="s">
        <v>84</v>
      </c>
      <c r="D827" t="s">
        <v>96</v>
      </c>
      <c r="E827" t="s">
        <v>8</v>
      </c>
      <c r="F827" t="s">
        <v>18</v>
      </c>
      <c r="G827" t="s">
        <v>20</v>
      </c>
      <c r="H827" t="str">
        <f>_xlfn.XLOOKUP(Table6[[#This Row],[SKU]],tblProductMaster[SKU],tblProductMaster[Product])</f>
        <v>Hair Oil</v>
      </c>
      <c r="I827">
        <v>640</v>
      </c>
      <c r="J827">
        <f>_xlfn.XLOOKUP(G827,[1]!tblProductMaster[SKU],[1]!tblProductMaster[List Price])</f>
        <v>7.49</v>
      </c>
      <c r="K827" t="s">
        <v>86</v>
      </c>
      <c r="L827" s="3">
        <v>0</v>
      </c>
      <c r="M827" s="9">
        <f t="shared" si="60"/>
        <v>7.49</v>
      </c>
      <c r="N827" s="8">
        <f t="shared" si="61"/>
        <v>4793.6000000000004</v>
      </c>
      <c r="O827" s="9">
        <f>_xlfn.XLOOKUP(G827,[1]!tblProductMaster[SKU],[1]!tblProductMaster[Unit Cost])</f>
        <v>3.1</v>
      </c>
      <c r="P827" s="8">
        <f t="shared" si="62"/>
        <v>1984</v>
      </c>
      <c r="Q827" s="8">
        <f t="shared" si="63"/>
        <v>2809.6000000000004</v>
      </c>
      <c r="R827" s="4">
        <f t="shared" si="64"/>
        <v>0.58611481975967961</v>
      </c>
      <c r="S827" t="s">
        <v>87</v>
      </c>
      <c r="T827">
        <f>Table6[[#This Row],[Discount]]*Table6[[#This Row],[List Price]]*Table6[[#This Row],[Units]]</f>
        <v>0</v>
      </c>
    </row>
    <row r="828" spans="1:20" x14ac:dyDescent="0.2">
      <c r="A828" t="s">
        <v>921</v>
      </c>
      <c r="B828" s="2">
        <v>46103.261118057744</v>
      </c>
      <c r="C828" t="s">
        <v>93</v>
      </c>
      <c r="D828" t="s">
        <v>104</v>
      </c>
      <c r="E828" t="s">
        <v>25</v>
      </c>
      <c r="F828" t="s">
        <v>18</v>
      </c>
      <c r="G828" t="s">
        <v>27</v>
      </c>
      <c r="H828" t="str">
        <f>_xlfn.XLOOKUP(Table6[[#This Row],[SKU]],tblProductMaster[SKU],tblProductMaster[Product])</f>
        <v>Face Cream 50ml</v>
      </c>
      <c r="I828">
        <v>354</v>
      </c>
      <c r="J828">
        <f>_xlfn.XLOOKUP(G828,[1]!tblProductMaster[SKU],[1]!tblProductMaster[List Price])</f>
        <v>9.99</v>
      </c>
      <c r="K828" t="s">
        <v>86</v>
      </c>
      <c r="L828" s="3">
        <v>0</v>
      </c>
      <c r="M828" s="9">
        <f t="shared" si="60"/>
        <v>9.99</v>
      </c>
      <c r="N828" s="8">
        <f t="shared" si="61"/>
        <v>3536.46</v>
      </c>
      <c r="O828" s="9">
        <f>_xlfn.XLOOKUP(G828,[1]!tblProductMaster[SKU],[1]!tblProductMaster[Unit Cost])</f>
        <v>4.2</v>
      </c>
      <c r="P828" s="8">
        <f t="shared" si="62"/>
        <v>1486.8</v>
      </c>
      <c r="Q828" s="8">
        <f t="shared" si="63"/>
        <v>2049.66</v>
      </c>
      <c r="R828" s="4">
        <f t="shared" si="64"/>
        <v>0.57957957957957951</v>
      </c>
      <c r="S828" t="s">
        <v>87</v>
      </c>
      <c r="T828">
        <f>Table6[[#This Row],[Discount]]*Table6[[#This Row],[List Price]]*Table6[[#This Row],[Units]]</f>
        <v>0</v>
      </c>
    </row>
    <row r="829" spans="1:20" x14ac:dyDescent="0.2">
      <c r="A829" t="s">
        <v>922</v>
      </c>
      <c r="B829" s="2">
        <v>46327.962177333808</v>
      </c>
      <c r="C829" t="s">
        <v>84</v>
      </c>
      <c r="D829" t="s">
        <v>85</v>
      </c>
      <c r="E829" t="s">
        <v>56</v>
      </c>
      <c r="F829" t="s">
        <v>18</v>
      </c>
      <c r="G829" t="s">
        <v>68</v>
      </c>
      <c r="H829" t="str">
        <f>_xlfn.XLOOKUP(Table6[[#This Row],[SKU]],tblProductMaster[SKU],tblProductMaster[Product])</f>
        <v>Kids Toothpaste</v>
      </c>
      <c r="I829">
        <v>737</v>
      </c>
      <c r="J829">
        <f>_xlfn.XLOOKUP(G829,[1]!tblProductMaster[SKU],[1]!tblProductMaster[List Price])</f>
        <v>3.29</v>
      </c>
      <c r="K829" t="s">
        <v>86</v>
      </c>
      <c r="L829" s="3">
        <v>0</v>
      </c>
      <c r="M829" s="9">
        <f t="shared" si="60"/>
        <v>3.29</v>
      </c>
      <c r="N829" s="8">
        <f t="shared" si="61"/>
        <v>2424.73</v>
      </c>
      <c r="O829" s="9">
        <f>_xlfn.XLOOKUP(G829,[1]!tblProductMaster[SKU],[1]!tblProductMaster[Unit Cost])</f>
        <v>1.1000000000000001</v>
      </c>
      <c r="P829" s="8">
        <f t="shared" si="62"/>
        <v>810.7</v>
      </c>
      <c r="Q829" s="8">
        <f t="shared" si="63"/>
        <v>1614.03</v>
      </c>
      <c r="R829" s="4">
        <f t="shared" si="64"/>
        <v>0.66565349544072949</v>
      </c>
      <c r="S829" t="s">
        <v>87</v>
      </c>
      <c r="T829">
        <f>Table6[[#This Row],[Discount]]*Table6[[#This Row],[List Price]]*Table6[[#This Row],[Units]]</f>
        <v>0</v>
      </c>
    </row>
    <row r="830" spans="1:20" x14ac:dyDescent="0.2">
      <c r="A830" t="s">
        <v>923</v>
      </c>
      <c r="B830" s="2">
        <v>46116.072734539164</v>
      </c>
      <c r="C830" t="s">
        <v>84</v>
      </c>
      <c r="D830" t="s">
        <v>104</v>
      </c>
      <c r="E830" t="s">
        <v>40</v>
      </c>
      <c r="F830" t="s">
        <v>7</v>
      </c>
      <c r="G830" t="s">
        <v>44</v>
      </c>
      <c r="H830" t="str">
        <f>_xlfn.XLOOKUP(Table6[[#This Row],[SKU]],tblProductMaster[SKU],tblProductMaster[Product])</f>
        <v>Fabric Softener</v>
      </c>
      <c r="I830">
        <v>389</v>
      </c>
      <c r="J830">
        <f>_xlfn.XLOOKUP(G830,[1]!tblProductMaster[SKU],[1]!tblProductMaster[List Price])</f>
        <v>6.99</v>
      </c>
      <c r="K830" t="s">
        <v>86</v>
      </c>
      <c r="L830" s="3">
        <v>0</v>
      </c>
      <c r="M830" s="9">
        <f t="shared" si="60"/>
        <v>6.99</v>
      </c>
      <c r="N830" s="8">
        <f t="shared" si="61"/>
        <v>2719.11</v>
      </c>
      <c r="O830" s="9">
        <f>_xlfn.XLOOKUP(G830,[1]!tblProductMaster[SKU],[1]!tblProductMaster[Unit Cost])</f>
        <v>2.9</v>
      </c>
      <c r="P830" s="8">
        <f t="shared" si="62"/>
        <v>1128.0999999999999</v>
      </c>
      <c r="Q830" s="8">
        <f t="shared" si="63"/>
        <v>1591.0100000000002</v>
      </c>
      <c r="R830" s="4">
        <f t="shared" si="64"/>
        <v>0.58512160228898435</v>
      </c>
      <c r="S830" t="s">
        <v>87</v>
      </c>
      <c r="T830">
        <f>Table6[[#This Row],[Discount]]*Table6[[#This Row],[List Price]]*Table6[[#This Row],[Units]]</f>
        <v>0</v>
      </c>
    </row>
    <row r="831" spans="1:20" x14ac:dyDescent="0.2">
      <c r="A831" t="s">
        <v>924</v>
      </c>
      <c r="B831" s="2">
        <v>46177.634313973191</v>
      </c>
      <c r="C831" t="s">
        <v>84</v>
      </c>
      <c r="D831" t="s">
        <v>85</v>
      </c>
      <c r="E831" t="s">
        <v>25</v>
      </c>
      <c r="F831" t="s">
        <v>18</v>
      </c>
      <c r="G831" t="s">
        <v>27</v>
      </c>
      <c r="H831" t="str">
        <f>_xlfn.XLOOKUP(Table6[[#This Row],[SKU]],tblProductMaster[SKU],tblProductMaster[Product])</f>
        <v>Face Cream 50ml</v>
      </c>
      <c r="I831">
        <v>837</v>
      </c>
      <c r="J831">
        <f>_xlfn.XLOOKUP(G831,[1]!tblProductMaster[SKU],[1]!tblProductMaster[List Price])</f>
        <v>9.99</v>
      </c>
      <c r="K831" t="s">
        <v>89</v>
      </c>
      <c r="L831" s="3">
        <v>0.3</v>
      </c>
      <c r="M831" s="9">
        <f t="shared" si="60"/>
        <v>6.9929999999999994</v>
      </c>
      <c r="N831" s="8">
        <f t="shared" si="61"/>
        <v>5853.1409999999996</v>
      </c>
      <c r="O831" s="9">
        <f>_xlfn.XLOOKUP(G831,[1]!tblProductMaster[SKU],[1]!tblProductMaster[Unit Cost])</f>
        <v>4.2</v>
      </c>
      <c r="P831" s="8">
        <f t="shared" si="62"/>
        <v>3515.4</v>
      </c>
      <c r="Q831" s="8">
        <f t="shared" si="63"/>
        <v>2337.7409999999995</v>
      </c>
      <c r="R831" s="4">
        <f t="shared" si="64"/>
        <v>0.39939939939939934</v>
      </c>
      <c r="S831" t="s">
        <v>90</v>
      </c>
      <c r="T831">
        <f>Table6[[#This Row],[Discount]]*Table6[[#This Row],[List Price]]*Table6[[#This Row],[Units]]</f>
        <v>2508.489</v>
      </c>
    </row>
    <row r="832" spans="1:20" x14ac:dyDescent="0.2">
      <c r="A832" t="s">
        <v>925</v>
      </c>
      <c r="B832" s="2">
        <v>46056.99203287196</v>
      </c>
      <c r="C832" t="s">
        <v>84</v>
      </c>
      <c r="D832" t="s">
        <v>85</v>
      </c>
      <c r="E832" t="s">
        <v>8</v>
      </c>
      <c r="F832" t="s">
        <v>15</v>
      </c>
      <c r="G832" t="s">
        <v>14</v>
      </c>
      <c r="H832" t="str">
        <f>_xlfn.XLOOKUP(Table6[[#This Row],[SKU]],tblProductMaster[SKU],tblProductMaster[Product])</f>
        <v>Shampoo 250ml</v>
      </c>
      <c r="I832">
        <v>1170</v>
      </c>
      <c r="J832">
        <f>_xlfn.XLOOKUP(G832,[1]!tblProductMaster[SKU],[1]!tblProductMaster[List Price])</f>
        <v>4.99</v>
      </c>
      <c r="K832" t="s">
        <v>89</v>
      </c>
      <c r="L832" s="3">
        <v>0.1</v>
      </c>
      <c r="M832" s="9">
        <f t="shared" si="60"/>
        <v>4.4910000000000005</v>
      </c>
      <c r="N832" s="8">
        <f t="shared" si="61"/>
        <v>5254.47</v>
      </c>
      <c r="O832" s="9">
        <f>_xlfn.XLOOKUP(G832,[1]!tblProductMaster[SKU],[1]!tblProductMaster[Unit Cost])</f>
        <v>2.1</v>
      </c>
      <c r="P832" s="8">
        <f t="shared" si="62"/>
        <v>2457</v>
      </c>
      <c r="Q832" s="8">
        <f t="shared" si="63"/>
        <v>2797.4700000000003</v>
      </c>
      <c r="R832" s="4">
        <f t="shared" si="64"/>
        <v>0.53239812959251842</v>
      </c>
      <c r="S832" t="s">
        <v>90</v>
      </c>
      <c r="T832">
        <f>Table6[[#This Row],[Discount]]*Table6[[#This Row],[List Price]]*Table6[[#This Row],[Units]]</f>
        <v>583.83000000000004</v>
      </c>
    </row>
    <row r="833" spans="1:20" x14ac:dyDescent="0.2">
      <c r="A833" t="s">
        <v>926</v>
      </c>
      <c r="B833" s="2">
        <v>46262.939602786479</v>
      </c>
      <c r="C833" t="s">
        <v>93</v>
      </c>
      <c r="D833" t="s">
        <v>104</v>
      </c>
      <c r="E833" t="s">
        <v>8</v>
      </c>
      <c r="F833" t="s">
        <v>18</v>
      </c>
      <c r="G833" t="s">
        <v>17</v>
      </c>
      <c r="H833" t="str">
        <f>_xlfn.XLOOKUP(Table6[[#This Row],[SKU]],tblProductMaster[SKU],tblProductMaster[Product])</f>
        <v>Anti-Dandruff Shampoo</v>
      </c>
      <c r="I833">
        <v>587</v>
      </c>
      <c r="J833">
        <f>_xlfn.XLOOKUP(G833,[1]!tblProductMaster[SKU],[1]!tblProductMaster[List Price])</f>
        <v>6.49</v>
      </c>
      <c r="K833" t="s">
        <v>86</v>
      </c>
      <c r="L833" s="3">
        <v>0</v>
      </c>
      <c r="M833" s="9">
        <f t="shared" si="60"/>
        <v>6.49</v>
      </c>
      <c r="N833" s="8">
        <f t="shared" si="61"/>
        <v>3809.63</v>
      </c>
      <c r="O833" s="9">
        <f>_xlfn.XLOOKUP(G833,[1]!tblProductMaster[SKU],[1]!tblProductMaster[Unit Cost])</f>
        <v>2.8</v>
      </c>
      <c r="P833" s="8">
        <f t="shared" si="62"/>
        <v>1643.6</v>
      </c>
      <c r="Q833" s="8">
        <f t="shared" si="63"/>
        <v>2166.0300000000002</v>
      </c>
      <c r="R833" s="4">
        <f t="shared" si="64"/>
        <v>0.5685670261941449</v>
      </c>
      <c r="S833" t="s">
        <v>87</v>
      </c>
      <c r="T833">
        <f>Table6[[#This Row],[Discount]]*Table6[[#This Row],[List Price]]*Table6[[#This Row],[Units]]</f>
        <v>0</v>
      </c>
    </row>
    <row r="834" spans="1:20" x14ac:dyDescent="0.2">
      <c r="A834" t="s">
        <v>927</v>
      </c>
      <c r="B834" s="2">
        <v>46070.294689618859</v>
      </c>
      <c r="C834" t="s">
        <v>93</v>
      </c>
      <c r="D834" t="s">
        <v>104</v>
      </c>
      <c r="E834" t="s">
        <v>25</v>
      </c>
      <c r="F834" t="s">
        <v>15</v>
      </c>
      <c r="G834" t="s">
        <v>29</v>
      </c>
      <c r="H834" t="str">
        <f>_xlfn.XLOOKUP(Table6[[#This Row],[SKU]],tblProductMaster[SKU],tblProductMaster[Product])</f>
        <v>Shower Gel 250ml</v>
      </c>
      <c r="I834">
        <v>472</v>
      </c>
      <c r="J834">
        <f>_xlfn.XLOOKUP(G834,[1]!tblProductMaster[SKU],[1]!tblProductMaster[List Price])</f>
        <v>4.49</v>
      </c>
      <c r="K834" t="s">
        <v>86</v>
      </c>
      <c r="L834" s="3">
        <v>0</v>
      </c>
      <c r="M834" s="9">
        <f t="shared" si="60"/>
        <v>4.49</v>
      </c>
      <c r="N834" s="8">
        <f t="shared" si="61"/>
        <v>2119.2800000000002</v>
      </c>
      <c r="O834" s="9">
        <f>_xlfn.XLOOKUP(G834,[1]!tblProductMaster[SKU],[1]!tblProductMaster[Unit Cost])</f>
        <v>1.9</v>
      </c>
      <c r="P834" s="8">
        <f t="shared" si="62"/>
        <v>896.8</v>
      </c>
      <c r="Q834" s="8">
        <f t="shared" si="63"/>
        <v>1222.4800000000002</v>
      </c>
      <c r="R834" s="4">
        <f t="shared" si="64"/>
        <v>0.57683741648106912</v>
      </c>
      <c r="S834" t="s">
        <v>87</v>
      </c>
      <c r="T834">
        <f>Table6[[#This Row],[Discount]]*Table6[[#This Row],[List Price]]*Table6[[#This Row],[Units]]</f>
        <v>0</v>
      </c>
    </row>
    <row r="835" spans="1:20" x14ac:dyDescent="0.2">
      <c r="A835" t="s">
        <v>928</v>
      </c>
      <c r="B835" s="2">
        <v>46367.040966176952</v>
      </c>
      <c r="C835" t="s">
        <v>93</v>
      </c>
      <c r="D835" t="s">
        <v>96</v>
      </c>
      <c r="E835" t="s">
        <v>40</v>
      </c>
      <c r="F835" t="s">
        <v>18</v>
      </c>
      <c r="G835" t="s">
        <v>50</v>
      </c>
      <c r="H835" t="str">
        <f>_xlfn.XLOOKUP(Table6[[#This Row],[SKU]],tblProductMaster[SKU],tblProductMaster[Product])</f>
        <v>Sensitive Detergent</v>
      </c>
      <c r="I835">
        <v>372</v>
      </c>
      <c r="J835">
        <f>_xlfn.XLOOKUP(G835,[1]!tblProductMaster[SKU],[1]!tblProductMaster[List Price])</f>
        <v>8.99</v>
      </c>
      <c r="K835" t="s">
        <v>86</v>
      </c>
      <c r="L835" s="3">
        <v>0</v>
      </c>
      <c r="M835" s="9">
        <f t="shared" ref="M835:M898" si="65">J835*(1-L835)</f>
        <v>8.99</v>
      </c>
      <c r="N835" s="8">
        <f t="shared" ref="N835:N898" si="66">M835*I835</f>
        <v>3344.28</v>
      </c>
      <c r="O835" s="9">
        <f>_xlfn.XLOOKUP(G835,[1]!tblProductMaster[SKU],[1]!tblProductMaster[Unit Cost])</f>
        <v>4</v>
      </c>
      <c r="P835" s="8">
        <f t="shared" ref="P835:P898" si="67">O835*I835</f>
        <v>1488</v>
      </c>
      <c r="Q835" s="8">
        <f t="shared" ref="Q835:Q898" si="68">N835-P835</f>
        <v>1856.2800000000002</v>
      </c>
      <c r="R835" s="4">
        <f t="shared" ref="R835:R898" si="69">Q835/N835</f>
        <v>0.55506117908787544</v>
      </c>
      <c r="S835" t="s">
        <v>87</v>
      </c>
      <c r="T835">
        <f>Table6[[#This Row],[Discount]]*Table6[[#This Row],[List Price]]*Table6[[#This Row],[Units]]</f>
        <v>0</v>
      </c>
    </row>
    <row r="836" spans="1:20" x14ac:dyDescent="0.2">
      <c r="A836" t="s">
        <v>929</v>
      </c>
      <c r="B836" s="2">
        <v>46231.031278110408</v>
      </c>
      <c r="C836" t="s">
        <v>93</v>
      </c>
      <c r="D836" t="s">
        <v>96</v>
      </c>
      <c r="E836" t="s">
        <v>56</v>
      </c>
      <c r="F836" t="s">
        <v>18</v>
      </c>
      <c r="G836" t="s">
        <v>60</v>
      </c>
      <c r="H836" t="str">
        <f>_xlfn.XLOOKUP(Table6[[#This Row],[SKU]],tblProductMaster[SKU],tblProductMaster[Product])</f>
        <v>Sensitive Toothpaste</v>
      </c>
      <c r="I836">
        <v>339</v>
      </c>
      <c r="J836">
        <f>_xlfn.XLOOKUP(G836,[1]!tblProductMaster[SKU],[1]!tblProductMaster[List Price])</f>
        <v>4.49</v>
      </c>
      <c r="K836" t="s">
        <v>86</v>
      </c>
      <c r="L836" s="3">
        <v>0</v>
      </c>
      <c r="M836" s="9">
        <f t="shared" si="65"/>
        <v>4.49</v>
      </c>
      <c r="N836" s="8">
        <f t="shared" si="66"/>
        <v>1522.1100000000001</v>
      </c>
      <c r="O836" s="9">
        <f>_xlfn.XLOOKUP(G836,[1]!tblProductMaster[SKU],[1]!tblProductMaster[Unit Cost])</f>
        <v>1.7</v>
      </c>
      <c r="P836" s="8">
        <f t="shared" si="67"/>
        <v>576.29999999999995</v>
      </c>
      <c r="Q836" s="8">
        <f t="shared" si="68"/>
        <v>945.81000000000017</v>
      </c>
      <c r="R836" s="4">
        <f t="shared" si="69"/>
        <v>0.6213808463251671</v>
      </c>
      <c r="S836" t="s">
        <v>87</v>
      </c>
      <c r="T836">
        <f>Table6[[#This Row],[Discount]]*Table6[[#This Row],[List Price]]*Table6[[#This Row],[Units]]</f>
        <v>0</v>
      </c>
    </row>
    <row r="837" spans="1:20" x14ac:dyDescent="0.2">
      <c r="A837" t="s">
        <v>930</v>
      </c>
      <c r="B837" s="2">
        <v>46250.08098116616</v>
      </c>
      <c r="C837" t="s">
        <v>98</v>
      </c>
      <c r="D837" t="s">
        <v>85</v>
      </c>
      <c r="E837" t="s">
        <v>40</v>
      </c>
      <c r="F837" t="s">
        <v>7</v>
      </c>
      <c r="G837" t="s">
        <v>44</v>
      </c>
      <c r="H837" t="str">
        <f>_xlfn.XLOOKUP(Table6[[#This Row],[SKU]],tblProductMaster[SKU],tblProductMaster[Product])</f>
        <v>Fabric Softener</v>
      </c>
      <c r="I837">
        <v>345</v>
      </c>
      <c r="J837">
        <f>_xlfn.XLOOKUP(G837,[1]!tblProductMaster[SKU],[1]!tblProductMaster[List Price])</f>
        <v>6.99</v>
      </c>
      <c r="K837" t="s">
        <v>86</v>
      </c>
      <c r="L837" s="3">
        <v>0</v>
      </c>
      <c r="M837" s="9">
        <f t="shared" si="65"/>
        <v>6.99</v>
      </c>
      <c r="N837" s="8">
        <f t="shared" si="66"/>
        <v>2411.5500000000002</v>
      </c>
      <c r="O837" s="9">
        <f>_xlfn.XLOOKUP(G837,[1]!tblProductMaster[SKU],[1]!tblProductMaster[Unit Cost])</f>
        <v>2.9</v>
      </c>
      <c r="P837" s="8">
        <f t="shared" si="67"/>
        <v>1000.5</v>
      </c>
      <c r="Q837" s="8">
        <f t="shared" si="68"/>
        <v>1411.0500000000002</v>
      </c>
      <c r="R837" s="4">
        <f t="shared" si="69"/>
        <v>0.58512160228898424</v>
      </c>
      <c r="S837" t="s">
        <v>87</v>
      </c>
      <c r="T837">
        <f>Table6[[#This Row],[Discount]]*Table6[[#This Row],[List Price]]*Table6[[#This Row],[Units]]</f>
        <v>0</v>
      </c>
    </row>
    <row r="838" spans="1:20" x14ac:dyDescent="0.2">
      <c r="A838" t="s">
        <v>931</v>
      </c>
      <c r="B838" s="2">
        <v>46305.885774341441</v>
      </c>
      <c r="C838" t="s">
        <v>84</v>
      </c>
      <c r="D838" t="s">
        <v>85</v>
      </c>
      <c r="E838" t="s">
        <v>8</v>
      </c>
      <c r="F838" t="s">
        <v>7</v>
      </c>
      <c r="G838" t="s">
        <v>10</v>
      </c>
      <c r="H838" t="str">
        <f>_xlfn.XLOOKUP(Table6[[#This Row],[SKU]],tblProductMaster[SKU],tblProductMaster[Product])</f>
        <v>Shampoo 500ml</v>
      </c>
      <c r="I838">
        <v>1051</v>
      </c>
      <c r="J838">
        <f>_xlfn.XLOOKUP(G838,[1]!tblProductMaster[SKU],[1]!tblProductMaster[List Price])</f>
        <v>8.99</v>
      </c>
      <c r="K838" t="s">
        <v>89</v>
      </c>
      <c r="L838" s="3">
        <v>0.1</v>
      </c>
      <c r="M838" s="9">
        <f t="shared" si="65"/>
        <v>8.0910000000000011</v>
      </c>
      <c r="N838" s="8">
        <f t="shared" si="66"/>
        <v>8503.6410000000014</v>
      </c>
      <c r="O838" s="9">
        <f>_xlfn.XLOOKUP(G838,[1]!tblProductMaster[SKU],[1]!tblProductMaster[Unit Cost])</f>
        <v>3.6</v>
      </c>
      <c r="P838" s="8">
        <f t="shared" si="67"/>
        <v>3783.6</v>
      </c>
      <c r="Q838" s="8">
        <f t="shared" si="68"/>
        <v>4720.0410000000011</v>
      </c>
      <c r="R838" s="4">
        <f t="shared" si="69"/>
        <v>0.55506117908787544</v>
      </c>
      <c r="S838" t="s">
        <v>90</v>
      </c>
      <c r="T838">
        <f>Table6[[#This Row],[Discount]]*Table6[[#This Row],[List Price]]*Table6[[#This Row],[Units]]</f>
        <v>944.84900000000005</v>
      </c>
    </row>
    <row r="839" spans="1:20" x14ac:dyDescent="0.2">
      <c r="A839" t="s">
        <v>932</v>
      </c>
      <c r="B839" s="2">
        <v>46113.269672673829</v>
      </c>
      <c r="C839" t="s">
        <v>93</v>
      </c>
      <c r="D839" t="s">
        <v>104</v>
      </c>
      <c r="E839" t="s">
        <v>56</v>
      </c>
      <c r="F839" t="s">
        <v>7</v>
      </c>
      <c r="G839" t="s">
        <v>58</v>
      </c>
      <c r="H839" t="str">
        <f>_xlfn.XLOOKUP(Table6[[#This Row],[SKU]],tblProductMaster[SKU],tblProductMaster[Product])</f>
        <v>Whitening Toothpaste</v>
      </c>
      <c r="I839">
        <v>304</v>
      </c>
      <c r="J839">
        <f>_xlfn.XLOOKUP(G839,[1]!tblProductMaster[SKU],[1]!tblProductMaster[List Price])</f>
        <v>4.99</v>
      </c>
      <c r="K839" t="s">
        <v>86</v>
      </c>
      <c r="L839" s="3">
        <v>0</v>
      </c>
      <c r="M839" s="9">
        <f t="shared" si="65"/>
        <v>4.99</v>
      </c>
      <c r="N839" s="8">
        <f t="shared" si="66"/>
        <v>1516.96</v>
      </c>
      <c r="O839" s="9">
        <f>_xlfn.XLOOKUP(G839,[1]!tblProductMaster[SKU],[1]!tblProductMaster[Unit Cost])</f>
        <v>1.8</v>
      </c>
      <c r="P839" s="8">
        <f t="shared" si="67"/>
        <v>547.20000000000005</v>
      </c>
      <c r="Q839" s="8">
        <f t="shared" si="68"/>
        <v>969.76</v>
      </c>
      <c r="R839" s="4">
        <f t="shared" si="69"/>
        <v>0.63927855711422843</v>
      </c>
      <c r="S839" t="s">
        <v>87</v>
      </c>
      <c r="T839">
        <f>Table6[[#This Row],[Discount]]*Table6[[#This Row],[List Price]]*Table6[[#This Row],[Units]]</f>
        <v>0</v>
      </c>
    </row>
    <row r="840" spans="1:20" x14ac:dyDescent="0.2">
      <c r="A840" t="s">
        <v>933</v>
      </c>
      <c r="B840" s="2">
        <v>46261.820463085052</v>
      </c>
      <c r="C840" t="s">
        <v>84</v>
      </c>
      <c r="D840" t="s">
        <v>96</v>
      </c>
      <c r="E840" t="s">
        <v>25</v>
      </c>
      <c r="F840" t="s">
        <v>15</v>
      </c>
      <c r="G840" t="s">
        <v>35</v>
      </c>
      <c r="H840" t="str">
        <f>_xlfn.XLOOKUP(Table6[[#This Row],[SKU]],tblProductMaster[SKU],tblProductMaster[Product])</f>
        <v>Hand Cream</v>
      </c>
      <c r="I840">
        <v>515</v>
      </c>
      <c r="J840">
        <f>_xlfn.XLOOKUP(G840,[1]!tblProductMaster[SKU],[1]!tblProductMaster[List Price])</f>
        <v>4.99</v>
      </c>
      <c r="K840" t="s">
        <v>86</v>
      </c>
      <c r="L840" s="3">
        <v>0</v>
      </c>
      <c r="M840" s="9">
        <f t="shared" si="65"/>
        <v>4.99</v>
      </c>
      <c r="N840" s="8">
        <f t="shared" si="66"/>
        <v>2569.85</v>
      </c>
      <c r="O840" s="9">
        <f>_xlfn.XLOOKUP(G840,[1]!tblProductMaster[SKU],[1]!tblProductMaster[Unit Cost])</f>
        <v>2.1</v>
      </c>
      <c r="P840" s="8">
        <f t="shared" si="67"/>
        <v>1081.5</v>
      </c>
      <c r="Q840" s="8">
        <f t="shared" si="68"/>
        <v>1488.35</v>
      </c>
      <c r="R840" s="4">
        <f t="shared" si="69"/>
        <v>0.57915831663326656</v>
      </c>
      <c r="S840" t="s">
        <v>87</v>
      </c>
      <c r="T840">
        <f>Table6[[#This Row],[Discount]]*Table6[[#This Row],[List Price]]*Table6[[#This Row],[Units]]</f>
        <v>0</v>
      </c>
    </row>
    <row r="841" spans="1:20" x14ac:dyDescent="0.2">
      <c r="A841" t="s">
        <v>934</v>
      </c>
      <c r="B841" s="2">
        <v>46304.468108079811</v>
      </c>
      <c r="C841" t="s">
        <v>93</v>
      </c>
      <c r="D841" t="s">
        <v>104</v>
      </c>
      <c r="E841" t="s">
        <v>56</v>
      </c>
      <c r="F841" t="s">
        <v>7</v>
      </c>
      <c r="G841" t="s">
        <v>58</v>
      </c>
      <c r="H841" t="str">
        <f>_xlfn.XLOOKUP(Table6[[#This Row],[SKU]],tblProductMaster[SKU],tblProductMaster[Product])</f>
        <v>Whitening Toothpaste</v>
      </c>
      <c r="I841">
        <v>1054</v>
      </c>
      <c r="J841">
        <f>_xlfn.XLOOKUP(G841,[1]!tblProductMaster[SKU],[1]!tblProductMaster[List Price])</f>
        <v>4.99</v>
      </c>
      <c r="K841" t="s">
        <v>89</v>
      </c>
      <c r="L841" s="3">
        <v>0.3</v>
      </c>
      <c r="M841" s="9">
        <f t="shared" si="65"/>
        <v>3.4929999999999999</v>
      </c>
      <c r="N841" s="8">
        <f t="shared" si="66"/>
        <v>3681.6219999999998</v>
      </c>
      <c r="O841" s="9">
        <f>_xlfn.XLOOKUP(G841,[1]!tblProductMaster[SKU],[1]!tblProductMaster[Unit Cost])</f>
        <v>1.8</v>
      </c>
      <c r="P841" s="8">
        <f t="shared" si="67"/>
        <v>1897.2</v>
      </c>
      <c r="Q841" s="8">
        <f t="shared" si="68"/>
        <v>1784.4219999999998</v>
      </c>
      <c r="R841" s="4">
        <f t="shared" si="69"/>
        <v>0.48468365302032634</v>
      </c>
      <c r="S841" t="s">
        <v>90</v>
      </c>
      <c r="T841">
        <f>Table6[[#This Row],[Discount]]*Table6[[#This Row],[List Price]]*Table6[[#This Row],[Units]]</f>
        <v>1577.8380000000002</v>
      </c>
    </row>
    <row r="842" spans="1:20" x14ac:dyDescent="0.2">
      <c r="A842" t="s">
        <v>935</v>
      </c>
      <c r="B842" s="2">
        <v>46188.393856892137</v>
      </c>
      <c r="C842" t="s">
        <v>84</v>
      </c>
      <c r="D842" t="s">
        <v>96</v>
      </c>
      <c r="E842" t="s">
        <v>40</v>
      </c>
      <c r="F842" t="s">
        <v>7</v>
      </c>
      <c r="G842" t="s">
        <v>44</v>
      </c>
      <c r="H842" t="str">
        <f>_xlfn.XLOOKUP(Table6[[#This Row],[SKU]],tblProductMaster[SKU],tblProductMaster[Product])</f>
        <v>Fabric Softener</v>
      </c>
      <c r="I842">
        <v>468</v>
      </c>
      <c r="J842">
        <f>_xlfn.XLOOKUP(G842,[1]!tblProductMaster[SKU],[1]!tblProductMaster[List Price])</f>
        <v>6.99</v>
      </c>
      <c r="K842" t="s">
        <v>86</v>
      </c>
      <c r="L842" s="3">
        <v>0</v>
      </c>
      <c r="M842" s="9">
        <f t="shared" si="65"/>
        <v>6.99</v>
      </c>
      <c r="N842" s="8">
        <f t="shared" si="66"/>
        <v>3271.32</v>
      </c>
      <c r="O842" s="9">
        <f>_xlfn.XLOOKUP(G842,[1]!tblProductMaster[SKU],[1]!tblProductMaster[Unit Cost])</f>
        <v>2.9</v>
      </c>
      <c r="P842" s="8">
        <f t="shared" si="67"/>
        <v>1357.2</v>
      </c>
      <c r="Q842" s="8">
        <f t="shared" si="68"/>
        <v>1914.1200000000001</v>
      </c>
      <c r="R842" s="4">
        <f t="shared" si="69"/>
        <v>0.58512160228898424</v>
      </c>
      <c r="S842" t="s">
        <v>87</v>
      </c>
      <c r="T842">
        <f>Table6[[#This Row],[Discount]]*Table6[[#This Row],[List Price]]*Table6[[#This Row],[Units]]</f>
        <v>0</v>
      </c>
    </row>
    <row r="843" spans="1:20" x14ac:dyDescent="0.2">
      <c r="A843" t="s">
        <v>936</v>
      </c>
      <c r="B843" s="2">
        <v>46305.82842680491</v>
      </c>
      <c r="C843" t="s">
        <v>93</v>
      </c>
      <c r="D843" t="s">
        <v>104</v>
      </c>
      <c r="E843" t="s">
        <v>56</v>
      </c>
      <c r="F843" t="s">
        <v>7</v>
      </c>
      <c r="G843" t="s">
        <v>58</v>
      </c>
      <c r="H843" t="str">
        <f>_xlfn.XLOOKUP(Table6[[#This Row],[SKU]],tblProductMaster[SKU],tblProductMaster[Product])</f>
        <v>Whitening Toothpaste</v>
      </c>
      <c r="I843">
        <v>204</v>
      </c>
      <c r="J843">
        <f>_xlfn.XLOOKUP(G843,[1]!tblProductMaster[SKU],[1]!tblProductMaster[List Price])</f>
        <v>4.99</v>
      </c>
      <c r="K843" t="s">
        <v>86</v>
      </c>
      <c r="L843" s="3">
        <v>0</v>
      </c>
      <c r="M843" s="9">
        <f t="shared" si="65"/>
        <v>4.99</v>
      </c>
      <c r="N843" s="8">
        <f t="shared" si="66"/>
        <v>1017.96</v>
      </c>
      <c r="O843" s="9">
        <f>_xlfn.XLOOKUP(G843,[1]!tblProductMaster[SKU],[1]!tblProductMaster[Unit Cost])</f>
        <v>1.8</v>
      </c>
      <c r="P843" s="8">
        <f t="shared" si="67"/>
        <v>367.2</v>
      </c>
      <c r="Q843" s="8">
        <f t="shared" si="68"/>
        <v>650.76</v>
      </c>
      <c r="R843" s="4">
        <f t="shared" si="69"/>
        <v>0.63927855711422843</v>
      </c>
      <c r="S843" t="s">
        <v>87</v>
      </c>
      <c r="T843">
        <f>Table6[[#This Row],[Discount]]*Table6[[#This Row],[List Price]]*Table6[[#This Row],[Units]]</f>
        <v>0</v>
      </c>
    </row>
    <row r="844" spans="1:20" x14ac:dyDescent="0.2">
      <c r="A844" t="s">
        <v>937</v>
      </c>
      <c r="B844" s="2">
        <v>46026.541731352751</v>
      </c>
      <c r="C844" t="s">
        <v>98</v>
      </c>
      <c r="D844" t="s">
        <v>85</v>
      </c>
      <c r="E844" t="s">
        <v>8</v>
      </c>
      <c r="F844" t="s">
        <v>18</v>
      </c>
      <c r="G844" t="s">
        <v>20</v>
      </c>
      <c r="H844" t="str">
        <f>_xlfn.XLOOKUP(Table6[[#This Row],[SKU]],tblProductMaster[SKU],tblProductMaster[Product])</f>
        <v>Hair Oil</v>
      </c>
      <c r="I844">
        <v>333</v>
      </c>
      <c r="J844">
        <f>_xlfn.XLOOKUP(G844,[1]!tblProductMaster[SKU],[1]!tblProductMaster[List Price])</f>
        <v>7.49</v>
      </c>
      <c r="K844" t="s">
        <v>86</v>
      </c>
      <c r="L844" s="3">
        <v>0</v>
      </c>
      <c r="M844" s="9">
        <f t="shared" si="65"/>
        <v>7.49</v>
      </c>
      <c r="N844" s="8">
        <f t="shared" si="66"/>
        <v>2494.17</v>
      </c>
      <c r="O844" s="9">
        <f>_xlfn.XLOOKUP(G844,[1]!tblProductMaster[SKU],[1]!tblProductMaster[Unit Cost])</f>
        <v>3.1</v>
      </c>
      <c r="P844" s="8">
        <f t="shared" si="67"/>
        <v>1032.3</v>
      </c>
      <c r="Q844" s="8">
        <f t="shared" si="68"/>
        <v>1461.8700000000001</v>
      </c>
      <c r="R844" s="4">
        <f t="shared" si="69"/>
        <v>0.58611481975967961</v>
      </c>
      <c r="S844" t="s">
        <v>87</v>
      </c>
      <c r="T844">
        <f>Table6[[#This Row],[Discount]]*Table6[[#This Row],[List Price]]*Table6[[#This Row],[Units]]</f>
        <v>0</v>
      </c>
    </row>
    <row r="845" spans="1:20" x14ac:dyDescent="0.2">
      <c r="A845" t="s">
        <v>938</v>
      </c>
      <c r="B845" s="2">
        <v>46239.90427048014</v>
      </c>
      <c r="C845" t="s">
        <v>84</v>
      </c>
      <c r="D845" t="s">
        <v>85</v>
      </c>
      <c r="E845" t="s">
        <v>8</v>
      </c>
      <c r="F845" t="s">
        <v>7</v>
      </c>
      <c r="G845" t="s">
        <v>10</v>
      </c>
      <c r="H845" t="str">
        <f>_xlfn.XLOOKUP(Table6[[#This Row],[SKU]],tblProductMaster[SKU],tblProductMaster[Product])</f>
        <v>Shampoo 500ml</v>
      </c>
      <c r="I845">
        <v>616</v>
      </c>
      <c r="J845">
        <f>_xlfn.XLOOKUP(G845,[1]!tblProductMaster[SKU],[1]!tblProductMaster[List Price])</f>
        <v>8.99</v>
      </c>
      <c r="K845" t="s">
        <v>86</v>
      </c>
      <c r="L845" s="3">
        <v>0</v>
      </c>
      <c r="M845" s="9">
        <f t="shared" si="65"/>
        <v>8.99</v>
      </c>
      <c r="N845" s="8">
        <f t="shared" si="66"/>
        <v>5537.84</v>
      </c>
      <c r="O845" s="9">
        <f>_xlfn.XLOOKUP(G845,[1]!tblProductMaster[SKU],[1]!tblProductMaster[Unit Cost])</f>
        <v>3.6</v>
      </c>
      <c r="P845" s="8">
        <f t="shared" si="67"/>
        <v>2217.6</v>
      </c>
      <c r="Q845" s="8">
        <f t="shared" si="68"/>
        <v>3320.2400000000002</v>
      </c>
      <c r="R845" s="4">
        <f t="shared" si="69"/>
        <v>0.59955506117908786</v>
      </c>
      <c r="S845" t="s">
        <v>87</v>
      </c>
      <c r="T845">
        <f>Table6[[#This Row],[Discount]]*Table6[[#This Row],[List Price]]*Table6[[#This Row],[Units]]</f>
        <v>0</v>
      </c>
    </row>
    <row r="846" spans="1:20" x14ac:dyDescent="0.2">
      <c r="A846" t="s">
        <v>939</v>
      </c>
      <c r="B846" s="2">
        <v>46070.269228058911</v>
      </c>
      <c r="C846" t="s">
        <v>98</v>
      </c>
      <c r="D846" t="s">
        <v>85</v>
      </c>
      <c r="E846" t="s">
        <v>8</v>
      </c>
      <c r="F846" t="s">
        <v>7</v>
      </c>
      <c r="G846" t="s">
        <v>6</v>
      </c>
      <c r="H846" t="str">
        <f>_xlfn.XLOOKUP(Table6[[#This Row],[SKU]],tblProductMaster[SKU],tblProductMaster[Product])</f>
        <v>Shampoo 250ml</v>
      </c>
      <c r="I846">
        <v>463</v>
      </c>
      <c r="J846">
        <f>_xlfn.XLOOKUP(G846,[1]!tblProductMaster[SKU],[1]!tblProductMaster[List Price])</f>
        <v>5.99</v>
      </c>
      <c r="K846" t="s">
        <v>86</v>
      </c>
      <c r="L846" s="3">
        <v>0</v>
      </c>
      <c r="M846" s="9">
        <f t="shared" si="65"/>
        <v>5.99</v>
      </c>
      <c r="N846" s="8">
        <f t="shared" si="66"/>
        <v>2773.37</v>
      </c>
      <c r="O846" s="9">
        <f>_xlfn.XLOOKUP(G846,[1]!tblProductMaster[SKU],[1]!tblProductMaster[Unit Cost])</f>
        <v>2.4</v>
      </c>
      <c r="P846" s="8">
        <f t="shared" si="67"/>
        <v>1111.2</v>
      </c>
      <c r="Q846" s="8">
        <f t="shared" si="68"/>
        <v>1662.1699999999998</v>
      </c>
      <c r="R846" s="4">
        <f t="shared" si="69"/>
        <v>0.59933222036727873</v>
      </c>
      <c r="S846" t="s">
        <v>87</v>
      </c>
      <c r="T846">
        <f>Table6[[#This Row],[Discount]]*Table6[[#This Row],[List Price]]*Table6[[#This Row],[Units]]</f>
        <v>0</v>
      </c>
    </row>
    <row r="847" spans="1:20" x14ac:dyDescent="0.2">
      <c r="A847" t="s">
        <v>940</v>
      </c>
      <c r="B847" s="2">
        <v>46327.730259179712</v>
      </c>
      <c r="C847" t="s">
        <v>98</v>
      </c>
      <c r="D847" t="s">
        <v>104</v>
      </c>
      <c r="E847" t="s">
        <v>25</v>
      </c>
      <c r="F847" t="s">
        <v>7</v>
      </c>
      <c r="G847" t="s">
        <v>24</v>
      </c>
      <c r="H847" t="str">
        <f>_xlfn.XLOOKUP(Table6[[#This Row],[SKU]],tblProductMaster[SKU],tblProductMaster[Product])</f>
        <v>Body Lotion 400ml</v>
      </c>
      <c r="I847">
        <v>1124</v>
      </c>
      <c r="J847">
        <f>_xlfn.XLOOKUP(G847,[1]!tblProductMaster[SKU],[1]!tblProductMaster[List Price])</f>
        <v>7.99</v>
      </c>
      <c r="K847" t="s">
        <v>89</v>
      </c>
      <c r="L847" s="3">
        <v>0.2</v>
      </c>
      <c r="M847" s="9">
        <f t="shared" si="65"/>
        <v>6.3920000000000003</v>
      </c>
      <c r="N847" s="8">
        <f t="shared" si="66"/>
        <v>7184.6080000000002</v>
      </c>
      <c r="O847" s="9">
        <f>_xlfn.XLOOKUP(G847,[1]!tblProductMaster[SKU],[1]!tblProductMaster[Unit Cost])</f>
        <v>3.1</v>
      </c>
      <c r="P847" s="8">
        <f t="shared" si="67"/>
        <v>3484.4</v>
      </c>
      <c r="Q847" s="8">
        <f t="shared" si="68"/>
        <v>3700.2080000000001</v>
      </c>
      <c r="R847" s="4">
        <f t="shared" si="69"/>
        <v>0.51501877346683356</v>
      </c>
      <c r="S847" t="s">
        <v>90</v>
      </c>
      <c r="T847">
        <f>Table6[[#This Row],[Discount]]*Table6[[#This Row],[List Price]]*Table6[[#This Row],[Units]]</f>
        <v>1796.152</v>
      </c>
    </row>
    <row r="848" spans="1:20" x14ac:dyDescent="0.2">
      <c r="A848" t="s">
        <v>941</v>
      </c>
      <c r="B848" s="2">
        <v>46314.181364205266</v>
      </c>
      <c r="C848" t="s">
        <v>98</v>
      </c>
      <c r="D848" t="s">
        <v>85</v>
      </c>
      <c r="E848" t="s">
        <v>8</v>
      </c>
      <c r="F848" t="s">
        <v>18</v>
      </c>
      <c r="G848" t="s">
        <v>17</v>
      </c>
      <c r="H848" t="str">
        <f>_xlfn.XLOOKUP(Table6[[#This Row],[SKU]],tblProductMaster[SKU],tblProductMaster[Product])</f>
        <v>Anti-Dandruff Shampoo</v>
      </c>
      <c r="I848">
        <v>532</v>
      </c>
      <c r="J848">
        <f>_xlfn.XLOOKUP(G848,[1]!tblProductMaster[SKU],[1]!tblProductMaster[List Price])</f>
        <v>6.49</v>
      </c>
      <c r="K848" t="s">
        <v>86</v>
      </c>
      <c r="L848" s="3">
        <v>0</v>
      </c>
      <c r="M848" s="9">
        <f t="shared" si="65"/>
        <v>6.49</v>
      </c>
      <c r="N848" s="8">
        <f t="shared" si="66"/>
        <v>3452.6800000000003</v>
      </c>
      <c r="O848" s="9">
        <f>_xlfn.XLOOKUP(G848,[1]!tblProductMaster[SKU],[1]!tblProductMaster[Unit Cost])</f>
        <v>2.8</v>
      </c>
      <c r="P848" s="8">
        <f t="shared" si="67"/>
        <v>1489.6</v>
      </c>
      <c r="Q848" s="8">
        <f t="shared" si="68"/>
        <v>1963.0800000000004</v>
      </c>
      <c r="R848" s="4">
        <f t="shared" si="69"/>
        <v>0.5685670261941449</v>
      </c>
      <c r="S848" t="s">
        <v>87</v>
      </c>
      <c r="T848">
        <f>Table6[[#This Row],[Discount]]*Table6[[#This Row],[List Price]]*Table6[[#This Row],[Units]]</f>
        <v>0</v>
      </c>
    </row>
    <row r="849" spans="1:20" x14ac:dyDescent="0.2">
      <c r="A849" t="s">
        <v>942</v>
      </c>
      <c r="B849" s="2">
        <v>46381.216723862482</v>
      </c>
      <c r="C849" t="s">
        <v>98</v>
      </c>
      <c r="D849" t="s">
        <v>96</v>
      </c>
      <c r="E849" t="s">
        <v>8</v>
      </c>
      <c r="F849" t="s">
        <v>15</v>
      </c>
      <c r="G849" t="s">
        <v>22</v>
      </c>
      <c r="H849" t="str">
        <f>_xlfn.XLOOKUP(Table6[[#This Row],[SKU]],tblProductMaster[SKU],tblProductMaster[Product])</f>
        <v>Styling Gel</v>
      </c>
      <c r="I849">
        <v>620</v>
      </c>
      <c r="J849">
        <f>_xlfn.XLOOKUP(G849,[1]!tblProductMaster[SKU],[1]!tblProductMaster[List Price])</f>
        <v>4.49</v>
      </c>
      <c r="K849" t="s">
        <v>86</v>
      </c>
      <c r="L849" s="3">
        <v>0</v>
      </c>
      <c r="M849" s="9">
        <f t="shared" si="65"/>
        <v>4.49</v>
      </c>
      <c r="N849" s="8">
        <f t="shared" si="66"/>
        <v>2783.8</v>
      </c>
      <c r="O849" s="9">
        <f>_xlfn.XLOOKUP(G849,[1]!tblProductMaster[SKU],[1]!tblProductMaster[Unit Cost])</f>
        <v>1.9</v>
      </c>
      <c r="P849" s="8">
        <f t="shared" si="67"/>
        <v>1178</v>
      </c>
      <c r="Q849" s="8">
        <f t="shared" si="68"/>
        <v>1605.8000000000002</v>
      </c>
      <c r="R849" s="4">
        <f t="shared" si="69"/>
        <v>0.57683741648106912</v>
      </c>
      <c r="S849" t="s">
        <v>87</v>
      </c>
      <c r="T849">
        <f>Table6[[#This Row],[Discount]]*Table6[[#This Row],[List Price]]*Table6[[#This Row],[Units]]</f>
        <v>0</v>
      </c>
    </row>
    <row r="850" spans="1:20" x14ac:dyDescent="0.2">
      <c r="A850" t="s">
        <v>943</v>
      </c>
      <c r="B850" s="2">
        <v>46235.014934418541</v>
      </c>
      <c r="C850" t="s">
        <v>98</v>
      </c>
      <c r="D850" t="s">
        <v>85</v>
      </c>
      <c r="E850" t="s">
        <v>8</v>
      </c>
      <c r="F850" t="s">
        <v>18</v>
      </c>
      <c r="G850" t="s">
        <v>20</v>
      </c>
      <c r="H850" t="str">
        <f>_xlfn.XLOOKUP(Table6[[#This Row],[SKU]],tblProductMaster[SKU],tblProductMaster[Product])</f>
        <v>Hair Oil</v>
      </c>
      <c r="I850">
        <v>640</v>
      </c>
      <c r="J850">
        <f>_xlfn.XLOOKUP(G850,[1]!tblProductMaster[SKU],[1]!tblProductMaster[List Price])</f>
        <v>7.49</v>
      </c>
      <c r="K850" t="s">
        <v>86</v>
      </c>
      <c r="L850" s="3">
        <v>0</v>
      </c>
      <c r="M850" s="9">
        <f t="shared" si="65"/>
        <v>7.49</v>
      </c>
      <c r="N850" s="8">
        <f t="shared" si="66"/>
        <v>4793.6000000000004</v>
      </c>
      <c r="O850" s="9">
        <f>_xlfn.XLOOKUP(G850,[1]!tblProductMaster[SKU],[1]!tblProductMaster[Unit Cost])</f>
        <v>3.1</v>
      </c>
      <c r="P850" s="8">
        <f t="shared" si="67"/>
        <v>1984</v>
      </c>
      <c r="Q850" s="8">
        <f t="shared" si="68"/>
        <v>2809.6000000000004</v>
      </c>
      <c r="R850" s="4">
        <f t="shared" si="69"/>
        <v>0.58611481975967961</v>
      </c>
      <c r="S850" t="s">
        <v>87</v>
      </c>
      <c r="T850">
        <f>Table6[[#This Row],[Discount]]*Table6[[#This Row],[List Price]]*Table6[[#This Row],[Units]]</f>
        <v>0</v>
      </c>
    </row>
    <row r="851" spans="1:20" x14ac:dyDescent="0.2">
      <c r="A851" t="s">
        <v>944</v>
      </c>
      <c r="B851" s="2">
        <v>46328.040207932543</v>
      </c>
      <c r="C851" t="s">
        <v>93</v>
      </c>
      <c r="D851" t="s">
        <v>85</v>
      </c>
      <c r="E851" t="s">
        <v>25</v>
      </c>
      <c r="F851" t="s">
        <v>15</v>
      </c>
      <c r="G851" t="s">
        <v>35</v>
      </c>
      <c r="H851" t="str">
        <f>_xlfn.XLOOKUP(Table6[[#This Row],[SKU]],tblProductMaster[SKU],tblProductMaster[Product])</f>
        <v>Hand Cream</v>
      </c>
      <c r="I851">
        <v>702</v>
      </c>
      <c r="J851">
        <f>_xlfn.XLOOKUP(G851,[1]!tblProductMaster[SKU],[1]!tblProductMaster[List Price])</f>
        <v>4.99</v>
      </c>
      <c r="K851" t="s">
        <v>86</v>
      </c>
      <c r="L851" s="3">
        <v>0</v>
      </c>
      <c r="M851" s="9">
        <f t="shared" si="65"/>
        <v>4.99</v>
      </c>
      <c r="N851" s="8">
        <f t="shared" si="66"/>
        <v>3502.98</v>
      </c>
      <c r="O851" s="9">
        <f>_xlfn.XLOOKUP(G851,[1]!tblProductMaster[SKU],[1]!tblProductMaster[Unit Cost])</f>
        <v>2.1</v>
      </c>
      <c r="P851" s="8">
        <f t="shared" si="67"/>
        <v>1474.2</v>
      </c>
      <c r="Q851" s="8">
        <f t="shared" si="68"/>
        <v>2028.78</v>
      </c>
      <c r="R851" s="4">
        <f t="shared" si="69"/>
        <v>0.57915831663326656</v>
      </c>
      <c r="S851" t="s">
        <v>87</v>
      </c>
      <c r="T851">
        <f>Table6[[#This Row],[Discount]]*Table6[[#This Row],[List Price]]*Table6[[#This Row],[Units]]</f>
        <v>0</v>
      </c>
    </row>
    <row r="852" spans="1:20" x14ac:dyDescent="0.2">
      <c r="A852" t="s">
        <v>945</v>
      </c>
      <c r="B852" s="2">
        <v>46200.274520369247</v>
      </c>
      <c r="C852" t="s">
        <v>84</v>
      </c>
      <c r="D852" t="s">
        <v>96</v>
      </c>
      <c r="E852" t="s">
        <v>8</v>
      </c>
      <c r="F852" t="s">
        <v>15</v>
      </c>
      <c r="G852" t="s">
        <v>14</v>
      </c>
      <c r="H852" t="str">
        <f>_xlfn.XLOOKUP(Table6[[#This Row],[SKU]],tblProductMaster[SKU],tblProductMaster[Product])</f>
        <v>Shampoo 250ml</v>
      </c>
      <c r="I852">
        <v>293</v>
      </c>
      <c r="J852">
        <f>_xlfn.XLOOKUP(G852,[1]!tblProductMaster[SKU],[1]!tblProductMaster[List Price])</f>
        <v>4.99</v>
      </c>
      <c r="K852" t="s">
        <v>86</v>
      </c>
      <c r="L852" s="3">
        <v>0</v>
      </c>
      <c r="M852" s="9">
        <f t="shared" si="65"/>
        <v>4.99</v>
      </c>
      <c r="N852" s="8">
        <f t="shared" si="66"/>
        <v>1462.0700000000002</v>
      </c>
      <c r="O852" s="9">
        <f>_xlfn.XLOOKUP(G852,[1]!tblProductMaster[SKU],[1]!tblProductMaster[Unit Cost])</f>
        <v>2.1</v>
      </c>
      <c r="P852" s="8">
        <f t="shared" si="67"/>
        <v>615.30000000000007</v>
      </c>
      <c r="Q852" s="8">
        <f t="shared" si="68"/>
        <v>846.7700000000001</v>
      </c>
      <c r="R852" s="4">
        <f t="shared" si="69"/>
        <v>0.57915831663326656</v>
      </c>
      <c r="S852" t="s">
        <v>87</v>
      </c>
      <c r="T852">
        <f>Table6[[#This Row],[Discount]]*Table6[[#This Row],[List Price]]*Table6[[#This Row],[Units]]</f>
        <v>0</v>
      </c>
    </row>
    <row r="853" spans="1:20" x14ac:dyDescent="0.2">
      <c r="A853" t="s">
        <v>946</v>
      </c>
      <c r="B853" s="2">
        <v>46133.803596791127</v>
      </c>
      <c r="C853" t="s">
        <v>93</v>
      </c>
      <c r="D853" t="s">
        <v>85</v>
      </c>
      <c r="E853" t="s">
        <v>56</v>
      </c>
      <c r="F853" t="s">
        <v>7</v>
      </c>
      <c r="G853" t="s">
        <v>58</v>
      </c>
      <c r="H853" t="str">
        <f>_xlfn.XLOOKUP(Table6[[#This Row],[SKU]],tblProductMaster[SKU],tblProductMaster[Product])</f>
        <v>Whitening Toothpaste</v>
      </c>
      <c r="I853">
        <v>640</v>
      </c>
      <c r="J853">
        <f>_xlfn.XLOOKUP(G853,[1]!tblProductMaster[SKU],[1]!tblProductMaster[List Price])</f>
        <v>4.99</v>
      </c>
      <c r="K853" t="s">
        <v>89</v>
      </c>
      <c r="L853" s="3">
        <v>0.1</v>
      </c>
      <c r="M853" s="9">
        <f t="shared" si="65"/>
        <v>4.4910000000000005</v>
      </c>
      <c r="N853" s="8">
        <f t="shared" si="66"/>
        <v>2874.2400000000002</v>
      </c>
      <c r="O853" s="9">
        <f>_xlfn.XLOOKUP(G853,[1]!tblProductMaster[SKU],[1]!tblProductMaster[Unit Cost])</f>
        <v>1.8</v>
      </c>
      <c r="P853" s="8">
        <f t="shared" si="67"/>
        <v>1152</v>
      </c>
      <c r="Q853" s="8">
        <f t="shared" si="68"/>
        <v>1722.2400000000002</v>
      </c>
      <c r="R853" s="4">
        <f t="shared" si="69"/>
        <v>0.59919839679358722</v>
      </c>
      <c r="S853" t="s">
        <v>90</v>
      </c>
      <c r="T853">
        <f>Table6[[#This Row],[Discount]]*Table6[[#This Row],[List Price]]*Table6[[#This Row],[Units]]</f>
        <v>319.36</v>
      </c>
    </row>
    <row r="854" spans="1:20" x14ac:dyDescent="0.2">
      <c r="A854" t="s">
        <v>947</v>
      </c>
      <c r="B854" s="2">
        <v>46090.874189479953</v>
      </c>
      <c r="C854" t="s">
        <v>84</v>
      </c>
      <c r="D854" t="s">
        <v>104</v>
      </c>
      <c r="E854" t="s">
        <v>25</v>
      </c>
      <c r="F854" t="s">
        <v>7</v>
      </c>
      <c r="G854" t="s">
        <v>24</v>
      </c>
      <c r="H854" t="str">
        <f>_xlfn.XLOOKUP(Table6[[#This Row],[SKU]],tblProductMaster[SKU],tblProductMaster[Product])</f>
        <v>Body Lotion 400ml</v>
      </c>
      <c r="I854">
        <v>449</v>
      </c>
      <c r="J854">
        <f>_xlfn.XLOOKUP(G854,[1]!tblProductMaster[SKU],[1]!tblProductMaster[List Price])</f>
        <v>7.99</v>
      </c>
      <c r="K854" t="s">
        <v>86</v>
      </c>
      <c r="L854" s="3">
        <v>0</v>
      </c>
      <c r="M854" s="9">
        <f t="shared" si="65"/>
        <v>7.99</v>
      </c>
      <c r="N854" s="8">
        <f t="shared" si="66"/>
        <v>3587.51</v>
      </c>
      <c r="O854" s="9">
        <f>_xlfn.XLOOKUP(G854,[1]!tblProductMaster[SKU],[1]!tblProductMaster[Unit Cost])</f>
        <v>3.1</v>
      </c>
      <c r="P854" s="8">
        <f t="shared" si="67"/>
        <v>1391.9</v>
      </c>
      <c r="Q854" s="8">
        <f t="shared" si="68"/>
        <v>2195.61</v>
      </c>
      <c r="R854" s="4">
        <f t="shared" si="69"/>
        <v>0.61201501877346687</v>
      </c>
      <c r="S854" t="s">
        <v>87</v>
      </c>
      <c r="T854">
        <f>Table6[[#This Row],[Discount]]*Table6[[#This Row],[List Price]]*Table6[[#This Row],[Units]]</f>
        <v>0</v>
      </c>
    </row>
    <row r="855" spans="1:20" x14ac:dyDescent="0.2">
      <c r="A855" t="s">
        <v>948</v>
      </c>
      <c r="B855" s="2">
        <v>46336.969307375002</v>
      </c>
      <c r="C855" t="s">
        <v>84</v>
      </c>
      <c r="D855" t="s">
        <v>85</v>
      </c>
      <c r="E855" t="s">
        <v>56</v>
      </c>
      <c r="F855" t="s">
        <v>7</v>
      </c>
      <c r="G855" t="s">
        <v>64</v>
      </c>
      <c r="H855" t="str">
        <f>_xlfn.XLOOKUP(Table6[[#This Row],[SKU]],tblProductMaster[SKU],tblProductMaster[Product])</f>
        <v>Toothbrush</v>
      </c>
      <c r="I855">
        <v>629</v>
      </c>
      <c r="J855">
        <f>_xlfn.XLOOKUP(G855,[1]!tblProductMaster[SKU],[1]!tblProductMaster[List Price])</f>
        <v>3.99</v>
      </c>
      <c r="K855" t="s">
        <v>86</v>
      </c>
      <c r="L855" s="3">
        <v>0</v>
      </c>
      <c r="M855" s="9">
        <f t="shared" si="65"/>
        <v>3.99</v>
      </c>
      <c r="N855" s="8">
        <f t="shared" si="66"/>
        <v>2509.71</v>
      </c>
      <c r="O855" s="9">
        <f>_xlfn.XLOOKUP(G855,[1]!tblProductMaster[SKU],[1]!tblProductMaster[Unit Cost])</f>
        <v>1.5</v>
      </c>
      <c r="P855" s="8">
        <f t="shared" si="67"/>
        <v>943.5</v>
      </c>
      <c r="Q855" s="8">
        <f t="shared" si="68"/>
        <v>1566.21</v>
      </c>
      <c r="R855" s="4">
        <f t="shared" si="69"/>
        <v>0.62406015037593987</v>
      </c>
      <c r="S855" t="s">
        <v>87</v>
      </c>
      <c r="T855">
        <f>Table6[[#This Row],[Discount]]*Table6[[#This Row],[List Price]]*Table6[[#This Row],[Units]]</f>
        <v>0</v>
      </c>
    </row>
    <row r="856" spans="1:20" x14ac:dyDescent="0.2">
      <c r="A856" t="s">
        <v>949</v>
      </c>
      <c r="B856" s="2">
        <v>46262.10760638395</v>
      </c>
      <c r="C856" t="s">
        <v>84</v>
      </c>
      <c r="D856" t="s">
        <v>85</v>
      </c>
      <c r="E856" t="s">
        <v>40</v>
      </c>
      <c r="F856" t="s">
        <v>7</v>
      </c>
      <c r="G856" t="s">
        <v>48</v>
      </c>
      <c r="H856" t="str">
        <f>_xlfn.XLOOKUP(Table6[[#This Row],[SKU]],tblProductMaster[SKU],tblProductMaster[Product])</f>
        <v>Color Detergent</v>
      </c>
      <c r="I856">
        <v>1022</v>
      </c>
      <c r="J856">
        <f>_xlfn.XLOOKUP(G856,[1]!tblProductMaster[SKU],[1]!tblProductMaster[List Price])</f>
        <v>9.49</v>
      </c>
      <c r="K856" t="s">
        <v>89</v>
      </c>
      <c r="L856" s="3">
        <v>0.2</v>
      </c>
      <c r="M856" s="9">
        <f t="shared" si="65"/>
        <v>7.5920000000000005</v>
      </c>
      <c r="N856" s="8">
        <f t="shared" si="66"/>
        <v>7759.0240000000003</v>
      </c>
      <c r="O856" s="9">
        <f>_xlfn.XLOOKUP(G856,[1]!tblProductMaster[SKU],[1]!tblProductMaster[Unit Cost])</f>
        <v>4</v>
      </c>
      <c r="P856" s="8">
        <f t="shared" si="67"/>
        <v>4088</v>
      </c>
      <c r="Q856" s="8">
        <f t="shared" si="68"/>
        <v>3671.0240000000003</v>
      </c>
      <c r="R856" s="4">
        <f t="shared" si="69"/>
        <v>0.47312961011591154</v>
      </c>
      <c r="S856" t="s">
        <v>99</v>
      </c>
      <c r="T856">
        <f>Table6[[#This Row],[Discount]]*Table6[[#This Row],[List Price]]*Table6[[#This Row],[Units]]</f>
        <v>1939.7560000000001</v>
      </c>
    </row>
    <row r="857" spans="1:20" x14ac:dyDescent="0.2">
      <c r="A857" t="s">
        <v>950</v>
      </c>
      <c r="B857" s="2">
        <v>46312.729723197444</v>
      </c>
      <c r="C857" t="s">
        <v>98</v>
      </c>
      <c r="D857" t="s">
        <v>85</v>
      </c>
      <c r="E857" t="s">
        <v>56</v>
      </c>
      <c r="F857" t="s">
        <v>15</v>
      </c>
      <c r="G857" t="s">
        <v>62</v>
      </c>
      <c r="H857" t="str">
        <f>_xlfn.XLOOKUP(Table6[[#This Row],[SKU]],tblProductMaster[SKU],tblProductMaster[Product])</f>
        <v>Mouthwash 500ml</v>
      </c>
      <c r="I857">
        <v>1032</v>
      </c>
      <c r="J857">
        <f>_xlfn.XLOOKUP(G857,[1]!tblProductMaster[SKU],[1]!tblProductMaster[List Price])</f>
        <v>5.99</v>
      </c>
      <c r="K857" t="s">
        <v>89</v>
      </c>
      <c r="L857" s="3">
        <v>0.1</v>
      </c>
      <c r="M857" s="9">
        <f t="shared" si="65"/>
        <v>5.391</v>
      </c>
      <c r="N857" s="8">
        <f t="shared" si="66"/>
        <v>5563.5119999999997</v>
      </c>
      <c r="O857" s="9">
        <f>_xlfn.XLOOKUP(G857,[1]!tblProductMaster[SKU],[1]!tblProductMaster[Unit Cost])</f>
        <v>2.4</v>
      </c>
      <c r="P857" s="8">
        <f t="shared" si="67"/>
        <v>2476.7999999999997</v>
      </c>
      <c r="Q857" s="8">
        <f t="shared" si="68"/>
        <v>3086.712</v>
      </c>
      <c r="R857" s="4">
        <f t="shared" si="69"/>
        <v>0.55481357818586541</v>
      </c>
      <c r="S857" t="s">
        <v>99</v>
      </c>
      <c r="T857">
        <f>Table6[[#This Row],[Discount]]*Table6[[#This Row],[List Price]]*Table6[[#This Row],[Units]]</f>
        <v>618.16800000000012</v>
      </c>
    </row>
    <row r="858" spans="1:20" x14ac:dyDescent="0.2">
      <c r="A858" t="s">
        <v>951</v>
      </c>
      <c r="B858" s="2">
        <v>46174.389610263948</v>
      </c>
      <c r="C858" t="s">
        <v>93</v>
      </c>
      <c r="D858" t="s">
        <v>104</v>
      </c>
      <c r="E858" t="s">
        <v>56</v>
      </c>
      <c r="F858" t="s">
        <v>15</v>
      </c>
      <c r="G858" t="s">
        <v>55</v>
      </c>
      <c r="H858" t="str">
        <f>_xlfn.XLOOKUP(Table6[[#This Row],[SKU]],tblProductMaster[SKU],tblProductMaster[Product])</f>
        <v>Toothpaste 75ml</v>
      </c>
      <c r="I858">
        <v>658</v>
      </c>
      <c r="J858">
        <f>_xlfn.XLOOKUP(G858,[1]!tblProductMaster[SKU],[1]!tblProductMaster[List Price])</f>
        <v>3.49</v>
      </c>
      <c r="K858" t="s">
        <v>89</v>
      </c>
      <c r="L858" s="3">
        <v>0.2</v>
      </c>
      <c r="M858" s="9">
        <f t="shared" si="65"/>
        <v>2.7920000000000003</v>
      </c>
      <c r="N858" s="8">
        <f t="shared" si="66"/>
        <v>1837.1360000000002</v>
      </c>
      <c r="O858" s="9">
        <f>_xlfn.XLOOKUP(G858,[1]!tblProductMaster[SKU],[1]!tblProductMaster[Unit Cost])</f>
        <v>1.2</v>
      </c>
      <c r="P858" s="8">
        <f t="shared" si="67"/>
        <v>789.6</v>
      </c>
      <c r="Q858" s="8">
        <f t="shared" si="68"/>
        <v>1047.5360000000001</v>
      </c>
      <c r="R858" s="4">
        <f t="shared" si="69"/>
        <v>0.57020057306590255</v>
      </c>
      <c r="S858" t="s">
        <v>99</v>
      </c>
      <c r="T858">
        <f>Table6[[#This Row],[Discount]]*Table6[[#This Row],[List Price]]*Table6[[#This Row],[Units]]</f>
        <v>459.28400000000005</v>
      </c>
    </row>
    <row r="859" spans="1:20" x14ac:dyDescent="0.2">
      <c r="A859" t="s">
        <v>952</v>
      </c>
      <c r="B859" s="2">
        <v>46291.192719444436</v>
      </c>
      <c r="C859" t="s">
        <v>93</v>
      </c>
      <c r="D859" t="s">
        <v>104</v>
      </c>
      <c r="E859" t="s">
        <v>25</v>
      </c>
      <c r="F859" t="s">
        <v>7</v>
      </c>
      <c r="G859" t="s">
        <v>31</v>
      </c>
      <c r="H859" t="str">
        <f>_xlfn.XLOOKUP(Table6[[#This Row],[SKU]],tblProductMaster[SKU],tblProductMaster[Product])</f>
        <v>Facial Cleanser</v>
      </c>
      <c r="I859">
        <v>332</v>
      </c>
      <c r="J859">
        <f>_xlfn.XLOOKUP(G859,[1]!tblProductMaster[SKU],[1]!tblProductMaster[List Price])</f>
        <v>8.49</v>
      </c>
      <c r="K859" t="s">
        <v>86</v>
      </c>
      <c r="L859" s="3">
        <v>0</v>
      </c>
      <c r="M859" s="9">
        <f t="shared" si="65"/>
        <v>8.49</v>
      </c>
      <c r="N859" s="8">
        <f t="shared" si="66"/>
        <v>2818.6800000000003</v>
      </c>
      <c r="O859" s="9">
        <f>_xlfn.XLOOKUP(G859,[1]!tblProductMaster[SKU],[1]!tblProductMaster[Unit Cost])</f>
        <v>3.5</v>
      </c>
      <c r="P859" s="8">
        <f t="shared" si="67"/>
        <v>1162</v>
      </c>
      <c r="Q859" s="8">
        <f t="shared" si="68"/>
        <v>1656.6800000000003</v>
      </c>
      <c r="R859" s="4">
        <f t="shared" si="69"/>
        <v>0.58775029446407545</v>
      </c>
      <c r="S859" t="s">
        <v>87</v>
      </c>
      <c r="T859">
        <f>Table6[[#This Row],[Discount]]*Table6[[#This Row],[List Price]]*Table6[[#This Row],[Units]]</f>
        <v>0</v>
      </c>
    </row>
    <row r="860" spans="1:20" x14ac:dyDescent="0.2">
      <c r="A860" t="s">
        <v>953</v>
      </c>
      <c r="B860" s="2">
        <v>46064.771360526029</v>
      </c>
      <c r="C860" t="s">
        <v>98</v>
      </c>
      <c r="D860" t="s">
        <v>104</v>
      </c>
      <c r="E860" t="s">
        <v>56</v>
      </c>
      <c r="F860" t="s">
        <v>18</v>
      </c>
      <c r="G860" t="s">
        <v>60</v>
      </c>
      <c r="H860" t="str">
        <f>_xlfn.XLOOKUP(Table6[[#This Row],[SKU]],tblProductMaster[SKU],tblProductMaster[Product])</f>
        <v>Sensitive Toothpaste</v>
      </c>
      <c r="I860">
        <v>743</v>
      </c>
      <c r="J860">
        <f>_xlfn.XLOOKUP(G860,[1]!tblProductMaster[SKU],[1]!tblProductMaster[List Price])</f>
        <v>4.49</v>
      </c>
      <c r="K860" t="s">
        <v>86</v>
      </c>
      <c r="L860" s="3">
        <v>0</v>
      </c>
      <c r="M860" s="9">
        <f t="shared" si="65"/>
        <v>4.49</v>
      </c>
      <c r="N860" s="8">
        <f t="shared" si="66"/>
        <v>3336.07</v>
      </c>
      <c r="O860" s="9">
        <f>_xlfn.XLOOKUP(G860,[1]!tblProductMaster[SKU],[1]!tblProductMaster[Unit Cost])</f>
        <v>1.7</v>
      </c>
      <c r="P860" s="8">
        <f t="shared" si="67"/>
        <v>1263.0999999999999</v>
      </c>
      <c r="Q860" s="8">
        <f t="shared" si="68"/>
        <v>2072.9700000000003</v>
      </c>
      <c r="R860" s="4">
        <f t="shared" si="69"/>
        <v>0.6213808463251671</v>
      </c>
      <c r="S860" t="s">
        <v>87</v>
      </c>
      <c r="T860">
        <f>Table6[[#This Row],[Discount]]*Table6[[#This Row],[List Price]]*Table6[[#This Row],[Units]]</f>
        <v>0</v>
      </c>
    </row>
    <row r="861" spans="1:20" x14ac:dyDescent="0.2">
      <c r="A861" t="s">
        <v>954</v>
      </c>
      <c r="B861" s="2">
        <v>46200.973006599459</v>
      </c>
      <c r="C861" t="s">
        <v>84</v>
      </c>
      <c r="D861" t="s">
        <v>104</v>
      </c>
      <c r="E861" t="s">
        <v>56</v>
      </c>
      <c r="F861" t="s">
        <v>15</v>
      </c>
      <c r="G861" t="s">
        <v>55</v>
      </c>
      <c r="H861" t="str">
        <f>_xlfn.XLOOKUP(Table6[[#This Row],[SKU]],tblProductMaster[SKU],tblProductMaster[Product])</f>
        <v>Toothpaste 75ml</v>
      </c>
      <c r="I861">
        <v>723</v>
      </c>
      <c r="J861">
        <f>_xlfn.XLOOKUP(G861,[1]!tblProductMaster[SKU],[1]!tblProductMaster[List Price])</f>
        <v>3.49</v>
      </c>
      <c r="K861" t="s">
        <v>86</v>
      </c>
      <c r="L861" s="3">
        <v>0</v>
      </c>
      <c r="M861" s="9">
        <f t="shared" si="65"/>
        <v>3.49</v>
      </c>
      <c r="N861" s="8">
        <f t="shared" si="66"/>
        <v>2523.27</v>
      </c>
      <c r="O861" s="9">
        <f>_xlfn.XLOOKUP(G861,[1]!tblProductMaster[SKU],[1]!tblProductMaster[Unit Cost])</f>
        <v>1.2</v>
      </c>
      <c r="P861" s="8">
        <f t="shared" si="67"/>
        <v>867.6</v>
      </c>
      <c r="Q861" s="8">
        <f t="shared" si="68"/>
        <v>1655.67</v>
      </c>
      <c r="R861" s="4">
        <f t="shared" si="69"/>
        <v>0.65616045845272208</v>
      </c>
      <c r="S861" t="s">
        <v>87</v>
      </c>
      <c r="T861">
        <f>Table6[[#This Row],[Discount]]*Table6[[#This Row],[List Price]]*Table6[[#This Row],[Units]]</f>
        <v>0</v>
      </c>
    </row>
    <row r="862" spans="1:20" x14ac:dyDescent="0.2">
      <c r="A862" t="s">
        <v>955</v>
      </c>
      <c r="B862" s="2">
        <v>46271.953151276037</v>
      </c>
      <c r="C862" t="s">
        <v>84</v>
      </c>
      <c r="D862" t="s">
        <v>104</v>
      </c>
      <c r="E862" t="s">
        <v>8</v>
      </c>
      <c r="F862" t="s">
        <v>7</v>
      </c>
      <c r="G862" t="s">
        <v>12</v>
      </c>
      <c r="H862" t="str">
        <f>_xlfn.XLOOKUP(Table6[[#This Row],[SKU]],tblProductMaster[SKU],tblProductMaster[Product])</f>
        <v>Conditioner 250ml</v>
      </c>
      <c r="I862">
        <v>439</v>
      </c>
      <c r="J862">
        <f>_xlfn.XLOOKUP(G862,[1]!tblProductMaster[SKU],[1]!tblProductMaster[List Price])</f>
        <v>5.49</v>
      </c>
      <c r="K862" t="s">
        <v>86</v>
      </c>
      <c r="L862" s="3">
        <v>0</v>
      </c>
      <c r="M862" s="9">
        <f t="shared" si="65"/>
        <v>5.49</v>
      </c>
      <c r="N862" s="8">
        <f t="shared" si="66"/>
        <v>2410.11</v>
      </c>
      <c r="O862" s="9">
        <f>_xlfn.XLOOKUP(G862,[1]!tblProductMaster[SKU],[1]!tblProductMaster[Unit Cost])</f>
        <v>2.2000000000000002</v>
      </c>
      <c r="P862" s="8">
        <f t="shared" si="67"/>
        <v>965.80000000000007</v>
      </c>
      <c r="Q862" s="8">
        <f t="shared" si="68"/>
        <v>1444.31</v>
      </c>
      <c r="R862" s="4">
        <f t="shared" si="69"/>
        <v>0.59927140255009104</v>
      </c>
      <c r="S862" t="s">
        <v>87</v>
      </c>
      <c r="T862">
        <f>Table6[[#This Row],[Discount]]*Table6[[#This Row],[List Price]]*Table6[[#This Row],[Units]]</f>
        <v>0</v>
      </c>
    </row>
    <row r="863" spans="1:20" x14ac:dyDescent="0.2">
      <c r="A863" t="s">
        <v>956</v>
      </c>
      <c r="B863" s="2">
        <v>46179.403237790975</v>
      </c>
      <c r="C863" t="s">
        <v>93</v>
      </c>
      <c r="D863" t="s">
        <v>96</v>
      </c>
      <c r="E863" t="s">
        <v>56</v>
      </c>
      <c r="F863" t="s">
        <v>15</v>
      </c>
      <c r="G863" t="s">
        <v>55</v>
      </c>
      <c r="H863" t="str">
        <f>_xlfn.XLOOKUP(Table6[[#This Row],[SKU]],tblProductMaster[SKU],tblProductMaster[Product])</f>
        <v>Toothpaste 75ml</v>
      </c>
      <c r="I863">
        <v>426</v>
      </c>
      <c r="J863">
        <f>_xlfn.XLOOKUP(G863,[1]!tblProductMaster[SKU],[1]!tblProductMaster[List Price])</f>
        <v>3.49</v>
      </c>
      <c r="K863" t="s">
        <v>89</v>
      </c>
      <c r="L863" s="3">
        <v>0.3</v>
      </c>
      <c r="M863" s="9">
        <f t="shared" si="65"/>
        <v>2.4430000000000001</v>
      </c>
      <c r="N863" s="8">
        <f t="shared" si="66"/>
        <v>1040.7180000000001</v>
      </c>
      <c r="O863" s="9">
        <f>_xlfn.XLOOKUP(G863,[1]!tblProductMaster[SKU],[1]!tblProductMaster[Unit Cost])</f>
        <v>1.2</v>
      </c>
      <c r="P863" s="8">
        <f t="shared" si="67"/>
        <v>511.2</v>
      </c>
      <c r="Q863" s="8">
        <f t="shared" si="68"/>
        <v>529.51800000000003</v>
      </c>
      <c r="R863" s="4">
        <f t="shared" si="69"/>
        <v>0.50880065493246007</v>
      </c>
      <c r="S863" t="s">
        <v>99</v>
      </c>
      <c r="T863">
        <f>Table6[[#This Row],[Discount]]*Table6[[#This Row],[List Price]]*Table6[[#This Row],[Units]]</f>
        <v>446.02199999999999</v>
      </c>
    </row>
    <row r="864" spans="1:20" x14ac:dyDescent="0.2">
      <c r="A864" t="s">
        <v>957</v>
      </c>
      <c r="B864" s="2">
        <v>46280.709379315987</v>
      </c>
      <c r="C864" t="s">
        <v>98</v>
      </c>
      <c r="D864" t="s">
        <v>85</v>
      </c>
      <c r="E864" t="s">
        <v>56</v>
      </c>
      <c r="F864" t="s">
        <v>18</v>
      </c>
      <c r="G864" t="s">
        <v>68</v>
      </c>
      <c r="H864" t="str">
        <f>_xlfn.XLOOKUP(Table6[[#This Row],[SKU]],tblProductMaster[SKU],tblProductMaster[Product])</f>
        <v>Kids Toothpaste</v>
      </c>
      <c r="I864">
        <v>579</v>
      </c>
      <c r="J864">
        <f>_xlfn.XLOOKUP(G864,[1]!tblProductMaster[SKU],[1]!tblProductMaster[List Price])</f>
        <v>3.29</v>
      </c>
      <c r="K864" t="s">
        <v>89</v>
      </c>
      <c r="L864" s="3">
        <v>0.1</v>
      </c>
      <c r="M864" s="9">
        <f t="shared" si="65"/>
        <v>2.9610000000000003</v>
      </c>
      <c r="N864" s="8">
        <f t="shared" si="66"/>
        <v>1714.4190000000001</v>
      </c>
      <c r="O864" s="9">
        <f>_xlfn.XLOOKUP(G864,[1]!tblProductMaster[SKU],[1]!tblProductMaster[Unit Cost])</f>
        <v>1.1000000000000001</v>
      </c>
      <c r="P864" s="8">
        <f t="shared" si="67"/>
        <v>636.90000000000009</v>
      </c>
      <c r="Q864" s="8">
        <f t="shared" si="68"/>
        <v>1077.519</v>
      </c>
      <c r="R864" s="4">
        <f t="shared" si="69"/>
        <v>0.62850388382303268</v>
      </c>
      <c r="S864" t="s">
        <v>99</v>
      </c>
      <c r="T864">
        <f>Table6[[#This Row],[Discount]]*Table6[[#This Row],[List Price]]*Table6[[#This Row],[Units]]</f>
        <v>190.49100000000001</v>
      </c>
    </row>
    <row r="865" spans="1:20" x14ac:dyDescent="0.2">
      <c r="A865" t="s">
        <v>958</v>
      </c>
      <c r="B865" s="2">
        <v>46134.988856400123</v>
      </c>
      <c r="C865" t="s">
        <v>98</v>
      </c>
      <c r="D865" t="s">
        <v>96</v>
      </c>
      <c r="E865" t="s">
        <v>8</v>
      </c>
      <c r="F865" t="s">
        <v>15</v>
      </c>
      <c r="G865" t="s">
        <v>16</v>
      </c>
      <c r="H865" t="str">
        <f>_xlfn.XLOOKUP(Table6[[#This Row],[SKU]],tblProductMaster[SKU],tblProductMaster[Product])</f>
        <v>Conditioner 250ml</v>
      </c>
      <c r="I865">
        <v>417</v>
      </c>
      <c r="J865">
        <f>_xlfn.XLOOKUP(G865,[1]!tblProductMaster[SKU],[1]!tblProductMaster[List Price])</f>
        <v>4.79</v>
      </c>
      <c r="K865" t="s">
        <v>89</v>
      </c>
      <c r="L865" s="3">
        <v>0.3</v>
      </c>
      <c r="M865" s="9">
        <f t="shared" si="65"/>
        <v>3.3529999999999998</v>
      </c>
      <c r="N865" s="8">
        <f t="shared" si="66"/>
        <v>1398.2009999999998</v>
      </c>
      <c r="O865" s="9">
        <f>_xlfn.XLOOKUP(G865,[1]!tblProductMaster[SKU],[1]!tblProductMaster[Unit Cost])</f>
        <v>2</v>
      </c>
      <c r="P865" s="8">
        <f t="shared" si="67"/>
        <v>834</v>
      </c>
      <c r="Q865" s="8">
        <f t="shared" si="68"/>
        <v>564.20099999999979</v>
      </c>
      <c r="R865" s="4">
        <f t="shared" si="69"/>
        <v>0.40351923650462262</v>
      </c>
      <c r="S865" t="s">
        <v>99</v>
      </c>
      <c r="T865">
        <f>Table6[[#This Row],[Discount]]*Table6[[#This Row],[List Price]]*Table6[[#This Row],[Units]]</f>
        <v>599.22900000000004</v>
      </c>
    </row>
    <row r="866" spans="1:20" x14ac:dyDescent="0.2">
      <c r="A866" t="s">
        <v>959</v>
      </c>
      <c r="B866" s="2">
        <v>46326.707045031217</v>
      </c>
      <c r="C866" t="s">
        <v>93</v>
      </c>
      <c r="D866" t="s">
        <v>96</v>
      </c>
      <c r="E866" t="s">
        <v>25</v>
      </c>
      <c r="F866" t="s">
        <v>7</v>
      </c>
      <c r="G866" t="s">
        <v>24</v>
      </c>
      <c r="H866" t="str">
        <f>_xlfn.XLOOKUP(Table6[[#This Row],[SKU]],tblProductMaster[SKU],tblProductMaster[Product])</f>
        <v>Body Lotion 400ml</v>
      </c>
      <c r="I866">
        <v>354</v>
      </c>
      <c r="J866">
        <f>_xlfn.XLOOKUP(G866,[1]!tblProductMaster[SKU],[1]!tblProductMaster[List Price])</f>
        <v>7.99</v>
      </c>
      <c r="K866" t="s">
        <v>86</v>
      </c>
      <c r="L866" s="3">
        <v>0</v>
      </c>
      <c r="M866" s="9">
        <f t="shared" si="65"/>
        <v>7.99</v>
      </c>
      <c r="N866" s="8">
        <f t="shared" si="66"/>
        <v>2828.46</v>
      </c>
      <c r="O866" s="9">
        <f>_xlfn.XLOOKUP(G866,[1]!tblProductMaster[SKU],[1]!tblProductMaster[Unit Cost])</f>
        <v>3.1</v>
      </c>
      <c r="P866" s="8">
        <f t="shared" si="67"/>
        <v>1097.4000000000001</v>
      </c>
      <c r="Q866" s="8">
        <f t="shared" si="68"/>
        <v>1731.06</v>
      </c>
      <c r="R866" s="4">
        <f t="shared" si="69"/>
        <v>0.61201501877346676</v>
      </c>
      <c r="S866" t="s">
        <v>87</v>
      </c>
      <c r="T866">
        <f>Table6[[#This Row],[Discount]]*Table6[[#This Row],[List Price]]*Table6[[#This Row],[Units]]</f>
        <v>0</v>
      </c>
    </row>
    <row r="867" spans="1:20" x14ac:dyDescent="0.2">
      <c r="A867" t="s">
        <v>960</v>
      </c>
      <c r="B867" s="2">
        <v>46229.032029901311</v>
      </c>
      <c r="C867" t="s">
        <v>84</v>
      </c>
      <c r="D867" t="s">
        <v>85</v>
      </c>
      <c r="E867" t="s">
        <v>8</v>
      </c>
      <c r="F867" t="s">
        <v>15</v>
      </c>
      <c r="G867" t="s">
        <v>22</v>
      </c>
      <c r="H867" t="str">
        <f>_xlfn.XLOOKUP(Table6[[#This Row],[SKU]],tblProductMaster[SKU],tblProductMaster[Product])</f>
        <v>Styling Gel</v>
      </c>
      <c r="I867">
        <v>611</v>
      </c>
      <c r="J867">
        <f>_xlfn.XLOOKUP(G867,[1]!tblProductMaster[SKU],[1]!tblProductMaster[List Price])</f>
        <v>4.49</v>
      </c>
      <c r="K867" t="s">
        <v>86</v>
      </c>
      <c r="L867" s="3">
        <v>0</v>
      </c>
      <c r="M867" s="9">
        <f t="shared" si="65"/>
        <v>4.49</v>
      </c>
      <c r="N867" s="8">
        <f t="shared" si="66"/>
        <v>2743.3900000000003</v>
      </c>
      <c r="O867" s="9">
        <f>_xlfn.XLOOKUP(G867,[1]!tblProductMaster[SKU],[1]!tblProductMaster[Unit Cost])</f>
        <v>1.9</v>
      </c>
      <c r="P867" s="8">
        <f t="shared" si="67"/>
        <v>1160.8999999999999</v>
      </c>
      <c r="Q867" s="8">
        <f t="shared" si="68"/>
        <v>1582.4900000000005</v>
      </c>
      <c r="R867" s="4">
        <f t="shared" si="69"/>
        <v>0.57683741648106912</v>
      </c>
      <c r="S867" t="s">
        <v>87</v>
      </c>
      <c r="T867">
        <f>Table6[[#This Row],[Discount]]*Table6[[#This Row],[List Price]]*Table6[[#This Row],[Units]]</f>
        <v>0</v>
      </c>
    </row>
    <row r="868" spans="1:20" x14ac:dyDescent="0.2">
      <c r="A868" t="s">
        <v>961</v>
      </c>
      <c r="B868" s="2">
        <v>46108.045972147083</v>
      </c>
      <c r="C868" t="s">
        <v>98</v>
      </c>
      <c r="D868" t="s">
        <v>96</v>
      </c>
      <c r="E868" t="s">
        <v>8</v>
      </c>
      <c r="F868" t="s">
        <v>7</v>
      </c>
      <c r="G868" t="s">
        <v>10</v>
      </c>
      <c r="H868" t="str">
        <f>_xlfn.XLOOKUP(Table6[[#This Row],[SKU]],tblProductMaster[SKU],tblProductMaster[Product])</f>
        <v>Shampoo 500ml</v>
      </c>
      <c r="I868">
        <v>368</v>
      </c>
      <c r="J868">
        <f>_xlfn.XLOOKUP(G868,[1]!tblProductMaster[SKU],[1]!tblProductMaster[List Price])</f>
        <v>8.99</v>
      </c>
      <c r="K868" t="s">
        <v>86</v>
      </c>
      <c r="L868" s="3">
        <v>0</v>
      </c>
      <c r="M868" s="9">
        <f t="shared" si="65"/>
        <v>8.99</v>
      </c>
      <c r="N868" s="8">
        <f t="shared" si="66"/>
        <v>3308.32</v>
      </c>
      <c r="O868" s="9">
        <f>_xlfn.XLOOKUP(G868,[1]!tblProductMaster[SKU],[1]!tblProductMaster[Unit Cost])</f>
        <v>3.6</v>
      </c>
      <c r="P868" s="8">
        <f t="shared" si="67"/>
        <v>1324.8</v>
      </c>
      <c r="Q868" s="8">
        <f t="shared" si="68"/>
        <v>1983.5200000000002</v>
      </c>
      <c r="R868" s="4">
        <f t="shared" si="69"/>
        <v>0.59955506117908786</v>
      </c>
      <c r="S868" t="s">
        <v>87</v>
      </c>
      <c r="T868">
        <f>Table6[[#This Row],[Discount]]*Table6[[#This Row],[List Price]]*Table6[[#This Row],[Units]]</f>
        <v>0</v>
      </c>
    </row>
    <row r="869" spans="1:20" x14ac:dyDescent="0.2">
      <c r="A869" t="s">
        <v>962</v>
      </c>
      <c r="B869" s="2">
        <v>46382.191112444067</v>
      </c>
      <c r="C869" t="s">
        <v>84</v>
      </c>
      <c r="D869" t="s">
        <v>96</v>
      </c>
      <c r="E869" t="s">
        <v>56</v>
      </c>
      <c r="F869" t="s">
        <v>18</v>
      </c>
      <c r="G869" t="s">
        <v>60</v>
      </c>
      <c r="H869" t="str">
        <f>_xlfn.XLOOKUP(Table6[[#This Row],[SKU]],tblProductMaster[SKU],tblProductMaster[Product])</f>
        <v>Sensitive Toothpaste</v>
      </c>
      <c r="I869">
        <v>698</v>
      </c>
      <c r="J869">
        <f>_xlfn.XLOOKUP(G869,[1]!tblProductMaster[SKU],[1]!tblProductMaster[List Price])</f>
        <v>4.49</v>
      </c>
      <c r="K869" t="s">
        <v>86</v>
      </c>
      <c r="L869" s="3">
        <v>0</v>
      </c>
      <c r="M869" s="9">
        <f t="shared" si="65"/>
        <v>4.49</v>
      </c>
      <c r="N869" s="8">
        <f t="shared" si="66"/>
        <v>3134.02</v>
      </c>
      <c r="O869" s="9">
        <f>_xlfn.XLOOKUP(G869,[1]!tblProductMaster[SKU],[1]!tblProductMaster[Unit Cost])</f>
        <v>1.7</v>
      </c>
      <c r="P869" s="8">
        <f t="shared" si="67"/>
        <v>1186.5999999999999</v>
      </c>
      <c r="Q869" s="8">
        <f t="shared" si="68"/>
        <v>1947.42</v>
      </c>
      <c r="R869" s="4">
        <f t="shared" si="69"/>
        <v>0.6213808463251671</v>
      </c>
      <c r="S869" t="s">
        <v>87</v>
      </c>
      <c r="T869">
        <f>Table6[[#This Row],[Discount]]*Table6[[#This Row],[List Price]]*Table6[[#This Row],[Units]]</f>
        <v>0</v>
      </c>
    </row>
    <row r="870" spans="1:20" x14ac:dyDescent="0.2">
      <c r="A870" t="s">
        <v>963</v>
      </c>
      <c r="B870" s="2">
        <v>46294.215744631125</v>
      </c>
      <c r="C870" t="s">
        <v>93</v>
      </c>
      <c r="D870" t="s">
        <v>104</v>
      </c>
      <c r="E870" t="s">
        <v>56</v>
      </c>
      <c r="F870" t="s">
        <v>15</v>
      </c>
      <c r="G870" t="s">
        <v>62</v>
      </c>
      <c r="H870" t="str">
        <f>_xlfn.XLOOKUP(Table6[[#This Row],[SKU]],tblProductMaster[SKU],tblProductMaster[Product])</f>
        <v>Mouthwash 500ml</v>
      </c>
      <c r="I870">
        <v>384</v>
      </c>
      <c r="J870">
        <f>_xlfn.XLOOKUP(G870,[1]!tblProductMaster[SKU],[1]!tblProductMaster[List Price])</f>
        <v>5.99</v>
      </c>
      <c r="K870" t="s">
        <v>86</v>
      </c>
      <c r="L870" s="3">
        <v>0</v>
      </c>
      <c r="M870" s="9">
        <f t="shared" si="65"/>
        <v>5.99</v>
      </c>
      <c r="N870" s="8">
        <f t="shared" si="66"/>
        <v>2300.16</v>
      </c>
      <c r="O870" s="9">
        <f>_xlfn.XLOOKUP(G870,[1]!tblProductMaster[SKU],[1]!tblProductMaster[Unit Cost])</f>
        <v>2.4</v>
      </c>
      <c r="P870" s="8">
        <f t="shared" si="67"/>
        <v>921.59999999999991</v>
      </c>
      <c r="Q870" s="8">
        <f t="shared" si="68"/>
        <v>1378.56</v>
      </c>
      <c r="R870" s="4">
        <f t="shared" si="69"/>
        <v>0.59933222036727885</v>
      </c>
      <c r="S870" t="s">
        <v>87</v>
      </c>
      <c r="T870">
        <f>Table6[[#This Row],[Discount]]*Table6[[#This Row],[List Price]]*Table6[[#This Row],[Units]]</f>
        <v>0</v>
      </c>
    </row>
    <row r="871" spans="1:20" x14ac:dyDescent="0.2">
      <c r="A871" t="s">
        <v>964</v>
      </c>
      <c r="B871" s="2">
        <v>46024.358899703388</v>
      </c>
      <c r="C871" t="s">
        <v>84</v>
      </c>
      <c r="D871" t="s">
        <v>96</v>
      </c>
      <c r="E871" t="s">
        <v>25</v>
      </c>
      <c r="F871" t="s">
        <v>18</v>
      </c>
      <c r="G871" t="s">
        <v>27</v>
      </c>
      <c r="H871" t="str">
        <f>_xlfn.XLOOKUP(Table6[[#This Row],[SKU]],tblProductMaster[SKU],tblProductMaster[Product])</f>
        <v>Face Cream 50ml</v>
      </c>
      <c r="I871">
        <v>1004</v>
      </c>
      <c r="J871">
        <f>_xlfn.XLOOKUP(G871,[1]!tblProductMaster[SKU],[1]!tblProductMaster[List Price])</f>
        <v>9.99</v>
      </c>
      <c r="K871" t="s">
        <v>89</v>
      </c>
      <c r="L871" s="3">
        <v>0.1</v>
      </c>
      <c r="M871" s="9">
        <f t="shared" si="65"/>
        <v>8.9909999999999997</v>
      </c>
      <c r="N871" s="8">
        <f t="shared" si="66"/>
        <v>9026.9639999999999</v>
      </c>
      <c r="O871" s="9">
        <f>_xlfn.XLOOKUP(G871,[1]!tblProductMaster[SKU],[1]!tblProductMaster[Unit Cost])</f>
        <v>4.2</v>
      </c>
      <c r="P871" s="8">
        <f t="shared" si="67"/>
        <v>4216.8</v>
      </c>
      <c r="Q871" s="8">
        <f t="shared" si="68"/>
        <v>4810.1639999999998</v>
      </c>
      <c r="R871" s="4">
        <f t="shared" si="69"/>
        <v>0.53286619953286618</v>
      </c>
      <c r="S871" t="s">
        <v>90</v>
      </c>
      <c r="T871">
        <f>Table6[[#This Row],[Discount]]*Table6[[#This Row],[List Price]]*Table6[[#This Row],[Units]]</f>
        <v>1002.9960000000001</v>
      </c>
    </row>
    <row r="872" spans="1:20" x14ac:dyDescent="0.2">
      <c r="A872" t="s">
        <v>965</v>
      </c>
      <c r="B872" s="2">
        <v>46103.330707135392</v>
      </c>
      <c r="C872" t="s">
        <v>93</v>
      </c>
      <c r="D872" t="s">
        <v>96</v>
      </c>
      <c r="E872" t="s">
        <v>25</v>
      </c>
      <c r="F872" t="s">
        <v>18</v>
      </c>
      <c r="G872" t="s">
        <v>37</v>
      </c>
      <c r="H872" t="str">
        <f>_xlfn.XLOOKUP(Table6[[#This Row],[SKU]],tblProductMaster[SKU],tblProductMaster[Product])</f>
        <v>Body Wash</v>
      </c>
      <c r="I872">
        <v>447</v>
      </c>
      <c r="J872">
        <f>_xlfn.XLOOKUP(G872,[1]!tblProductMaster[SKU],[1]!tblProductMaster[List Price])</f>
        <v>5.49</v>
      </c>
      <c r="K872" t="s">
        <v>86</v>
      </c>
      <c r="L872" s="3">
        <v>0</v>
      </c>
      <c r="M872" s="9">
        <f t="shared" si="65"/>
        <v>5.49</v>
      </c>
      <c r="N872" s="8">
        <f t="shared" si="66"/>
        <v>2454.0300000000002</v>
      </c>
      <c r="O872" s="9">
        <f>_xlfn.XLOOKUP(G872,[1]!tblProductMaster[SKU],[1]!tblProductMaster[Unit Cost])</f>
        <v>2.2999999999999998</v>
      </c>
      <c r="P872" s="8">
        <f t="shared" si="67"/>
        <v>1028.0999999999999</v>
      </c>
      <c r="Q872" s="8">
        <f t="shared" si="68"/>
        <v>1425.9300000000003</v>
      </c>
      <c r="R872" s="4">
        <f t="shared" si="69"/>
        <v>0.58105646630236796</v>
      </c>
      <c r="S872" t="s">
        <v>87</v>
      </c>
      <c r="T872">
        <f>Table6[[#This Row],[Discount]]*Table6[[#This Row],[List Price]]*Table6[[#This Row],[Units]]</f>
        <v>0</v>
      </c>
    </row>
    <row r="873" spans="1:20" x14ac:dyDescent="0.2">
      <c r="A873" t="s">
        <v>966</v>
      </c>
      <c r="B873" s="2">
        <v>46315.271012394398</v>
      </c>
      <c r="C873" t="s">
        <v>84</v>
      </c>
      <c r="D873" t="s">
        <v>96</v>
      </c>
      <c r="E873" t="s">
        <v>8</v>
      </c>
      <c r="F873" t="s">
        <v>15</v>
      </c>
      <c r="G873" t="s">
        <v>16</v>
      </c>
      <c r="H873" t="str">
        <f>_xlfn.XLOOKUP(Table6[[#This Row],[SKU]],tblProductMaster[SKU],tblProductMaster[Product])</f>
        <v>Conditioner 250ml</v>
      </c>
      <c r="I873">
        <v>319</v>
      </c>
      <c r="J873">
        <f>_xlfn.XLOOKUP(G873,[1]!tblProductMaster[SKU],[1]!tblProductMaster[List Price])</f>
        <v>4.79</v>
      </c>
      <c r="K873" t="s">
        <v>86</v>
      </c>
      <c r="L873" s="3">
        <v>0</v>
      </c>
      <c r="M873" s="9">
        <f t="shared" si="65"/>
        <v>4.79</v>
      </c>
      <c r="N873" s="8">
        <f t="shared" si="66"/>
        <v>1528.01</v>
      </c>
      <c r="O873" s="9">
        <f>_xlfn.XLOOKUP(G873,[1]!tblProductMaster[SKU],[1]!tblProductMaster[Unit Cost])</f>
        <v>2</v>
      </c>
      <c r="P873" s="8">
        <f t="shared" si="67"/>
        <v>638</v>
      </c>
      <c r="Q873" s="8">
        <f t="shared" si="68"/>
        <v>890.01</v>
      </c>
      <c r="R873" s="4">
        <f t="shared" si="69"/>
        <v>0.58246346555323592</v>
      </c>
      <c r="S873" t="s">
        <v>87</v>
      </c>
      <c r="T873">
        <f>Table6[[#This Row],[Discount]]*Table6[[#This Row],[List Price]]*Table6[[#This Row],[Units]]</f>
        <v>0</v>
      </c>
    </row>
    <row r="874" spans="1:20" x14ac:dyDescent="0.2">
      <c r="A874" t="s">
        <v>967</v>
      </c>
      <c r="B874" s="2">
        <v>46152.242809535121</v>
      </c>
      <c r="C874" t="s">
        <v>93</v>
      </c>
      <c r="D874" t="s">
        <v>85</v>
      </c>
      <c r="E874" t="s">
        <v>8</v>
      </c>
      <c r="F874" t="s">
        <v>15</v>
      </c>
      <c r="G874" t="s">
        <v>22</v>
      </c>
      <c r="H874" t="str">
        <f>_xlfn.XLOOKUP(Table6[[#This Row],[SKU]],tblProductMaster[SKU],tblProductMaster[Product])</f>
        <v>Styling Gel</v>
      </c>
      <c r="I874">
        <v>585</v>
      </c>
      <c r="J874">
        <f>_xlfn.XLOOKUP(G874,[1]!tblProductMaster[SKU],[1]!tblProductMaster[List Price])</f>
        <v>4.49</v>
      </c>
      <c r="K874" t="s">
        <v>86</v>
      </c>
      <c r="L874" s="3">
        <v>0</v>
      </c>
      <c r="M874" s="9">
        <f t="shared" si="65"/>
        <v>4.49</v>
      </c>
      <c r="N874" s="8">
        <f t="shared" si="66"/>
        <v>2626.65</v>
      </c>
      <c r="O874" s="9">
        <f>_xlfn.XLOOKUP(G874,[1]!tblProductMaster[SKU],[1]!tblProductMaster[Unit Cost])</f>
        <v>1.9</v>
      </c>
      <c r="P874" s="8">
        <f t="shared" si="67"/>
        <v>1111.5</v>
      </c>
      <c r="Q874" s="8">
        <f t="shared" si="68"/>
        <v>1515.15</v>
      </c>
      <c r="R874" s="4">
        <f t="shared" si="69"/>
        <v>0.57683741648106901</v>
      </c>
      <c r="S874" t="s">
        <v>87</v>
      </c>
      <c r="T874">
        <f>Table6[[#This Row],[Discount]]*Table6[[#This Row],[List Price]]*Table6[[#This Row],[Units]]</f>
        <v>0</v>
      </c>
    </row>
    <row r="875" spans="1:20" x14ac:dyDescent="0.2">
      <c r="A875" t="s">
        <v>968</v>
      </c>
      <c r="B875" s="2">
        <v>46331.671557241214</v>
      </c>
      <c r="C875" t="s">
        <v>84</v>
      </c>
      <c r="D875" t="s">
        <v>85</v>
      </c>
      <c r="E875" t="s">
        <v>56</v>
      </c>
      <c r="F875" t="s">
        <v>18</v>
      </c>
      <c r="G875" t="s">
        <v>68</v>
      </c>
      <c r="H875" t="str">
        <f>_xlfn.XLOOKUP(Table6[[#This Row],[SKU]],tblProductMaster[SKU],tblProductMaster[Product])</f>
        <v>Kids Toothpaste</v>
      </c>
      <c r="I875">
        <v>344</v>
      </c>
      <c r="J875">
        <f>_xlfn.XLOOKUP(G875,[1]!tblProductMaster[SKU],[1]!tblProductMaster[List Price])</f>
        <v>3.29</v>
      </c>
      <c r="K875" t="s">
        <v>86</v>
      </c>
      <c r="L875" s="3">
        <v>0</v>
      </c>
      <c r="M875" s="9">
        <f t="shared" si="65"/>
        <v>3.29</v>
      </c>
      <c r="N875" s="8">
        <f t="shared" si="66"/>
        <v>1131.76</v>
      </c>
      <c r="O875" s="9">
        <f>_xlfn.XLOOKUP(G875,[1]!tblProductMaster[SKU],[1]!tblProductMaster[Unit Cost])</f>
        <v>1.1000000000000001</v>
      </c>
      <c r="P875" s="8">
        <f t="shared" si="67"/>
        <v>378.40000000000003</v>
      </c>
      <c r="Q875" s="8">
        <f t="shared" si="68"/>
        <v>753.3599999999999</v>
      </c>
      <c r="R875" s="4">
        <f t="shared" si="69"/>
        <v>0.66565349544072938</v>
      </c>
      <c r="S875" t="s">
        <v>87</v>
      </c>
      <c r="T875">
        <f>Table6[[#This Row],[Discount]]*Table6[[#This Row],[List Price]]*Table6[[#This Row],[Units]]</f>
        <v>0</v>
      </c>
    </row>
    <row r="876" spans="1:20" x14ac:dyDescent="0.2">
      <c r="A876" t="s">
        <v>969</v>
      </c>
      <c r="B876" s="2">
        <v>46089.720652219556</v>
      </c>
      <c r="C876" t="s">
        <v>93</v>
      </c>
      <c r="D876" t="s">
        <v>85</v>
      </c>
      <c r="E876" t="s">
        <v>40</v>
      </c>
      <c r="F876" t="s">
        <v>7</v>
      </c>
      <c r="G876" t="s">
        <v>48</v>
      </c>
      <c r="H876" t="str">
        <f>_xlfn.XLOOKUP(Table6[[#This Row],[SKU]],tblProductMaster[SKU],tblProductMaster[Product])</f>
        <v>Color Detergent</v>
      </c>
      <c r="I876">
        <v>653</v>
      </c>
      <c r="J876">
        <f>_xlfn.XLOOKUP(G876,[1]!tblProductMaster[SKU],[1]!tblProductMaster[List Price])</f>
        <v>9.49</v>
      </c>
      <c r="K876" t="s">
        <v>86</v>
      </c>
      <c r="L876" s="3">
        <v>0</v>
      </c>
      <c r="M876" s="9">
        <f t="shared" si="65"/>
        <v>9.49</v>
      </c>
      <c r="N876" s="8">
        <f t="shared" si="66"/>
        <v>6196.97</v>
      </c>
      <c r="O876" s="9">
        <f>_xlfn.XLOOKUP(G876,[1]!tblProductMaster[SKU],[1]!tblProductMaster[Unit Cost])</f>
        <v>4</v>
      </c>
      <c r="P876" s="8">
        <f t="shared" si="67"/>
        <v>2612</v>
      </c>
      <c r="Q876" s="8">
        <f t="shared" si="68"/>
        <v>3584.9700000000003</v>
      </c>
      <c r="R876" s="4">
        <f t="shared" si="69"/>
        <v>0.57850368809272923</v>
      </c>
      <c r="S876" t="s">
        <v>87</v>
      </c>
      <c r="T876">
        <f>Table6[[#This Row],[Discount]]*Table6[[#This Row],[List Price]]*Table6[[#This Row],[Units]]</f>
        <v>0</v>
      </c>
    </row>
    <row r="877" spans="1:20" x14ac:dyDescent="0.2">
      <c r="A877" t="s">
        <v>970</v>
      </c>
      <c r="B877" s="2">
        <v>46251.485157118921</v>
      </c>
      <c r="C877" t="s">
        <v>93</v>
      </c>
      <c r="D877" t="s">
        <v>96</v>
      </c>
      <c r="E877" t="s">
        <v>56</v>
      </c>
      <c r="F877" t="s">
        <v>15</v>
      </c>
      <c r="G877" t="s">
        <v>55</v>
      </c>
      <c r="H877" t="str">
        <f>_xlfn.XLOOKUP(Table6[[#This Row],[SKU]],tblProductMaster[SKU],tblProductMaster[Product])</f>
        <v>Toothpaste 75ml</v>
      </c>
      <c r="I877">
        <v>777</v>
      </c>
      <c r="J877">
        <f>_xlfn.XLOOKUP(G877,[1]!tblProductMaster[SKU],[1]!tblProductMaster[List Price])</f>
        <v>3.49</v>
      </c>
      <c r="K877" t="s">
        <v>86</v>
      </c>
      <c r="L877" s="3">
        <v>0</v>
      </c>
      <c r="M877" s="9">
        <f t="shared" si="65"/>
        <v>3.49</v>
      </c>
      <c r="N877" s="8">
        <f t="shared" si="66"/>
        <v>2711.73</v>
      </c>
      <c r="O877" s="9">
        <f>_xlfn.XLOOKUP(G877,[1]!tblProductMaster[SKU],[1]!tblProductMaster[Unit Cost])</f>
        <v>1.2</v>
      </c>
      <c r="P877" s="8">
        <f t="shared" si="67"/>
        <v>932.4</v>
      </c>
      <c r="Q877" s="8">
        <f t="shared" si="68"/>
        <v>1779.33</v>
      </c>
      <c r="R877" s="4">
        <f t="shared" si="69"/>
        <v>0.65616045845272208</v>
      </c>
      <c r="S877" t="s">
        <v>87</v>
      </c>
      <c r="T877">
        <f>Table6[[#This Row],[Discount]]*Table6[[#This Row],[List Price]]*Table6[[#This Row],[Units]]</f>
        <v>0</v>
      </c>
    </row>
    <row r="878" spans="1:20" x14ac:dyDescent="0.2">
      <c r="A878" t="s">
        <v>971</v>
      </c>
      <c r="B878" s="2">
        <v>46327.884645220518</v>
      </c>
      <c r="C878" t="s">
        <v>84</v>
      </c>
      <c r="D878" t="s">
        <v>96</v>
      </c>
      <c r="E878" t="s">
        <v>25</v>
      </c>
      <c r="F878" t="s">
        <v>7</v>
      </c>
      <c r="G878" t="s">
        <v>33</v>
      </c>
      <c r="H878" t="str">
        <f>_xlfn.XLOOKUP(Table6[[#This Row],[SKU]],tblProductMaster[SKU],tblProductMaster[Product])</f>
        <v>Sunscreen 200ml</v>
      </c>
      <c r="I878">
        <v>463</v>
      </c>
      <c r="J878">
        <f>_xlfn.XLOOKUP(G878,[1]!tblProductMaster[SKU],[1]!tblProductMaster[List Price])</f>
        <v>10.99</v>
      </c>
      <c r="K878" t="s">
        <v>86</v>
      </c>
      <c r="L878" s="3">
        <v>0</v>
      </c>
      <c r="M878" s="9">
        <f t="shared" si="65"/>
        <v>10.99</v>
      </c>
      <c r="N878" s="8">
        <f t="shared" si="66"/>
        <v>5088.37</v>
      </c>
      <c r="O878" s="9">
        <f>_xlfn.XLOOKUP(G878,[1]!tblProductMaster[SKU],[1]!tblProductMaster[Unit Cost])</f>
        <v>4.5999999999999996</v>
      </c>
      <c r="P878" s="8">
        <f t="shared" si="67"/>
        <v>2129.7999999999997</v>
      </c>
      <c r="Q878" s="8">
        <f t="shared" si="68"/>
        <v>2958.57</v>
      </c>
      <c r="R878" s="4">
        <f t="shared" si="69"/>
        <v>0.58143767060964513</v>
      </c>
      <c r="S878" t="s">
        <v>87</v>
      </c>
      <c r="T878">
        <f>Table6[[#This Row],[Discount]]*Table6[[#This Row],[List Price]]*Table6[[#This Row],[Units]]</f>
        <v>0</v>
      </c>
    </row>
    <row r="879" spans="1:20" x14ac:dyDescent="0.2">
      <c r="A879" t="s">
        <v>972</v>
      </c>
      <c r="B879" s="2">
        <v>46088.258871280137</v>
      </c>
      <c r="C879" t="s">
        <v>84</v>
      </c>
      <c r="D879" t="s">
        <v>104</v>
      </c>
      <c r="E879" t="s">
        <v>56</v>
      </c>
      <c r="F879" t="s">
        <v>18</v>
      </c>
      <c r="G879" t="s">
        <v>60</v>
      </c>
      <c r="H879" t="str">
        <f>_xlfn.XLOOKUP(Table6[[#This Row],[SKU]],tblProductMaster[SKU],tblProductMaster[Product])</f>
        <v>Sensitive Toothpaste</v>
      </c>
      <c r="I879">
        <v>451</v>
      </c>
      <c r="J879">
        <f>_xlfn.XLOOKUP(G879,[1]!tblProductMaster[SKU],[1]!tblProductMaster[List Price])</f>
        <v>4.49</v>
      </c>
      <c r="K879" t="s">
        <v>89</v>
      </c>
      <c r="L879" s="3">
        <v>0.3</v>
      </c>
      <c r="M879" s="9">
        <f t="shared" si="65"/>
        <v>3.1429999999999998</v>
      </c>
      <c r="N879" s="8">
        <f t="shared" si="66"/>
        <v>1417.4929999999999</v>
      </c>
      <c r="O879" s="9">
        <f>_xlfn.XLOOKUP(G879,[1]!tblProductMaster[SKU],[1]!tblProductMaster[Unit Cost])</f>
        <v>1.7</v>
      </c>
      <c r="P879" s="8">
        <f t="shared" si="67"/>
        <v>766.69999999999993</v>
      </c>
      <c r="Q879" s="8">
        <f t="shared" si="68"/>
        <v>650.79300000000001</v>
      </c>
      <c r="R879" s="4">
        <f t="shared" si="69"/>
        <v>0.45911549475023866</v>
      </c>
      <c r="S879" t="s">
        <v>94</v>
      </c>
      <c r="T879">
        <f>Table6[[#This Row],[Discount]]*Table6[[#This Row],[List Price]]*Table6[[#This Row],[Units]]</f>
        <v>607.49699999999996</v>
      </c>
    </row>
    <row r="880" spans="1:20" x14ac:dyDescent="0.2">
      <c r="A880" t="s">
        <v>973</v>
      </c>
      <c r="B880" s="2">
        <v>46070.329393026266</v>
      </c>
      <c r="C880" t="s">
        <v>93</v>
      </c>
      <c r="D880" t="s">
        <v>85</v>
      </c>
      <c r="E880" t="s">
        <v>40</v>
      </c>
      <c r="F880" t="s">
        <v>15</v>
      </c>
      <c r="G880" t="s">
        <v>52</v>
      </c>
      <c r="H880" t="str">
        <f>_xlfn.XLOOKUP(Table6[[#This Row],[SKU]],tblProductMaster[SKU],tblProductMaster[Product])</f>
        <v>Laundry Pods</v>
      </c>
      <c r="I880">
        <v>493</v>
      </c>
      <c r="J880">
        <f>_xlfn.XLOOKUP(G880,[1]!tblProductMaster[SKU],[1]!tblProductMaster[List Price])</f>
        <v>10.49</v>
      </c>
      <c r="K880" t="s">
        <v>86</v>
      </c>
      <c r="L880" s="3">
        <v>0</v>
      </c>
      <c r="M880" s="9">
        <f t="shared" si="65"/>
        <v>10.49</v>
      </c>
      <c r="N880" s="8">
        <f t="shared" si="66"/>
        <v>5171.57</v>
      </c>
      <c r="O880" s="9">
        <f>_xlfn.XLOOKUP(G880,[1]!tblProductMaster[SKU],[1]!tblProductMaster[Unit Cost])</f>
        <v>4.5999999999999996</v>
      </c>
      <c r="P880" s="8">
        <f t="shared" si="67"/>
        <v>2267.7999999999997</v>
      </c>
      <c r="Q880" s="8">
        <f t="shared" si="68"/>
        <v>2903.77</v>
      </c>
      <c r="R880" s="4">
        <f t="shared" si="69"/>
        <v>0.56148713060057198</v>
      </c>
      <c r="S880" t="s">
        <v>87</v>
      </c>
      <c r="T880">
        <f>Table6[[#This Row],[Discount]]*Table6[[#This Row],[List Price]]*Table6[[#This Row],[Units]]</f>
        <v>0</v>
      </c>
    </row>
    <row r="881" spans="1:20" x14ac:dyDescent="0.2">
      <c r="A881" t="s">
        <v>974</v>
      </c>
      <c r="B881" s="2">
        <v>46373.308173613426</v>
      </c>
      <c r="C881" t="s">
        <v>98</v>
      </c>
      <c r="D881" t="s">
        <v>104</v>
      </c>
      <c r="E881" t="s">
        <v>56</v>
      </c>
      <c r="F881" t="s">
        <v>7</v>
      </c>
      <c r="G881" t="s">
        <v>64</v>
      </c>
      <c r="H881" t="str">
        <f>_xlfn.XLOOKUP(Table6[[#This Row],[SKU]],tblProductMaster[SKU],tblProductMaster[Product])</f>
        <v>Toothbrush</v>
      </c>
      <c r="I881">
        <v>213</v>
      </c>
      <c r="J881">
        <f>_xlfn.XLOOKUP(G881,[1]!tblProductMaster[SKU],[1]!tblProductMaster[List Price])</f>
        <v>3.99</v>
      </c>
      <c r="K881" t="s">
        <v>86</v>
      </c>
      <c r="L881" s="3">
        <v>0</v>
      </c>
      <c r="M881" s="9">
        <f t="shared" si="65"/>
        <v>3.99</v>
      </c>
      <c r="N881" s="8">
        <f t="shared" si="66"/>
        <v>849.87</v>
      </c>
      <c r="O881" s="9">
        <f>_xlfn.XLOOKUP(G881,[1]!tblProductMaster[SKU],[1]!tblProductMaster[Unit Cost])</f>
        <v>1.5</v>
      </c>
      <c r="P881" s="8">
        <f t="shared" si="67"/>
        <v>319.5</v>
      </c>
      <c r="Q881" s="8">
        <f t="shared" si="68"/>
        <v>530.37</v>
      </c>
      <c r="R881" s="4">
        <f t="shared" si="69"/>
        <v>0.62406015037593987</v>
      </c>
      <c r="S881" t="s">
        <v>87</v>
      </c>
      <c r="T881">
        <f>Table6[[#This Row],[Discount]]*Table6[[#This Row],[List Price]]*Table6[[#This Row],[Units]]</f>
        <v>0</v>
      </c>
    </row>
    <row r="882" spans="1:20" x14ac:dyDescent="0.2">
      <c r="A882" t="s">
        <v>975</v>
      </c>
      <c r="B882" s="2">
        <v>46295.900407907044</v>
      </c>
      <c r="C882" t="s">
        <v>84</v>
      </c>
      <c r="D882" t="s">
        <v>85</v>
      </c>
      <c r="E882" t="s">
        <v>56</v>
      </c>
      <c r="F882" t="s">
        <v>7</v>
      </c>
      <c r="G882" t="s">
        <v>58</v>
      </c>
      <c r="H882" t="str">
        <f>_xlfn.XLOOKUP(Table6[[#This Row],[SKU]],tblProductMaster[SKU],tblProductMaster[Product])</f>
        <v>Whitening Toothpaste</v>
      </c>
      <c r="I882">
        <v>757</v>
      </c>
      <c r="J882">
        <f>_xlfn.XLOOKUP(G882,[1]!tblProductMaster[SKU],[1]!tblProductMaster[List Price])</f>
        <v>4.99</v>
      </c>
      <c r="K882" t="s">
        <v>89</v>
      </c>
      <c r="L882" s="3">
        <v>0.3</v>
      </c>
      <c r="M882" s="9">
        <f t="shared" si="65"/>
        <v>3.4929999999999999</v>
      </c>
      <c r="N882" s="8">
        <f t="shared" si="66"/>
        <v>2644.201</v>
      </c>
      <c r="O882" s="9">
        <f>_xlfn.XLOOKUP(G882,[1]!tblProductMaster[SKU],[1]!tblProductMaster[Unit Cost])</f>
        <v>1.8</v>
      </c>
      <c r="P882" s="8">
        <f t="shared" si="67"/>
        <v>1362.6000000000001</v>
      </c>
      <c r="Q882" s="8">
        <f t="shared" si="68"/>
        <v>1281.6009999999999</v>
      </c>
      <c r="R882" s="4">
        <f t="shared" si="69"/>
        <v>0.48468365302032634</v>
      </c>
      <c r="S882" t="s">
        <v>90</v>
      </c>
      <c r="T882">
        <f>Table6[[#This Row],[Discount]]*Table6[[#This Row],[List Price]]*Table6[[#This Row],[Units]]</f>
        <v>1133.229</v>
      </c>
    </row>
    <row r="883" spans="1:20" x14ac:dyDescent="0.2">
      <c r="A883" t="s">
        <v>976</v>
      </c>
      <c r="B883" s="2">
        <v>46250.02343218687</v>
      </c>
      <c r="C883" t="s">
        <v>93</v>
      </c>
      <c r="D883" t="s">
        <v>85</v>
      </c>
      <c r="E883" t="s">
        <v>56</v>
      </c>
      <c r="F883" t="s">
        <v>15</v>
      </c>
      <c r="G883" t="s">
        <v>55</v>
      </c>
      <c r="H883" t="str">
        <f>_xlfn.XLOOKUP(Table6[[#This Row],[SKU]],tblProductMaster[SKU],tblProductMaster[Product])</f>
        <v>Toothpaste 75ml</v>
      </c>
      <c r="I883">
        <v>630</v>
      </c>
      <c r="J883">
        <f>_xlfn.XLOOKUP(G883,[1]!tblProductMaster[SKU],[1]!tblProductMaster[List Price])</f>
        <v>3.49</v>
      </c>
      <c r="K883" t="s">
        <v>86</v>
      </c>
      <c r="L883" s="3">
        <v>0</v>
      </c>
      <c r="M883" s="9">
        <f t="shared" si="65"/>
        <v>3.49</v>
      </c>
      <c r="N883" s="8">
        <f t="shared" si="66"/>
        <v>2198.7000000000003</v>
      </c>
      <c r="O883" s="9">
        <f>_xlfn.XLOOKUP(G883,[1]!tblProductMaster[SKU],[1]!tblProductMaster[Unit Cost])</f>
        <v>1.2</v>
      </c>
      <c r="P883" s="8">
        <f t="shared" si="67"/>
        <v>756</v>
      </c>
      <c r="Q883" s="8">
        <f t="shared" si="68"/>
        <v>1442.7000000000003</v>
      </c>
      <c r="R883" s="4">
        <f t="shared" si="69"/>
        <v>0.65616045845272208</v>
      </c>
      <c r="S883" t="s">
        <v>87</v>
      </c>
      <c r="T883">
        <f>Table6[[#This Row],[Discount]]*Table6[[#This Row],[List Price]]*Table6[[#This Row],[Units]]</f>
        <v>0</v>
      </c>
    </row>
    <row r="884" spans="1:20" x14ac:dyDescent="0.2">
      <c r="A884" t="s">
        <v>977</v>
      </c>
      <c r="B884" s="2">
        <v>46037.469292400026</v>
      </c>
      <c r="C884" t="s">
        <v>84</v>
      </c>
      <c r="D884" t="s">
        <v>104</v>
      </c>
      <c r="E884" t="s">
        <v>8</v>
      </c>
      <c r="F884" t="s">
        <v>18</v>
      </c>
      <c r="G884" t="s">
        <v>20</v>
      </c>
      <c r="H884" t="str">
        <f>_xlfn.XLOOKUP(Table6[[#This Row],[SKU]],tblProductMaster[SKU],tblProductMaster[Product])</f>
        <v>Hair Oil</v>
      </c>
      <c r="I884">
        <v>414</v>
      </c>
      <c r="J884">
        <f>_xlfn.XLOOKUP(G884,[1]!tblProductMaster[SKU],[1]!tblProductMaster[List Price])</f>
        <v>7.49</v>
      </c>
      <c r="K884" t="s">
        <v>86</v>
      </c>
      <c r="L884" s="3">
        <v>0</v>
      </c>
      <c r="M884" s="9">
        <f t="shared" si="65"/>
        <v>7.49</v>
      </c>
      <c r="N884" s="8">
        <f t="shared" si="66"/>
        <v>3100.86</v>
      </c>
      <c r="O884" s="9">
        <f>_xlfn.XLOOKUP(G884,[1]!tblProductMaster[SKU],[1]!tblProductMaster[Unit Cost])</f>
        <v>3.1</v>
      </c>
      <c r="P884" s="8">
        <f t="shared" si="67"/>
        <v>1283.4000000000001</v>
      </c>
      <c r="Q884" s="8">
        <f t="shared" si="68"/>
        <v>1817.46</v>
      </c>
      <c r="R884" s="4">
        <f t="shared" si="69"/>
        <v>0.58611481975967961</v>
      </c>
      <c r="S884" t="s">
        <v>87</v>
      </c>
      <c r="T884">
        <f>Table6[[#This Row],[Discount]]*Table6[[#This Row],[List Price]]*Table6[[#This Row],[Units]]</f>
        <v>0</v>
      </c>
    </row>
    <row r="885" spans="1:20" x14ac:dyDescent="0.2">
      <c r="A885" t="s">
        <v>978</v>
      </c>
      <c r="B885" s="2">
        <v>46187.921613931845</v>
      </c>
      <c r="C885" t="s">
        <v>84</v>
      </c>
      <c r="D885" t="s">
        <v>85</v>
      </c>
      <c r="E885" t="s">
        <v>40</v>
      </c>
      <c r="F885" t="s">
        <v>18</v>
      </c>
      <c r="G885" t="s">
        <v>54</v>
      </c>
      <c r="H885" t="str">
        <f>_xlfn.XLOOKUP(Table6[[#This Row],[SKU]],tblProductMaster[SKU],tblProductMaster[Product])</f>
        <v>Fabric Softener</v>
      </c>
      <c r="I885">
        <v>559</v>
      </c>
      <c r="J885">
        <f>_xlfn.XLOOKUP(G885,[1]!tblProductMaster[SKU],[1]!tblProductMaster[List Price])</f>
        <v>5.49</v>
      </c>
      <c r="K885" t="s">
        <v>86</v>
      </c>
      <c r="L885" s="3">
        <v>0</v>
      </c>
      <c r="M885" s="9">
        <f t="shared" si="65"/>
        <v>5.49</v>
      </c>
      <c r="N885" s="8">
        <f t="shared" si="66"/>
        <v>3068.9100000000003</v>
      </c>
      <c r="O885" s="9">
        <f>_xlfn.XLOOKUP(G885,[1]!tblProductMaster[SKU],[1]!tblProductMaster[Unit Cost])</f>
        <v>2.4</v>
      </c>
      <c r="P885" s="8">
        <f t="shared" si="67"/>
        <v>1341.6</v>
      </c>
      <c r="Q885" s="8">
        <f t="shared" si="68"/>
        <v>1727.3100000000004</v>
      </c>
      <c r="R885" s="4">
        <f t="shared" si="69"/>
        <v>0.56284153005464488</v>
      </c>
      <c r="S885" t="s">
        <v>87</v>
      </c>
      <c r="T885">
        <f>Table6[[#This Row],[Discount]]*Table6[[#This Row],[List Price]]*Table6[[#This Row],[Units]]</f>
        <v>0</v>
      </c>
    </row>
    <row r="886" spans="1:20" x14ac:dyDescent="0.2">
      <c r="A886" t="s">
        <v>979</v>
      </c>
      <c r="B886" s="2">
        <v>46109.122916202912</v>
      </c>
      <c r="C886" t="s">
        <v>93</v>
      </c>
      <c r="D886" t="s">
        <v>85</v>
      </c>
      <c r="E886" t="s">
        <v>8</v>
      </c>
      <c r="F886" t="s">
        <v>15</v>
      </c>
      <c r="G886" t="s">
        <v>16</v>
      </c>
      <c r="H886" t="str">
        <f>_xlfn.XLOOKUP(Table6[[#This Row],[SKU]],tblProductMaster[SKU],tblProductMaster[Product])</f>
        <v>Conditioner 250ml</v>
      </c>
      <c r="I886">
        <v>898</v>
      </c>
      <c r="J886">
        <f>_xlfn.XLOOKUP(G886,[1]!tblProductMaster[SKU],[1]!tblProductMaster[List Price])</f>
        <v>4.79</v>
      </c>
      <c r="K886" t="s">
        <v>89</v>
      </c>
      <c r="L886" s="3">
        <v>0.3</v>
      </c>
      <c r="M886" s="9">
        <f t="shared" si="65"/>
        <v>3.3529999999999998</v>
      </c>
      <c r="N886" s="8">
        <f t="shared" si="66"/>
        <v>3010.9939999999997</v>
      </c>
      <c r="O886" s="9">
        <f>_xlfn.XLOOKUP(G886,[1]!tblProductMaster[SKU],[1]!tblProductMaster[Unit Cost])</f>
        <v>2</v>
      </c>
      <c r="P886" s="8">
        <f t="shared" si="67"/>
        <v>1796</v>
      </c>
      <c r="Q886" s="8">
        <f t="shared" si="68"/>
        <v>1214.9939999999997</v>
      </c>
      <c r="R886" s="4">
        <f t="shared" si="69"/>
        <v>0.40351923650462268</v>
      </c>
      <c r="S886" t="s">
        <v>90</v>
      </c>
      <c r="T886">
        <f>Table6[[#This Row],[Discount]]*Table6[[#This Row],[List Price]]*Table6[[#This Row],[Units]]</f>
        <v>1290.4260000000002</v>
      </c>
    </row>
    <row r="887" spans="1:20" x14ac:dyDescent="0.2">
      <c r="A887" t="s">
        <v>980</v>
      </c>
      <c r="B887" s="2">
        <v>46061.3165774144</v>
      </c>
      <c r="C887" t="s">
        <v>98</v>
      </c>
      <c r="D887" t="s">
        <v>96</v>
      </c>
      <c r="E887" t="s">
        <v>40</v>
      </c>
      <c r="F887" t="s">
        <v>7</v>
      </c>
      <c r="G887" t="s">
        <v>48</v>
      </c>
      <c r="H887" t="str">
        <f>_xlfn.XLOOKUP(Table6[[#This Row],[SKU]],tblProductMaster[SKU],tblProductMaster[Product])</f>
        <v>Color Detergent</v>
      </c>
      <c r="I887">
        <v>271</v>
      </c>
      <c r="J887">
        <f>_xlfn.XLOOKUP(G887,[1]!tblProductMaster[SKU],[1]!tblProductMaster[List Price])</f>
        <v>9.49</v>
      </c>
      <c r="K887" t="s">
        <v>86</v>
      </c>
      <c r="L887" s="3">
        <v>0</v>
      </c>
      <c r="M887" s="9">
        <f t="shared" si="65"/>
        <v>9.49</v>
      </c>
      <c r="N887" s="8">
        <f t="shared" si="66"/>
        <v>2571.79</v>
      </c>
      <c r="O887" s="9">
        <f>_xlfn.XLOOKUP(G887,[1]!tblProductMaster[SKU],[1]!tblProductMaster[Unit Cost])</f>
        <v>4</v>
      </c>
      <c r="P887" s="8">
        <f t="shared" si="67"/>
        <v>1084</v>
      </c>
      <c r="Q887" s="8">
        <f t="shared" si="68"/>
        <v>1487.79</v>
      </c>
      <c r="R887" s="4">
        <f t="shared" si="69"/>
        <v>0.57850368809272923</v>
      </c>
      <c r="S887" t="s">
        <v>87</v>
      </c>
      <c r="T887">
        <f>Table6[[#This Row],[Discount]]*Table6[[#This Row],[List Price]]*Table6[[#This Row],[Units]]</f>
        <v>0</v>
      </c>
    </row>
    <row r="888" spans="1:20" x14ac:dyDescent="0.2">
      <c r="A888" t="s">
        <v>981</v>
      </c>
      <c r="B888" s="2">
        <v>46218.649972623061</v>
      </c>
      <c r="C888" t="s">
        <v>84</v>
      </c>
      <c r="D888" t="s">
        <v>96</v>
      </c>
      <c r="E888" t="s">
        <v>56</v>
      </c>
      <c r="F888" t="s">
        <v>18</v>
      </c>
      <c r="G888" t="s">
        <v>60</v>
      </c>
      <c r="H888" t="str">
        <f>_xlfn.XLOOKUP(Table6[[#This Row],[SKU]],tblProductMaster[SKU],tblProductMaster[Product])</f>
        <v>Sensitive Toothpaste</v>
      </c>
      <c r="I888">
        <v>743</v>
      </c>
      <c r="J888">
        <f>_xlfn.XLOOKUP(G888,[1]!tblProductMaster[SKU],[1]!tblProductMaster[List Price])</f>
        <v>4.49</v>
      </c>
      <c r="K888" t="s">
        <v>86</v>
      </c>
      <c r="L888" s="3">
        <v>0</v>
      </c>
      <c r="M888" s="9">
        <f t="shared" si="65"/>
        <v>4.49</v>
      </c>
      <c r="N888" s="8">
        <f t="shared" si="66"/>
        <v>3336.07</v>
      </c>
      <c r="O888" s="9">
        <f>_xlfn.XLOOKUP(G888,[1]!tblProductMaster[SKU],[1]!tblProductMaster[Unit Cost])</f>
        <v>1.7</v>
      </c>
      <c r="P888" s="8">
        <f t="shared" si="67"/>
        <v>1263.0999999999999</v>
      </c>
      <c r="Q888" s="8">
        <f t="shared" si="68"/>
        <v>2072.9700000000003</v>
      </c>
      <c r="R888" s="4">
        <f t="shared" si="69"/>
        <v>0.6213808463251671</v>
      </c>
      <c r="S888" t="s">
        <v>87</v>
      </c>
      <c r="T888">
        <f>Table6[[#This Row],[Discount]]*Table6[[#This Row],[List Price]]*Table6[[#This Row],[Units]]</f>
        <v>0</v>
      </c>
    </row>
    <row r="889" spans="1:20" x14ac:dyDescent="0.2">
      <c r="A889" t="s">
        <v>982</v>
      </c>
      <c r="B889" s="2">
        <v>46108.794576886961</v>
      </c>
      <c r="C889" t="s">
        <v>93</v>
      </c>
      <c r="D889" t="s">
        <v>85</v>
      </c>
      <c r="E889" t="s">
        <v>40</v>
      </c>
      <c r="F889" t="s">
        <v>7</v>
      </c>
      <c r="G889" t="s">
        <v>48</v>
      </c>
      <c r="H889" t="str">
        <f>_xlfn.XLOOKUP(Table6[[#This Row],[SKU]],tblProductMaster[SKU],tblProductMaster[Product])</f>
        <v>Color Detergent</v>
      </c>
      <c r="I889">
        <v>866</v>
      </c>
      <c r="J889">
        <f>_xlfn.XLOOKUP(G889,[1]!tblProductMaster[SKU],[1]!tblProductMaster[List Price])</f>
        <v>9.49</v>
      </c>
      <c r="K889" t="s">
        <v>89</v>
      </c>
      <c r="L889" s="3">
        <v>0.3</v>
      </c>
      <c r="M889" s="9">
        <f t="shared" si="65"/>
        <v>6.6429999999999998</v>
      </c>
      <c r="N889" s="8">
        <f t="shared" si="66"/>
        <v>5752.8379999999997</v>
      </c>
      <c r="O889" s="9">
        <f>_xlfn.XLOOKUP(G889,[1]!tblProductMaster[SKU],[1]!tblProductMaster[Unit Cost])</f>
        <v>4</v>
      </c>
      <c r="P889" s="8">
        <f t="shared" si="67"/>
        <v>3464</v>
      </c>
      <c r="Q889" s="8">
        <f t="shared" si="68"/>
        <v>2288.8379999999997</v>
      </c>
      <c r="R889" s="4">
        <f t="shared" si="69"/>
        <v>0.39786241156104168</v>
      </c>
      <c r="S889" t="s">
        <v>99</v>
      </c>
      <c r="T889">
        <f>Table6[[#This Row],[Discount]]*Table6[[#This Row],[List Price]]*Table6[[#This Row],[Units]]</f>
        <v>2465.502</v>
      </c>
    </row>
    <row r="890" spans="1:20" x14ac:dyDescent="0.2">
      <c r="A890" t="s">
        <v>983</v>
      </c>
      <c r="B890" s="2">
        <v>46342.612425948864</v>
      </c>
      <c r="C890" t="s">
        <v>93</v>
      </c>
      <c r="D890" t="s">
        <v>96</v>
      </c>
      <c r="E890" t="s">
        <v>56</v>
      </c>
      <c r="F890" t="s">
        <v>18</v>
      </c>
      <c r="G890" t="s">
        <v>60</v>
      </c>
      <c r="H890" t="str">
        <f>_xlfn.XLOOKUP(Table6[[#This Row],[SKU]],tblProductMaster[SKU],tblProductMaster[Product])</f>
        <v>Sensitive Toothpaste</v>
      </c>
      <c r="I890">
        <v>1114</v>
      </c>
      <c r="J890">
        <f>_xlfn.XLOOKUP(G890,[1]!tblProductMaster[SKU],[1]!tblProductMaster[List Price])</f>
        <v>4.49</v>
      </c>
      <c r="K890" t="s">
        <v>89</v>
      </c>
      <c r="L890" s="3">
        <v>0.3</v>
      </c>
      <c r="M890" s="9">
        <f t="shared" si="65"/>
        <v>3.1429999999999998</v>
      </c>
      <c r="N890" s="8">
        <f t="shared" si="66"/>
        <v>3501.3019999999997</v>
      </c>
      <c r="O890" s="9">
        <f>_xlfn.XLOOKUP(G890,[1]!tblProductMaster[SKU],[1]!tblProductMaster[Unit Cost])</f>
        <v>1.7</v>
      </c>
      <c r="P890" s="8">
        <f t="shared" si="67"/>
        <v>1893.8</v>
      </c>
      <c r="Q890" s="8">
        <f t="shared" si="68"/>
        <v>1607.5019999999997</v>
      </c>
      <c r="R890" s="4">
        <f t="shared" si="69"/>
        <v>0.45911549475023861</v>
      </c>
      <c r="S890" t="s">
        <v>99</v>
      </c>
      <c r="T890">
        <f>Table6[[#This Row],[Discount]]*Table6[[#This Row],[List Price]]*Table6[[#This Row],[Units]]</f>
        <v>1500.558</v>
      </c>
    </row>
    <row r="891" spans="1:20" x14ac:dyDescent="0.2">
      <c r="A891" t="s">
        <v>984</v>
      </c>
      <c r="B891" s="2">
        <v>46383.111975188978</v>
      </c>
      <c r="C891" t="s">
        <v>93</v>
      </c>
      <c r="D891" t="s">
        <v>96</v>
      </c>
      <c r="E891" t="s">
        <v>25</v>
      </c>
      <c r="F891" t="s">
        <v>15</v>
      </c>
      <c r="G891" t="s">
        <v>29</v>
      </c>
      <c r="H891" t="str">
        <f>_xlfn.XLOOKUP(Table6[[#This Row],[SKU]],tblProductMaster[SKU],tblProductMaster[Product])</f>
        <v>Shower Gel 250ml</v>
      </c>
      <c r="I891">
        <v>446</v>
      </c>
      <c r="J891">
        <f>_xlfn.XLOOKUP(G891,[1]!tblProductMaster[SKU],[1]!tblProductMaster[List Price])</f>
        <v>4.49</v>
      </c>
      <c r="K891" t="s">
        <v>86</v>
      </c>
      <c r="L891" s="3">
        <v>0</v>
      </c>
      <c r="M891" s="9">
        <f t="shared" si="65"/>
        <v>4.49</v>
      </c>
      <c r="N891" s="8">
        <f t="shared" si="66"/>
        <v>2002.5400000000002</v>
      </c>
      <c r="O891" s="9">
        <f>_xlfn.XLOOKUP(G891,[1]!tblProductMaster[SKU],[1]!tblProductMaster[Unit Cost])</f>
        <v>1.9</v>
      </c>
      <c r="P891" s="8">
        <f t="shared" si="67"/>
        <v>847.4</v>
      </c>
      <c r="Q891" s="8">
        <f t="shared" si="68"/>
        <v>1155.1400000000003</v>
      </c>
      <c r="R891" s="4">
        <f t="shared" si="69"/>
        <v>0.57683741648106912</v>
      </c>
      <c r="S891" t="s">
        <v>87</v>
      </c>
      <c r="T891">
        <f>Table6[[#This Row],[Discount]]*Table6[[#This Row],[List Price]]*Table6[[#This Row],[Units]]</f>
        <v>0</v>
      </c>
    </row>
    <row r="892" spans="1:20" x14ac:dyDescent="0.2">
      <c r="A892" t="s">
        <v>985</v>
      </c>
      <c r="B892" s="2">
        <v>46285.000707272513</v>
      </c>
      <c r="C892" t="s">
        <v>84</v>
      </c>
      <c r="D892" t="s">
        <v>85</v>
      </c>
      <c r="E892" t="s">
        <v>25</v>
      </c>
      <c r="F892" t="s">
        <v>15</v>
      </c>
      <c r="G892" t="s">
        <v>29</v>
      </c>
      <c r="H892" t="str">
        <f>_xlfn.XLOOKUP(Table6[[#This Row],[SKU]],tblProductMaster[SKU],tblProductMaster[Product])</f>
        <v>Shower Gel 250ml</v>
      </c>
      <c r="I892">
        <v>896</v>
      </c>
      <c r="J892">
        <f>_xlfn.XLOOKUP(G892,[1]!tblProductMaster[SKU],[1]!tblProductMaster[List Price])</f>
        <v>4.49</v>
      </c>
      <c r="K892" t="s">
        <v>89</v>
      </c>
      <c r="L892" s="3">
        <v>0.1</v>
      </c>
      <c r="M892" s="9">
        <f t="shared" si="65"/>
        <v>4.0410000000000004</v>
      </c>
      <c r="N892" s="8">
        <f t="shared" si="66"/>
        <v>3620.7360000000003</v>
      </c>
      <c r="O892" s="9">
        <f>_xlfn.XLOOKUP(G892,[1]!tblProductMaster[SKU],[1]!tblProductMaster[Unit Cost])</f>
        <v>1.9</v>
      </c>
      <c r="P892" s="8">
        <f t="shared" si="67"/>
        <v>1702.3999999999999</v>
      </c>
      <c r="Q892" s="8">
        <f t="shared" si="68"/>
        <v>1918.3360000000005</v>
      </c>
      <c r="R892" s="4">
        <f t="shared" si="69"/>
        <v>0.52981935164563232</v>
      </c>
      <c r="S892" t="s">
        <v>94</v>
      </c>
      <c r="T892">
        <f>Table6[[#This Row],[Discount]]*Table6[[#This Row],[List Price]]*Table6[[#This Row],[Units]]</f>
        <v>402.30400000000009</v>
      </c>
    </row>
    <row r="893" spans="1:20" x14ac:dyDescent="0.2">
      <c r="A893" t="s">
        <v>986</v>
      </c>
      <c r="B893" s="2">
        <v>46211.327171264085</v>
      </c>
      <c r="C893" t="s">
        <v>84</v>
      </c>
      <c r="D893" t="s">
        <v>85</v>
      </c>
      <c r="E893" t="s">
        <v>8</v>
      </c>
      <c r="F893" t="s">
        <v>15</v>
      </c>
      <c r="G893" t="s">
        <v>22</v>
      </c>
      <c r="H893" t="str">
        <f>_xlfn.XLOOKUP(Table6[[#This Row],[SKU]],tblProductMaster[SKU],tblProductMaster[Product])</f>
        <v>Styling Gel</v>
      </c>
      <c r="I893">
        <v>502</v>
      </c>
      <c r="J893">
        <f>_xlfn.XLOOKUP(G893,[1]!tblProductMaster[SKU],[1]!tblProductMaster[List Price])</f>
        <v>4.49</v>
      </c>
      <c r="K893" t="s">
        <v>89</v>
      </c>
      <c r="L893" s="3">
        <v>0.2</v>
      </c>
      <c r="M893" s="9">
        <f t="shared" si="65"/>
        <v>3.5920000000000005</v>
      </c>
      <c r="N893" s="8">
        <f t="shared" si="66"/>
        <v>1803.1840000000002</v>
      </c>
      <c r="O893" s="9">
        <f>_xlfn.XLOOKUP(G893,[1]!tblProductMaster[SKU],[1]!tblProductMaster[Unit Cost])</f>
        <v>1.9</v>
      </c>
      <c r="P893" s="8">
        <f t="shared" si="67"/>
        <v>953.8</v>
      </c>
      <c r="Q893" s="8">
        <f t="shared" si="68"/>
        <v>849.38400000000024</v>
      </c>
      <c r="R893" s="4">
        <f t="shared" si="69"/>
        <v>0.47104677060133637</v>
      </c>
      <c r="S893" t="s">
        <v>90</v>
      </c>
      <c r="T893">
        <f>Table6[[#This Row],[Discount]]*Table6[[#This Row],[List Price]]*Table6[[#This Row],[Units]]</f>
        <v>450.79600000000005</v>
      </c>
    </row>
    <row r="894" spans="1:20" x14ac:dyDescent="0.2">
      <c r="A894" t="s">
        <v>987</v>
      </c>
      <c r="B894" s="2">
        <v>46335.67255571024</v>
      </c>
      <c r="C894" t="s">
        <v>98</v>
      </c>
      <c r="D894" t="s">
        <v>85</v>
      </c>
      <c r="E894" t="s">
        <v>56</v>
      </c>
      <c r="F894" t="s">
        <v>7</v>
      </c>
      <c r="G894" t="s">
        <v>64</v>
      </c>
      <c r="H894" t="str">
        <f>_xlfn.XLOOKUP(Table6[[#This Row],[SKU]],tblProductMaster[SKU],tblProductMaster[Product])</f>
        <v>Toothbrush</v>
      </c>
      <c r="I894">
        <v>611</v>
      </c>
      <c r="J894">
        <f>_xlfn.XLOOKUP(G894,[1]!tblProductMaster[SKU],[1]!tblProductMaster[List Price])</f>
        <v>3.99</v>
      </c>
      <c r="K894" t="s">
        <v>86</v>
      </c>
      <c r="L894" s="3">
        <v>0</v>
      </c>
      <c r="M894" s="9">
        <f t="shared" si="65"/>
        <v>3.99</v>
      </c>
      <c r="N894" s="8">
        <f t="shared" si="66"/>
        <v>2437.8900000000003</v>
      </c>
      <c r="O894" s="9">
        <f>_xlfn.XLOOKUP(G894,[1]!tblProductMaster[SKU],[1]!tblProductMaster[Unit Cost])</f>
        <v>1.5</v>
      </c>
      <c r="P894" s="8">
        <f t="shared" si="67"/>
        <v>916.5</v>
      </c>
      <c r="Q894" s="8">
        <f t="shared" si="68"/>
        <v>1521.3900000000003</v>
      </c>
      <c r="R894" s="4">
        <f t="shared" si="69"/>
        <v>0.62406015037593987</v>
      </c>
      <c r="S894" t="s">
        <v>87</v>
      </c>
      <c r="T894">
        <f>Table6[[#This Row],[Discount]]*Table6[[#This Row],[List Price]]*Table6[[#This Row],[Units]]</f>
        <v>0</v>
      </c>
    </row>
    <row r="895" spans="1:20" x14ac:dyDescent="0.2">
      <c r="A895" t="s">
        <v>988</v>
      </c>
      <c r="B895" s="2">
        <v>46366.103478941412</v>
      </c>
      <c r="C895" t="s">
        <v>93</v>
      </c>
      <c r="D895" t="s">
        <v>96</v>
      </c>
      <c r="E895" t="s">
        <v>40</v>
      </c>
      <c r="F895" t="s">
        <v>15</v>
      </c>
      <c r="G895" t="s">
        <v>46</v>
      </c>
      <c r="H895" t="str">
        <f>_xlfn.XLOOKUP(Table6[[#This Row],[SKU]],tblProductMaster[SKU],tblProductMaster[Product])</f>
        <v>Stain Remover</v>
      </c>
      <c r="I895">
        <v>698</v>
      </c>
      <c r="J895">
        <f>_xlfn.XLOOKUP(G895,[1]!tblProductMaster[SKU],[1]!tblProductMaster[List Price])</f>
        <v>5.99</v>
      </c>
      <c r="K895" t="s">
        <v>89</v>
      </c>
      <c r="L895" s="3">
        <v>0.2</v>
      </c>
      <c r="M895" s="9">
        <f t="shared" si="65"/>
        <v>4.7920000000000007</v>
      </c>
      <c r="N895" s="8">
        <f t="shared" si="66"/>
        <v>3344.8160000000007</v>
      </c>
      <c r="O895" s="9">
        <f>_xlfn.XLOOKUP(G895,[1]!tblProductMaster[SKU],[1]!tblProductMaster[Unit Cost])</f>
        <v>2.5</v>
      </c>
      <c r="P895" s="8">
        <f t="shared" si="67"/>
        <v>1745</v>
      </c>
      <c r="Q895" s="8">
        <f t="shared" si="68"/>
        <v>1599.8160000000007</v>
      </c>
      <c r="R895" s="4">
        <f t="shared" si="69"/>
        <v>0.47829716193656102</v>
      </c>
      <c r="S895" t="s">
        <v>99</v>
      </c>
      <c r="T895">
        <f>Table6[[#This Row],[Discount]]*Table6[[#This Row],[List Price]]*Table6[[#This Row],[Units]]</f>
        <v>836.20400000000018</v>
      </c>
    </row>
    <row r="896" spans="1:20" x14ac:dyDescent="0.2">
      <c r="A896" t="s">
        <v>989</v>
      </c>
      <c r="B896" s="2">
        <v>46128.274794909114</v>
      </c>
      <c r="C896" t="s">
        <v>98</v>
      </c>
      <c r="D896" t="s">
        <v>96</v>
      </c>
      <c r="E896" t="s">
        <v>40</v>
      </c>
      <c r="F896" t="s">
        <v>15</v>
      </c>
      <c r="G896" t="s">
        <v>46</v>
      </c>
      <c r="H896" t="str">
        <f>_xlfn.XLOOKUP(Table6[[#This Row],[SKU]],tblProductMaster[SKU],tblProductMaster[Product])</f>
        <v>Stain Remover</v>
      </c>
      <c r="I896">
        <v>324</v>
      </c>
      <c r="J896">
        <f>_xlfn.XLOOKUP(G896,[1]!tblProductMaster[SKU],[1]!tblProductMaster[List Price])</f>
        <v>5.99</v>
      </c>
      <c r="K896" t="s">
        <v>86</v>
      </c>
      <c r="L896" s="3">
        <v>0</v>
      </c>
      <c r="M896" s="9">
        <f t="shared" si="65"/>
        <v>5.99</v>
      </c>
      <c r="N896" s="8">
        <f t="shared" si="66"/>
        <v>1940.76</v>
      </c>
      <c r="O896" s="9">
        <f>_xlfn.XLOOKUP(G896,[1]!tblProductMaster[SKU],[1]!tblProductMaster[Unit Cost])</f>
        <v>2.5</v>
      </c>
      <c r="P896" s="8">
        <f t="shared" si="67"/>
        <v>810</v>
      </c>
      <c r="Q896" s="8">
        <f t="shared" si="68"/>
        <v>1130.76</v>
      </c>
      <c r="R896" s="4">
        <f t="shared" si="69"/>
        <v>0.58263772954924875</v>
      </c>
      <c r="S896" t="s">
        <v>87</v>
      </c>
      <c r="T896">
        <f>Table6[[#This Row],[Discount]]*Table6[[#This Row],[List Price]]*Table6[[#This Row],[Units]]</f>
        <v>0</v>
      </c>
    </row>
    <row r="897" spans="1:20" x14ac:dyDescent="0.2">
      <c r="A897" t="s">
        <v>990</v>
      </c>
      <c r="B897" s="2">
        <v>46278.240452024678</v>
      </c>
      <c r="C897" t="s">
        <v>93</v>
      </c>
      <c r="D897" t="s">
        <v>104</v>
      </c>
      <c r="E897" t="s">
        <v>40</v>
      </c>
      <c r="F897" t="s">
        <v>7</v>
      </c>
      <c r="G897" t="s">
        <v>44</v>
      </c>
      <c r="H897" t="str">
        <f>_xlfn.XLOOKUP(Table6[[#This Row],[SKU]],tblProductMaster[SKU],tblProductMaster[Product])</f>
        <v>Fabric Softener</v>
      </c>
      <c r="I897">
        <v>895</v>
      </c>
      <c r="J897">
        <f>_xlfn.XLOOKUP(G897,[1]!tblProductMaster[SKU],[1]!tblProductMaster[List Price])</f>
        <v>6.99</v>
      </c>
      <c r="K897" t="s">
        <v>89</v>
      </c>
      <c r="L897" s="3">
        <v>0.1</v>
      </c>
      <c r="M897" s="9">
        <f t="shared" si="65"/>
        <v>6.2910000000000004</v>
      </c>
      <c r="N897" s="8">
        <f t="shared" si="66"/>
        <v>5630.4450000000006</v>
      </c>
      <c r="O897" s="9">
        <f>_xlfn.XLOOKUP(G897,[1]!tblProductMaster[SKU],[1]!tblProductMaster[Unit Cost])</f>
        <v>2.9</v>
      </c>
      <c r="P897" s="8">
        <f t="shared" si="67"/>
        <v>2595.5</v>
      </c>
      <c r="Q897" s="8">
        <f t="shared" si="68"/>
        <v>3034.9450000000006</v>
      </c>
      <c r="R897" s="4">
        <f t="shared" si="69"/>
        <v>0.53902400254331595</v>
      </c>
      <c r="S897" t="s">
        <v>94</v>
      </c>
      <c r="T897">
        <f>Table6[[#This Row],[Discount]]*Table6[[#This Row],[List Price]]*Table6[[#This Row],[Units]]</f>
        <v>625.60500000000002</v>
      </c>
    </row>
    <row r="898" spans="1:20" x14ac:dyDescent="0.2">
      <c r="A898" t="s">
        <v>991</v>
      </c>
      <c r="B898" s="2">
        <v>46203.600053360504</v>
      </c>
      <c r="C898" t="s">
        <v>98</v>
      </c>
      <c r="D898" t="s">
        <v>96</v>
      </c>
      <c r="E898" t="s">
        <v>8</v>
      </c>
      <c r="F898" t="s">
        <v>18</v>
      </c>
      <c r="G898" t="s">
        <v>17</v>
      </c>
      <c r="H898" t="str">
        <f>_xlfn.XLOOKUP(Table6[[#This Row],[SKU]],tblProductMaster[SKU],tblProductMaster[Product])</f>
        <v>Anti-Dandruff Shampoo</v>
      </c>
      <c r="I898">
        <v>865</v>
      </c>
      <c r="J898">
        <f>_xlfn.XLOOKUP(G898,[1]!tblProductMaster[SKU],[1]!tblProductMaster[List Price])</f>
        <v>6.49</v>
      </c>
      <c r="K898" t="s">
        <v>89</v>
      </c>
      <c r="L898" s="3">
        <v>0.2</v>
      </c>
      <c r="M898" s="9">
        <f t="shared" si="65"/>
        <v>5.1920000000000002</v>
      </c>
      <c r="N898" s="8">
        <f t="shared" si="66"/>
        <v>4491.08</v>
      </c>
      <c r="O898" s="9">
        <f>_xlfn.XLOOKUP(G898,[1]!tblProductMaster[SKU],[1]!tblProductMaster[Unit Cost])</f>
        <v>2.8</v>
      </c>
      <c r="P898" s="8">
        <f t="shared" si="67"/>
        <v>2422</v>
      </c>
      <c r="Q898" s="8">
        <f t="shared" si="68"/>
        <v>2069.08</v>
      </c>
      <c r="R898" s="4">
        <f t="shared" si="69"/>
        <v>0.46070878274268107</v>
      </c>
      <c r="S898" t="s">
        <v>94</v>
      </c>
      <c r="T898">
        <f>Table6[[#This Row],[Discount]]*Table6[[#This Row],[List Price]]*Table6[[#This Row],[Units]]</f>
        <v>1122.77</v>
      </c>
    </row>
    <row r="899" spans="1:20" x14ac:dyDescent="0.2">
      <c r="A899" t="s">
        <v>992</v>
      </c>
      <c r="B899" s="2">
        <v>46163.400377344355</v>
      </c>
      <c r="C899" t="s">
        <v>98</v>
      </c>
      <c r="D899" t="s">
        <v>85</v>
      </c>
      <c r="E899" t="s">
        <v>56</v>
      </c>
      <c r="F899" t="s">
        <v>18</v>
      </c>
      <c r="G899" t="s">
        <v>68</v>
      </c>
      <c r="H899" t="str">
        <f>_xlfn.XLOOKUP(Table6[[#This Row],[SKU]],tblProductMaster[SKU],tblProductMaster[Product])</f>
        <v>Kids Toothpaste</v>
      </c>
      <c r="I899">
        <v>690</v>
      </c>
      <c r="J899">
        <f>_xlfn.XLOOKUP(G899,[1]!tblProductMaster[SKU],[1]!tblProductMaster[List Price])</f>
        <v>3.29</v>
      </c>
      <c r="K899" t="s">
        <v>86</v>
      </c>
      <c r="L899" s="3">
        <v>0</v>
      </c>
      <c r="M899" s="9">
        <f t="shared" ref="M899:M962" si="70">J899*(1-L899)</f>
        <v>3.29</v>
      </c>
      <c r="N899" s="8">
        <f t="shared" ref="N899:N962" si="71">M899*I899</f>
        <v>2270.1</v>
      </c>
      <c r="O899" s="9">
        <f>_xlfn.XLOOKUP(G899,[1]!tblProductMaster[SKU],[1]!tblProductMaster[Unit Cost])</f>
        <v>1.1000000000000001</v>
      </c>
      <c r="P899" s="8">
        <f t="shared" ref="P899:P962" si="72">O899*I899</f>
        <v>759.00000000000011</v>
      </c>
      <c r="Q899" s="8">
        <f t="shared" ref="Q899:Q962" si="73">N899-P899</f>
        <v>1511.1</v>
      </c>
      <c r="R899" s="4">
        <f t="shared" ref="R899:R962" si="74">Q899/N899</f>
        <v>0.66565349544072949</v>
      </c>
      <c r="S899" t="s">
        <v>87</v>
      </c>
      <c r="T899">
        <f>Table6[[#This Row],[Discount]]*Table6[[#This Row],[List Price]]*Table6[[#This Row],[Units]]</f>
        <v>0</v>
      </c>
    </row>
    <row r="900" spans="1:20" x14ac:dyDescent="0.2">
      <c r="A900" t="s">
        <v>993</v>
      </c>
      <c r="B900" s="2">
        <v>46223.788516856024</v>
      </c>
      <c r="C900" t="s">
        <v>98</v>
      </c>
      <c r="D900" t="s">
        <v>96</v>
      </c>
      <c r="E900" t="s">
        <v>56</v>
      </c>
      <c r="F900" t="s">
        <v>18</v>
      </c>
      <c r="G900" t="s">
        <v>68</v>
      </c>
      <c r="H900" t="str">
        <f>_xlfn.XLOOKUP(Table6[[#This Row],[SKU]],tblProductMaster[SKU],tblProductMaster[Product])</f>
        <v>Kids Toothpaste</v>
      </c>
      <c r="I900">
        <v>610</v>
      </c>
      <c r="J900">
        <f>_xlfn.XLOOKUP(G900,[1]!tblProductMaster[SKU],[1]!tblProductMaster[List Price])</f>
        <v>3.29</v>
      </c>
      <c r="K900" t="s">
        <v>86</v>
      </c>
      <c r="L900" s="3">
        <v>0</v>
      </c>
      <c r="M900" s="9">
        <f t="shared" si="70"/>
        <v>3.29</v>
      </c>
      <c r="N900" s="8">
        <f t="shared" si="71"/>
        <v>2006.9</v>
      </c>
      <c r="O900" s="9">
        <f>_xlfn.XLOOKUP(G900,[1]!tblProductMaster[SKU],[1]!tblProductMaster[Unit Cost])</f>
        <v>1.1000000000000001</v>
      </c>
      <c r="P900" s="8">
        <f t="shared" si="72"/>
        <v>671</v>
      </c>
      <c r="Q900" s="8">
        <f t="shared" si="73"/>
        <v>1335.9</v>
      </c>
      <c r="R900" s="4">
        <f t="shared" si="74"/>
        <v>0.66565349544072949</v>
      </c>
      <c r="S900" t="s">
        <v>87</v>
      </c>
      <c r="T900">
        <f>Table6[[#This Row],[Discount]]*Table6[[#This Row],[List Price]]*Table6[[#This Row],[Units]]</f>
        <v>0</v>
      </c>
    </row>
    <row r="901" spans="1:20" x14ac:dyDescent="0.2">
      <c r="A901" t="s">
        <v>994</v>
      </c>
      <c r="B901" s="2">
        <v>46334.087880596839</v>
      </c>
      <c r="C901" t="s">
        <v>93</v>
      </c>
      <c r="D901" t="s">
        <v>96</v>
      </c>
      <c r="E901" t="s">
        <v>8</v>
      </c>
      <c r="F901" t="s">
        <v>18</v>
      </c>
      <c r="G901" t="s">
        <v>17</v>
      </c>
      <c r="H901" t="str">
        <f>_xlfn.XLOOKUP(Table6[[#This Row],[SKU]],tblProductMaster[SKU],tblProductMaster[Product])</f>
        <v>Anti-Dandruff Shampoo</v>
      </c>
      <c r="I901">
        <v>616</v>
      </c>
      <c r="J901">
        <f>_xlfn.XLOOKUP(G901,[1]!tblProductMaster[SKU],[1]!tblProductMaster[List Price])</f>
        <v>6.49</v>
      </c>
      <c r="K901" t="s">
        <v>86</v>
      </c>
      <c r="L901" s="3">
        <v>0</v>
      </c>
      <c r="M901" s="9">
        <f t="shared" si="70"/>
        <v>6.49</v>
      </c>
      <c r="N901" s="8">
        <f t="shared" si="71"/>
        <v>3997.84</v>
      </c>
      <c r="O901" s="9">
        <f>_xlfn.XLOOKUP(G901,[1]!tblProductMaster[SKU],[1]!tblProductMaster[Unit Cost])</f>
        <v>2.8</v>
      </c>
      <c r="P901" s="8">
        <f t="shared" si="72"/>
        <v>1724.8</v>
      </c>
      <c r="Q901" s="8">
        <f t="shared" si="73"/>
        <v>2273.04</v>
      </c>
      <c r="R901" s="4">
        <f t="shared" si="74"/>
        <v>0.56856702619414479</v>
      </c>
      <c r="S901" t="s">
        <v>87</v>
      </c>
      <c r="T901">
        <f>Table6[[#This Row],[Discount]]*Table6[[#This Row],[List Price]]*Table6[[#This Row],[Units]]</f>
        <v>0</v>
      </c>
    </row>
    <row r="902" spans="1:20" x14ac:dyDescent="0.2">
      <c r="A902" t="s">
        <v>995</v>
      </c>
      <c r="B902" s="2">
        <v>46070.717413000661</v>
      </c>
      <c r="C902" t="s">
        <v>98</v>
      </c>
      <c r="D902" t="s">
        <v>85</v>
      </c>
      <c r="E902" t="s">
        <v>8</v>
      </c>
      <c r="F902" t="s">
        <v>15</v>
      </c>
      <c r="G902" t="s">
        <v>22</v>
      </c>
      <c r="H902" t="str">
        <f>_xlfn.XLOOKUP(Table6[[#This Row],[SKU]],tblProductMaster[SKU],tblProductMaster[Product])</f>
        <v>Styling Gel</v>
      </c>
      <c r="I902">
        <v>520</v>
      </c>
      <c r="J902">
        <f>_xlfn.XLOOKUP(G902,[1]!tblProductMaster[SKU],[1]!tblProductMaster[List Price])</f>
        <v>4.49</v>
      </c>
      <c r="K902" t="s">
        <v>86</v>
      </c>
      <c r="L902" s="3">
        <v>0</v>
      </c>
      <c r="M902" s="9">
        <f t="shared" si="70"/>
        <v>4.49</v>
      </c>
      <c r="N902" s="8">
        <f t="shared" si="71"/>
        <v>2334.8000000000002</v>
      </c>
      <c r="O902" s="9">
        <f>_xlfn.XLOOKUP(G902,[1]!tblProductMaster[SKU],[1]!tblProductMaster[Unit Cost])</f>
        <v>1.9</v>
      </c>
      <c r="P902" s="8">
        <f t="shared" si="72"/>
        <v>988</v>
      </c>
      <c r="Q902" s="8">
        <f t="shared" si="73"/>
        <v>1346.8000000000002</v>
      </c>
      <c r="R902" s="4">
        <f t="shared" si="74"/>
        <v>0.57683741648106912</v>
      </c>
      <c r="S902" t="s">
        <v>87</v>
      </c>
      <c r="T902">
        <f>Table6[[#This Row],[Discount]]*Table6[[#This Row],[List Price]]*Table6[[#This Row],[Units]]</f>
        <v>0</v>
      </c>
    </row>
    <row r="903" spans="1:20" x14ac:dyDescent="0.2">
      <c r="A903" t="s">
        <v>996</v>
      </c>
      <c r="B903" s="2">
        <v>46354.394151016895</v>
      </c>
      <c r="C903" t="s">
        <v>93</v>
      </c>
      <c r="D903" t="s">
        <v>96</v>
      </c>
      <c r="E903" t="s">
        <v>25</v>
      </c>
      <c r="F903" t="s">
        <v>7</v>
      </c>
      <c r="G903" t="s">
        <v>33</v>
      </c>
      <c r="H903" t="str">
        <f>_xlfn.XLOOKUP(Table6[[#This Row],[SKU]],tblProductMaster[SKU],tblProductMaster[Product])</f>
        <v>Sunscreen 200ml</v>
      </c>
      <c r="I903">
        <v>686</v>
      </c>
      <c r="J903">
        <f>_xlfn.XLOOKUP(G903,[1]!tblProductMaster[SKU],[1]!tblProductMaster[List Price])</f>
        <v>10.99</v>
      </c>
      <c r="K903" t="s">
        <v>86</v>
      </c>
      <c r="L903" s="3">
        <v>0</v>
      </c>
      <c r="M903" s="9">
        <f t="shared" si="70"/>
        <v>10.99</v>
      </c>
      <c r="N903" s="8">
        <f t="shared" si="71"/>
        <v>7539.14</v>
      </c>
      <c r="O903" s="9">
        <f>_xlfn.XLOOKUP(G903,[1]!tblProductMaster[SKU],[1]!tblProductMaster[Unit Cost])</f>
        <v>4.5999999999999996</v>
      </c>
      <c r="P903" s="8">
        <f t="shared" si="72"/>
        <v>3155.6</v>
      </c>
      <c r="Q903" s="8">
        <f t="shared" si="73"/>
        <v>4383.5400000000009</v>
      </c>
      <c r="R903" s="4">
        <f t="shared" si="74"/>
        <v>0.58143767060964524</v>
      </c>
      <c r="S903" t="s">
        <v>87</v>
      </c>
      <c r="T903">
        <f>Table6[[#This Row],[Discount]]*Table6[[#This Row],[List Price]]*Table6[[#This Row],[Units]]</f>
        <v>0</v>
      </c>
    </row>
    <row r="904" spans="1:20" x14ac:dyDescent="0.2">
      <c r="A904" t="s">
        <v>997</v>
      </c>
      <c r="B904" s="2">
        <v>46306.861948387421</v>
      </c>
      <c r="C904" t="s">
        <v>98</v>
      </c>
      <c r="D904" t="s">
        <v>96</v>
      </c>
      <c r="E904" t="s">
        <v>40</v>
      </c>
      <c r="F904" t="s">
        <v>18</v>
      </c>
      <c r="G904" t="s">
        <v>50</v>
      </c>
      <c r="H904" t="str">
        <f>_xlfn.XLOOKUP(Table6[[#This Row],[SKU]],tblProductMaster[SKU],tblProductMaster[Product])</f>
        <v>Sensitive Detergent</v>
      </c>
      <c r="I904">
        <v>501</v>
      </c>
      <c r="J904">
        <f>_xlfn.XLOOKUP(G904,[1]!tblProductMaster[SKU],[1]!tblProductMaster[List Price])</f>
        <v>8.99</v>
      </c>
      <c r="K904" t="s">
        <v>89</v>
      </c>
      <c r="L904" s="3">
        <v>0.3</v>
      </c>
      <c r="M904" s="9">
        <f t="shared" si="70"/>
        <v>6.2930000000000001</v>
      </c>
      <c r="N904" s="8">
        <f t="shared" si="71"/>
        <v>3152.7930000000001</v>
      </c>
      <c r="O904" s="9">
        <f>_xlfn.XLOOKUP(G904,[1]!tblProductMaster[SKU],[1]!tblProductMaster[Unit Cost])</f>
        <v>4</v>
      </c>
      <c r="P904" s="8">
        <f t="shared" si="72"/>
        <v>2004</v>
      </c>
      <c r="Q904" s="8">
        <f t="shared" si="73"/>
        <v>1148.7930000000001</v>
      </c>
      <c r="R904" s="4">
        <f t="shared" si="74"/>
        <v>0.36437311298267921</v>
      </c>
      <c r="S904" t="s">
        <v>90</v>
      </c>
      <c r="T904">
        <f>Table6[[#This Row],[Discount]]*Table6[[#This Row],[List Price]]*Table6[[#This Row],[Units]]</f>
        <v>1351.1970000000001</v>
      </c>
    </row>
    <row r="905" spans="1:20" x14ac:dyDescent="0.2">
      <c r="A905" t="s">
        <v>998</v>
      </c>
      <c r="B905" s="2">
        <v>46205.202288280168</v>
      </c>
      <c r="C905" t="s">
        <v>98</v>
      </c>
      <c r="D905" t="s">
        <v>85</v>
      </c>
      <c r="E905" t="s">
        <v>25</v>
      </c>
      <c r="F905" t="s">
        <v>7</v>
      </c>
      <c r="G905" t="s">
        <v>24</v>
      </c>
      <c r="H905" t="str">
        <f>_xlfn.XLOOKUP(Table6[[#This Row],[SKU]],tblProductMaster[SKU],tblProductMaster[Product])</f>
        <v>Body Lotion 400ml</v>
      </c>
      <c r="I905">
        <v>406</v>
      </c>
      <c r="J905">
        <f>_xlfn.XLOOKUP(G905,[1]!tblProductMaster[SKU],[1]!tblProductMaster[List Price])</f>
        <v>7.99</v>
      </c>
      <c r="K905" t="s">
        <v>86</v>
      </c>
      <c r="L905" s="3">
        <v>0</v>
      </c>
      <c r="M905" s="9">
        <f t="shared" si="70"/>
        <v>7.99</v>
      </c>
      <c r="N905" s="8">
        <f t="shared" si="71"/>
        <v>3243.94</v>
      </c>
      <c r="O905" s="9">
        <f>_xlfn.XLOOKUP(G905,[1]!tblProductMaster[SKU],[1]!tblProductMaster[Unit Cost])</f>
        <v>3.1</v>
      </c>
      <c r="P905" s="8">
        <f t="shared" si="72"/>
        <v>1258.6000000000001</v>
      </c>
      <c r="Q905" s="8">
        <f t="shared" si="73"/>
        <v>1985.34</v>
      </c>
      <c r="R905" s="4">
        <f t="shared" si="74"/>
        <v>0.61201501877346676</v>
      </c>
      <c r="S905" t="s">
        <v>87</v>
      </c>
      <c r="T905">
        <f>Table6[[#This Row],[Discount]]*Table6[[#This Row],[List Price]]*Table6[[#This Row],[Units]]</f>
        <v>0</v>
      </c>
    </row>
    <row r="906" spans="1:20" x14ac:dyDescent="0.2">
      <c r="A906" t="s">
        <v>999</v>
      </c>
      <c r="B906" s="2">
        <v>46305.880545972854</v>
      </c>
      <c r="C906" t="s">
        <v>84</v>
      </c>
      <c r="D906" t="s">
        <v>85</v>
      </c>
      <c r="E906" t="s">
        <v>56</v>
      </c>
      <c r="F906" t="s">
        <v>18</v>
      </c>
      <c r="G906" t="s">
        <v>68</v>
      </c>
      <c r="H906" t="str">
        <f>_xlfn.XLOOKUP(Table6[[#This Row],[SKU]],tblProductMaster[SKU],tblProductMaster[Product])</f>
        <v>Kids Toothpaste</v>
      </c>
      <c r="I906">
        <v>390</v>
      </c>
      <c r="J906">
        <f>_xlfn.XLOOKUP(G906,[1]!tblProductMaster[SKU],[1]!tblProductMaster[List Price])</f>
        <v>3.29</v>
      </c>
      <c r="K906" t="s">
        <v>86</v>
      </c>
      <c r="L906" s="3">
        <v>0</v>
      </c>
      <c r="M906" s="9">
        <f t="shared" si="70"/>
        <v>3.29</v>
      </c>
      <c r="N906" s="8">
        <f t="shared" si="71"/>
        <v>1283.0999999999999</v>
      </c>
      <c r="O906" s="9">
        <f>_xlfn.XLOOKUP(G906,[1]!tblProductMaster[SKU],[1]!tblProductMaster[Unit Cost])</f>
        <v>1.1000000000000001</v>
      </c>
      <c r="P906" s="8">
        <f t="shared" si="72"/>
        <v>429.00000000000006</v>
      </c>
      <c r="Q906" s="8">
        <f t="shared" si="73"/>
        <v>854.09999999999991</v>
      </c>
      <c r="R906" s="4">
        <f t="shared" si="74"/>
        <v>0.66565349544072949</v>
      </c>
      <c r="S906" t="s">
        <v>87</v>
      </c>
      <c r="T906">
        <f>Table6[[#This Row],[Discount]]*Table6[[#This Row],[List Price]]*Table6[[#This Row],[Units]]</f>
        <v>0</v>
      </c>
    </row>
    <row r="907" spans="1:20" x14ac:dyDescent="0.2">
      <c r="A907" t="s">
        <v>1000</v>
      </c>
      <c r="B907" s="2">
        <v>46257.2991265706</v>
      </c>
      <c r="C907" t="s">
        <v>98</v>
      </c>
      <c r="D907" t="s">
        <v>96</v>
      </c>
      <c r="E907" t="s">
        <v>25</v>
      </c>
      <c r="F907" t="s">
        <v>18</v>
      </c>
      <c r="G907" t="s">
        <v>37</v>
      </c>
      <c r="H907" t="str">
        <f>_xlfn.XLOOKUP(Table6[[#This Row],[SKU]],tblProductMaster[SKU],tblProductMaster[Product])</f>
        <v>Body Wash</v>
      </c>
      <c r="I907">
        <v>912</v>
      </c>
      <c r="J907">
        <f>_xlfn.XLOOKUP(G907,[1]!tblProductMaster[SKU],[1]!tblProductMaster[List Price])</f>
        <v>5.49</v>
      </c>
      <c r="K907" t="s">
        <v>89</v>
      </c>
      <c r="L907" s="3">
        <v>0.3</v>
      </c>
      <c r="M907" s="9">
        <f t="shared" si="70"/>
        <v>3.843</v>
      </c>
      <c r="N907" s="8">
        <f t="shared" si="71"/>
        <v>3504.8159999999998</v>
      </c>
      <c r="O907" s="9">
        <f>_xlfn.XLOOKUP(G907,[1]!tblProductMaster[SKU],[1]!tblProductMaster[Unit Cost])</f>
        <v>2.2999999999999998</v>
      </c>
      <c r="P907" s="8">
        <f t="shared" si="72"/>
        <v>2097.6</v>
      </c>
      <c r="Q907" s="8">
        <f t="shared" si="73"/>
        <v>1407.2159999999999</v>
      </c>
      <c r="R907" s="4">
        <f t="shared" si="74"/>
        <v>0.40150923757481133</v>
      </c>
      <c r="S907" t="s">
        <v>94</v>
      </c>
      <c r="T907">
        <f>Table6[[#This Row],[Discount]]*Table6[[#This Row],[List Price]]*Table6[[#This Row],[Units]]</f>
        <v>1502.0640000000001</v>
      </c>
    </row>
    <row r="908" spans="1:20" x14ac:dyDescent="0.2">
      <c r="A908" t="s">
        <v>1001</v>
      </c>
      <c r="B908" s="2">
        <v>46335.406729052484</v>
      </c>
      <c r="C908" t="s">
        <v>93</v>
      </c>
      <c r="D908" t="s">
        <v>104</v>
      </c>
      <c r="E908" t="s">
        <v>56</v>
      </c>
      <c r="F908" t="s">
        <v>15</v>
      </c>
      <c r="G908" t="s">
        <v>55</v>
      </c>
      <c r="H908" t="str">
        <f>_xlfn.XLOOKUP(Table6[[#This Row],[SKU]],tblProductMaster[SKU],tblProductMaster[Product])</f>
        <v>Toothpaste 75ml</v>
      </c>
      <c r="I908">
        <v>934</v>
      </c>
      <c r="J908">
        <f>_xlfn.XLOOKUP(G908,[1]!tblProductMaster[SKU],[1]!tblProductMaster[List Price])</f>
        <v>3.49</v>
      </c>
      <c r="K908" t="s">
        <v>89</v>
      </c>
      <c r="L908" s="3">
        <v>0.2</v>
      </c>
      <c r="M908" s="9">
        <f t="shared" si="70"/>
        <v>2.7920000000000003</v>
      </c>
      <c r="N908" s="8">
        <f t="shared" si="71"/>
        <v>2607.7280000000001</v>
      </c>
      <c r="O908" s="9">
        <f>_xlfn.XLOOKUP(G908,[1]!tblProductMaster[SKU],[1]!tblProductMaster[Unit Cost])</f>
        <v>1.2</v>
      </c>
      <c r="P908" s="8">
        <f t="shared" si="72"/>
        <v>1120.8</v>
      </c>
      <c r="Q908" s="8">
        <f t="shared" si="73"/>
        <v>1486.9280000000001</v>
      </c>
      <c r="R908" s="4">
        <f t="shared" si="74"/>
        <v>0.57020057306590266</v>
      </c>
      <c r="S908" t="s">
        <v>94</v>
      </c>
      <c r="T908">
        <f>Table6[[#This Row],[Discount]]*Table6[[#This Row],[List Price]]*Table6[[#This Row],[Units]]</f>
        <v>651.93200000000002</v>
      </c>
    </row>
    <row r="909" spans="1:20" x14ac:dyDescent="0.2">
      <c r="A909" t="s">
        <v>1002</v>
      </c>
      <c r="B909" s="2">
        <v>46137.831191824931</v>
      </c>
      <c r="C909" t="s">
        <v>84</v>
      </c>
      <c r="D909" t="s">
        <v>104</v>
      </c>
      <c r="E909" t="s">
        <v>8</v>
      </c>
      <c r="F909" t="s">
        <v>7</v>
      </c>
      <c r="G909" t="s">
        <v>6</v>
      </c>
      <c r="H909" t="str">
        <f>_xlfn.XLOOKUP(Table6[[#This Row],[SKU]],tblProductMaster[SKU],tblProductMaster[Product])</f>
        <v>Shampoo 250ml</v>
      </c>
      <c r="I909">
        <v>263</v>
      </c>
      <c r="J909">
        <f>_xlfn.XLOOKUP(G909,[1]!tblProductMaster[SKU],[1]!tblProductMaster[List Price])</f>
        <v>5.99</v>
      </c>
      <c r="K909" t="s">
        <v>86</v>
      </c>
      <c r="L909" s="3">
        <v>0</v>
      </c>
      <c r="M909" s="9">
        <f t="shared" si="70"/>
        <v>5.99</v>
      </c>
      <c r="N909" s="8">
        <f t="shared" si="71"/>
        <v>1575.3700000000001</v>
      </c>
      <c r="O909" s="9">
        <f>_xlfn.XLOOKUP(G909,[1]!tblProductMaster[SKU],[1]!tblProductMaster[Unit Cost])</f>
        <v>2.4</v>
      </c>
      <c r="P909" s="8">
        <f t="shared" si="72"/>
        <v>631.19999999999993</v>
      </c>
      <c r="Q909" s="8">
        <f t="shared" si="73"/>
        <v>944.17000000000019</v>
      </c>
      <c r="R909" s="4">
        <f t="shared" si="74"/>
        <v>0.59933222036727885</v>
      </c>
      <c r="S909" t="s">
        <v>87</v>
      </c>
      <c r="T909">
        <f>Table6[[#This Row],[Discount]]*Table6[[#This Row],[List Price]]*Table6[[#This Row],[Units]]</f>
        <v>0</v>
      </c>
    </row>
    <row r="910" spans="1:20" x14ac:dyDescent="0.2">
      <c r="A910" t="s">
        <v>1003</v>
      </c>
      <c r="B910" s="2">
        <v>46332.161397457967</v>
      </c>
      <c r="C910" t="s">
        <v>84</v>
      </c>
      <c r="D910" t="s">
        <v>104</v>
      </c>
      <c r="E910" t="s">
        <v>25</v>
      </c>
      <c r="F910" t="s">
        <v>15</v>
      </c>
      <c r="G910" t="s">
        <v>35</v>
      </c>
      <c r="H910" t="str">
        <f>_xlfn.XLOOKUP(Table6[[#This Row],[SKU]],tblProductMaster[SKU],tblProductMaster[Product])</f>
        <v>Hand Cream</v>
      </c>
      <c r="I910">
        <v>379</v>
      </c>
      <c r="J910">
        <f>_xlfn.XLOOKUP(G910,[1]!tblProductMaster[SKU],[1]!tblProductMaster[List Price])</f>
        <v>4.99</v>
      </c>
      <c r="K910" t="s">
        <v>86</v>
      </c>
      <c r="L910" s="3">
        <v>0</v>
      </c>
      <c r="M910" s="9">
        <f t="shared" si="70"/>
        <v>4.99</v>
      </c>
      <c r="N910" s="8">
        <f t="shared" si="71"/>
        <v>1891.21</v>
      </c>
      <c r="O910" s="9">
        <f>_xlfn.XLOOKUP(G910,[1]!tblProductMaster[SKU],[1]!tblProductMaster[Unit Cost])</f>
        <v>2.1</v>
      </c>
      <c r="P910" s="8">
        <f t="shared" si="72"/>
        <v>795.9</v>
      </c>
      <c r="Q910" s="8">
        <f t="shared" si="73"/>
        <v>1095.31</v>
      </c>
      <c r="R910" s="4">
        <f t="shared" si="74"/>
        <v>0.57915831663326645</v>
      </c>
      <c r="S910" t="s">
        <v>87</v>
      </c>
      <c r="T910">
        <f>Table6[[#This Row],[Discount]]*Table6[[#This Row],[List Price]]*Table6[[#This Row],[Units]]</f>
        <v>0</v>
      </c>
    </row>
    <row r="911" spans="1:20" x14ac:dyDescent="0.2">
      <c r="A911" t="s">
        <v>1004</v>
      </c>
      <c r="B911" s="2">
        <v>46170.710207743956</v>
      </c>
      <c r="C911" t="s">
        <v>84</v>
      </c>
      <c r="D911" t="s">
        <v>104</v>
      </c>
      <c r="E911" t="s">
        <v>56</v>
      </c>
      <c r="F911" t="s">
        <v>15</v>
      </c>
      <c r="G911" t="s">
        <v>62</v>
      </c>
      <c r="H911" t="str">
        <f>_xlfn.XLOOKUP(Table6[[#This Row],[SKU]],tblProductMaster[SKU],tblProductMaster[Product])</f>
        <v>Mouthwash 500ml</v>
      </c>
      <c r="I911">
        <v>502</v>
      </c>
      <c r="J911">
        <f>_xlfn.XLOOKUP(G911,[1]!tblProductMaster[SKU],[1]!tblProductMaster[List Price])</f>
        <v>5.99</v>
      </c>
      <c r="K911" t="s">
        <v>86</v>
      </c>
      <c r="L911" s="3">
        <v>0</v>
      </c>
      <c r="M911" s="9">
        <f t="shared" si="70"/>
        <v>5.99</v>
      </c>
      <c r="N911" s="8">
        <f t="shared" si="71"/>
        <v>3006.98</v>
      </c>
      <c r="O911" s="9">
        <f>_xlfn.XLOOKUP(G911,[1]!tblProductMaster[SKU],[1]!tblProductMaster[Unit Cost])</f>
        <v>2.4</v>
      </c>
      <c r="P911" s="8">
        <f t="shared" si="72"/>
        <v>1204.8</v>
      </c>
      <c r="Q911" s="8">
        <f t="shared" si="73"/>
        <v>1802.18</v>
      </c>
      <c r="R911" s="4">
        <f t="shared" si="74"/>
        <v>0.59933222036727885</v>
      </c>
      <c r="S911" t="s">
        <v>87</v>
      </c>
      <c r="T911">
        <f>Table6[[#This Row],[Discount]]*Table6[[#This Row],[List Price]]*Table6[[#This Row],[Units]]</f>
        <v>0</v>
      </c>
    </row>
    <row r="912" spans="1:20" x14ac:dyDescent="0.2">
      <c r="A912" t="s">
        <v>1005</v>
      </c>
      <c r="B912" s="2">
        <v>46199.432021268447</v>
      </c>
      <c r="C912" t="s">
        <v>98</v>
      </c>
      <c r="D912" t="s">
        <v>104</v>
      </c>
      <c r="E912" t="s">
        <v>40</v>
      </c>
      <c r="F912" t="s">
        <v>7</v>
      </c>
      <c r="G912" t="s">
        <v>44</v>
      </c>
      <c r="H912" t="str">
        <f>_xlfn.XLOOKUP(Table6[[#This Row],[SKU]],tblProductMaster[SKU],tblProductMaster[Product])</f>
        <v>Fabric Softener</v>
      </c>
      <c r="I912">
        <v>500</v>
      </c>
      <c r="J912">
        <f>_xlfn.XLOOKUP(G912,[1]!tblProductMaster[SKU],[1]!tblProductMaster[List Price])</f>
        <v>6.99</v>
      </c>
      <c r="K912" t="s">
        <v>86</v>
      </c>
      <c r="L912" s="3">
        <v>0</v>
      </c>
      <c r="M912" s="9">
        <f t="shared" si="70"/>
        <v>6.99</v>
      </c>
      <c r="N912" s="8">
        <f t="shared" si="71"/>
        <v>3495</v>
      </c>
      <c r="O912" s="9">
        <f>_xlfn.XLOOKUP(G912,[1]!tblProductMaster[SKU],[1]!tblProductMaster[Unit Cost])</f>
        <v>2.9</v>
      </c>
      <c r="P912" s="8">
        <f t="shared" si="72"/>
        <v>1450</v>
      </c>
      <c r="Q912" s="8">
        <f t="shared" si="73"/>
        <v>2045</v>
      </c>
      <c r="R912" s="4">
        <f t="shared" si="74"/>
        <v>0.58512160228898424</v>
      </c>
      <c r="S912" t="s">
        <v>87</v>
      </c>
      <c r="T912">
        <f>Table6[[#This Row],[Discount]]*Table6[[#This Row],[List Price]]*Table6[[#This Row],[Units]]</f>
        <v>0</v>
      </c>
    </row>
    <row r="913" spans="1:20" x14ac:dyDescent="0.2">
      <c r="A913" t="s">
        <v>1006</v>
      </c>
      <c r="B913" s="2">
        <v>46380.887395690319</v>
      </c>
      <c r="C913" t="s">
        <v>93</v>
      </c>
      <c r="D913" t="s">
        <v>96</v>
      </c>
      <c r="E913" t="s">
        <v>40</v>
      </c>
      <c r="F913" t="s">
        <v>18</v>
      </c>
      <c r="G913" t="s">
        <v>42</v>
      </c>
      <c r="H913" t="str">
        <f>_xlfn.XLOOKUP(Table6[[#This Row],[SKU]],tblProductMaster[SKU],tblProductMaster[Product])</f>
        <v>Detergent Capsules</v>
      </c>
      <c r="I913">
        <v>719</v>
      </c>
      <c r="J913">
        <f>_xlfn.XLOOKUP(G913,[1]!tblProductMaster[SKU],[1]!tblProductMaster[List Price])</f>
        <v>11.99</v>
      </c>
      <c r="K913" t="s">
        <v>86</v>
      </c>
      <c r="L913" s="3">
        <v>0</v>
      </c>
      <c r="M913" s="9">
        <f t="shared" si="70"/>
        <v>11.99</v>
      </c>
      <c r="N913" s="8">
        <f t="shared" si="71"/>
        <v>8620.81</v>
      </c>
      <c r="O913" s="9">
        <f>_xlfn.XLOOKUP(G913,[1]!tblProductMaster[SKU],[1]!tblProductMaster[Unit Cost])</f>
        <v>5.2</v>
      </c>
      <c r="P913" s="8">
        <f t="shared" si="72"/>
        <v>3738.8</v>
      </c>
      <c r="Q913" s="8">
        <f t="shared" si="73"/>
        <v>4882.0099999999993</v>
      </c>
      <c r="R913" s="4">
        <f t="shared" si="74"/>
        <v>0.56630525437864887</v>
      </c>
      <c r="S913" t="s">
        <v>87</v>
      </c>
      <c r="T913">
        <f>Table6[[#This Row],[Discount]]*Table6[[#This Row],[List Price]]*Table6[[#This Row],[Units]]</f>
        <v>0</v>
      </c>
    </row>
    <row r="914" spans="1:20" x14ac:dyDescent="0.2">
      <c r="A914" t="s">
        <v>1007</v>
      </c>
      <c r="B914" s="2">
        <v>46375.506154351875</v>
      </c>
      <c r="C914" t="s">
        <v>93</v>
      </c>
      <c r="D914" t="s">
        <v>85</v>
      </c>
      <c r="E914" t="s">
        <v>56</v>
      </c>
      <c r="F914" t="s">
        <v>7</v>
      </c>
      <c r="G914" t="s">
        <v>58</v>
      </c>
      <c r="H914" t="str">
        <f>_xlfn.XLOOKUP(Table6[[#This Row],[SKU]],tblProductMaster[SKU],tblProductMaster[Product])</f>
        <v>Whitening Toothpaste</v>
      </c>
      <c r="I914">
        <v>586</v>
      </c>
      <c r="J914">
        <f>_xlfn.XLOOKUP(G914,[1]!tblProductMaster[SKU],[1]!tblProductMaster[List Price])</f>
        <v>4.99</v>
      </c>
      <c r="K914" t="s">
        <v>86</v>
      </c>
      <c r="L914" s="3">
        <v>0</v>
      </c>
      <c r="M914" s="9">
        <f t="shared" si="70"/>
        <v>4.99</v>
      </c>
      <c r="N914" s="8">
        <f t="shared" si="71"/>
        <v>2924.1400000000003</v>
      </c>
      <c r="O914" s="9">
        <f>_xlfn.XLOOKUP(G914,[1]!tblProductMaster[SKU],[1]!tblProductMaster[Unit Cost])</f>
        <v>1.8</v>
      </c>
      <c r="P914" s="8">
        <f t="shared" si="72"/>
        <v>1054.8</v>
      </c>
      <c r="Q914" s="8">
        <f t="shared" si="73"/>
        <v>1869.3400000000004</v>
      </c>
      <c r="R914" s="4">
        <f t="shared" si="74"/>
        <v>0.63927855711422854</v>
      </c>
      <c r="S914" t="s">
        <v>87</v>
      </c>
      <c r="T914">
        <f>Table6[[#This Row],[Discount]]*Table6[[#This Row],[List Price]]*Table6[[#This Row],[Units]]</f>
        <v>0</v>
      </c>
    </row>
    <row r="915" spans="1:20" x14ac:dyDescent="0.2">
      <c r="A915" t="s">
        <v>1008</v>
      </c>
      <c r="B915" s="2">
        <v>46345.405473584164</v>
      </c>
      <c r="C915" t="s">
        <v>98</v>
      </c>
      <c r="D915" t="s">
        <v>104</v>
      </c>
      <c r="E915" t="s">
        <v>8</v>
      </c>
      <c r="F915" t="s">
        <v>7</v>
      </c>
      <c r="G915" t="s">
        <v>6</v>
      </c>
      <c r="H915" t="str">
        <f>_xlfn.XLOOKUP(Table6[[#This Row],[SKU]],tblProductMaster[SKU],tblProductMaster[Product])</f>
        <v>Shampoo 250ml</v>
      </c>
      <c r="I915">
        <v>516</v>
      </c>
      <c r="J915">
        <f>_xlfn.XLOOKUP(G915,[1]!tblProductMaster[SKU],[1]!tblProductMaster[List Price])</f>
        <v>5.99</v>
      </c>
      <c r="K915" t="s">
        <v>89</v>
      </c>
      <c r="L915" s="3">
        <v>0.2</v>
      </c>
      <c r="M915" s="9">
        <f t="shared" si="70"/>
        <v>4.7920000000000007</v>
      </c>
      <c r="N915" s="8">
        <f t="shared" si="71"/>
        <v>2472.6720000000005</v>
      </c>
      <c r="O915" s="9">
        <f>_xlfn.XLOOKUP(G915,[1]!tblProductMaster[SKU],[1]!tblProductMaster[Unit Cost])</f>
        <v>2.4</v>
      </c>
      <c r="P915" s="8">
        <f t="shared" si="72"/>
        <v>1238.3999999999999</v>
      </c>
      <c r="Q915" s="8">
        <f t="shared" si="73"/>
        <v>1234.2720000000006</v>
      </c>
      <c r="R915" s="4">
        <f t="shared" si="74"/>
        <v>0.49916527545909867</v>
      </c>
      <c r="S915" t="s">
        <v>90</v>
      </c>
      <c r="T915">
        <f>Table6[[#This Row],[Discount]]*Table6[[#This Row],[List Price]]*Table6[[#This Row],[Units]]</f>
        <v>618.16800000000012</v>
      </c>
    </row>
    <row r="916" spans="1:20" x14ac:dyDescent="0.2">
      <c r="A916" t="s">
        <v>1009</v>
      </c>
      <c r="B916" s="2">
        <v>46373.31180415197</v>
      </c>
      <c r="C916" t="s">
        <v>98</v>
      </c>
      <c r="D916" t="s">
        <v>104</v>
      </c>
      <c r="E916" t="s">
        <v>25</v>
      </c>
      <c r="F916" t="s">
        <v>15</v>
      </c>
      <c r="G916" t="s">
        <v>29</v>
      </c>
      <c r="H916" t="str">
        <f>_xlfn.XLOOKUP(Table6[[#This Row],[SKU]],tblProductMaster[SKU],tblProductMaster[Product])</f>
        <v>Shower Gel 250ml</v>
      </c>
      <c r="I916">
        <v>725</v>
      </c>
      <c r="J916">
        <f>_xlfn.XLOOKUP(G916,[1]!tblProductMaster[SKU],[1]!tblProductMaster[List Price])</f>
        <v>4.49</v>
      </c>
      <c r="K916" t="s">
        <v>86</v>
      </c>
      <c r="L916" s="3">
        <v>0</v>
      </c>
      <c r="M916" s="9">
        <f t="shared" si="70"/>
        <v>4.49</v>
      </c>
      <c r="N916" s="8">
        <f t="shared" si="71"/>
        <v>3255.25</v>
      </c>
      <c r="O916" s="9">
        <f>_xlfn.XLOOKUP(G916,[1]!tblProductMaster[SKU],[1]!tblProductMaster[Unit Cost])</f>
        <v>1.9</v>
      </c>
      <c r="P916" s="8">
        <f t="shared" si="72"/>
        <v>1377.5</v>
      </c>
      <c r="Q916" s="8">
        <f t="shared" si="73"/>
        <v>1877.75</v>
      </c>
      <c r="R916" s="4">
        <f t="shared" si="74"/>
        <v>0.57683741648106901</v>
      </c>
      <c r="S916" t="s">
        <v>87</v>
      </c>
      <c r="T916">
        <f>Table6[[#This Row],[Discount]]*Table6[[#This Row],[List Price]]*Table6[[#This Row],[Units]]</f>
        <v>0</v>
      </c>
    </row>
    <row r="917" spans="1:20" x14ac:dyDescent="0.2">
      <c r="A917" t="s">
        <v>1010</v>
      </c>
      <c r="B917" s="2">
        <v>46189.426565318536</v>
      </c>
      <c r="C917" t="s">
        <v>84</v>
      </c>
      <c r="D917" t="s">
        <v>96</v>
      </c>
      <c r="E917" t="s">
        <v>56</v>
      </c>
      <c r="F917" t="s">
        <v>15</v>
      </c>
      <c r="G917" t="s">
        <v>55</v>
      </c>
      <c r="H917" t="str">
        <f>_xlfn.XLOOKUP(Table6[[#This Row],[SKU]],tblProductMaster[SKU],tblProductMaster[Product])</f>
        <v>Toothpaste 75ml</v>
      </c>
      <c r="I917">
        <v>675</v>
      </c>
      <c r="J917">
        <f>_xlfn.XLOOKUP(G917,[1]!tblProductMaster[SKU],[1]!tblProductMaster[List Price])</f>
        <v>3.49</v>
      </c>
      <c r="K917" t="s">
        <v>86</v>
      </c>
      <c r="L917" s="3">
        <v>0</v>
      </c>
      <c r="M917" s="9">
        <f t="shared" si="70"/>
        <v>3.49</v>
      </c>
      <c r="N917" s="8">
        <f t="shared" si="71"/>
        <v>2355.75</v>
      </c>
      <c r="O917" s="9">
        <f>_xlfn.XLOOKUP(G917,[1]!tblProductMaster[SKU],[1]!tblProductMaster[Unit Cost])</f>
        <v>1.2</v>
      </c>
      <c r="P917" s="8">
        <f t="shared" si="72"/>
        <v>810</v>
      </c>
      <c r="Q917" s="8">
        <f t="shared" si="73"/>
        <v>1545.75</v>
      </c>
      <c r="R917" s="4">
        <f t="shared" si="74"/>
        <v>0.65616045845272208</v>
      </c>
      <c r="S917" t="s">
        <v>87</v>
      </c>
      <c r="T917">
        <f>Table6[[#This Row],[Discount]]*Table6[[#This Row],[List Price]]*Table6[[#This Row],[Units]]</f>
        <v>0</v>
      </c>
    </row>
    <row r="918" spans="1:20" x14ac:dyDescent="0.2">
      <c r="A918" t="s">
        <v>1011</v>
      </c>
      <c r="B918" s="2">
        <v>46045.509055590781</v>
      </c>
      <c r="C918" t="s">
        <v>93</v>
      </c>
      <c r="D918" t="s">
        <v>85</v>
      </c>
      <c r="E918" t="s">
        <v>25</v>
      </c>
      <c r="F918" t="s">
        <v>7</v>
      </c>
      <c r="G918" t="s">
        <v>24</v>
      </c>
      <c r="H918" t="str">
        <f>_xlfn.XLOOKUP(Table6[[#This Row],[SKU]],tblProductMaster[SKU],tblProductMaster[Product])</f>
        <v>Body Lotion 400ml</v>
      </c>
      <c r="I918">
        <v>439</v>
      </c>
      <c r="J918">
        <f>_xlfn.XLOOKUP(G918,[1]!tblProductMaster[SKU],[1]!tblProductMaster[List Price])</f>
        <v>7.99</v>
      </c>
      <c r="K918" t="s">
        <v>89</v>
      </c>
      <c r="L918" s="3">
        <v>0.2</v>
      </c>
      <c r="M918" s="9">
        <f t="shared" si="70"/>
        <v>6.3920000000000003</v>
      </c>
      <c r="N918" s="8">
        <f t="shared" si="71"/>
        <v>2806.0880000000002</v>
      </c>
      <c r="O918" s="9">
        <f>_xlfn.XLOOKUP(G918,[1]!tblProductMaster[SKU],[1]!tblProductMaster[Unit Cost])</f>
        <v>3.1</v>
      </c>
      <c r="P918" s="8">
        <f t="shared" si="72"/>
        <v>1360.9</v>
      </c>
      <c r="Q918" s="8">
        <f t="shared" si="73"/>
        <v>1445.1880000000001</v>
      </c>
      <c r="R918" s="4">
        <f t="shared" si="74"/>
        <v>0.51501877346683356</v>
      </c>
      <c r="S918" t="s">
        <v>94</v>
      </c>
      <c r="T918">
        <f>Table6[[#This Row],[Discount]]*Table6[[#This Row],[List Price]]*Table6[[#This Row],[Units]]</f>
        <v>701.52200000000005</v>
      </c>
    </row>
    <row r="919" spans="1:20" x14ac:dyDescent="0.2">
      <c r="A919" t="s">
        <v>1012</v>
      </c>
      <c r="B919" s="2">
        <v>46056.988722982547</v>
      </c>
      <c r="C919" t="s">
        <v>93</v>
      </c>
      <c r="D919" t="s">
        <v>85</v>
      </c>
      <c r="E919" t="s">
        <v>56</v>
      </c>
      <c r="F919" t="s">
        <v>15</v>
      </c>
      <c r="G919" t="s">
        <v>62</v>
      </c>
      <c r="H919" t="str">
        <f>_xlfn.XLOOKUP(Table6[[#This Row],[SKU]],tblProductMaster[SKU],tblProductMaster[Product])</f>
        <v>Mouthwash 500ml</v>
      </c>
      <c r="I919">
        <v>623</v>
      </c>
      <c r="J919">
        <f>_xlfn.XLOOKUP(G919,[1]!tblProductMaster[SKU],[1]!tblProductMaster[List Price])</f>
        <v>5.99</v>
      </c>
      <c r="K919" t="s">
        <v>86</v>
      </c>
      <c r="L919" s="3">
        <v>0</v>
      </c>
      <c r="M919" s="9">
        <f t="shared" si="70"/>
        <v>5.99</v>
      </c>
      <c r="N919" s="8">
        <f t="shared" si="71"/>
        <v>3731.77</v>
      </c>
      <c r="O919" s="9">
        <f>_xlfn.XLOOKUP(G919,[1]!tblProductMaster[SKU],[1]!tblProductMaster[Unit Cost])</f>
        <v>2.4</v>
      </c>
      <c r="P919" s="8">
        <f t="shared" si="72"/>
        <v>1495.2</v>
      </c>
      <c r="Q919" s="8">
        <f t="shared" si="73"/>
        <v>2236.5699999999997</v>
      </c>
      <c r="R919" s="4">
        <f t="shared" si="74"/>
        <v>0.59933222036727873</v>
      </c>
      <c r="S919" t="s">
        <v>87</v>
      </c>
      <c r="T919">
        <f>Table6[[#This Row],[Discount]]*Table6[[#This Row],[List Price]]*Table6[[#This Row],[Units]]</f>
        <v>0</v>
      </c>
    </row>
    <row r="920" spans="1:20" x14ac:dyDescent="0.2">
      <c r="A920" t="s">
        <v>1013</v>
      </c>
      <c r="B920" s="2">
        <v>46268.888791307494</v>
      </c>
      <c r="C920" t="s">
        <v>93</v>
      </c>
      <c r="D920" t="s">
        <v>96</v>
      </c>
      <c r="E920" t="s">
        <v>40</v>
      </c>
      <c r="F920" t="s">
        <v>7</v>
      </c>
      <c r="G920" t="s">
        <v>44</v>
      </c>
      <c r="H920" t="str">
        <f>_xlfn.XLOOKUP(Table6[[#This Row],[SKU]],tblProductMaster[SKU],tblProductMaster[Product])</f>
        <v>Fabric Softener</v>
      </c>
      <c r="I920">
        <v>961</v>
      </c>
      <c r="J920">
        <f>_xlfn.XLOOKUP(G920,[1]!tblProductMaster[SKU],[1]!tblProductMaster[List Price])</f>
        <v>6.99</v>
      </c>
      <c r="K920" t="s">
        <v>89</v>
      </c>
      <c r="L920" s="3">
        <v>0.2</v>
      </c>
      <c r="M920" s="9">
        <f t="shared" si="70"/>
        <v>5.5920000000000005</v>
      </c>
      <c r="N920" s="8">
        <f t="shared" si="71"/>
        <v>5373.9120000000003</v>
      </c>
      <c r="O920" s="9">
        <f>_xlfn.XLOOKUP(G920,[1]!tblProductMaster[SKU],[1]!tblProductMaster[Unit Cost])</f>
        <v>2.9</v>
      </c>
      <c r="P920" s="8">
        <f t="shared" si="72"/>
        <v>2786.9</v>
      </c>
      <c r="Q920" s="8">
        <f t="shared" si="73"/>
        <v>2587.0120000000002</v>
      </c>
      <c r="R920" s="4">
        <f t="shared" si="74"/>
        <v>0.48140200286123036</v>
      </c>
      <c r="S920" t="s">
        <v>94</v>
      </c>
      <c r="T920">
        <f>Table6[[#This Row],[Discount]]*Table6[[#This Row],[List Price]]*Table6[[#This Row],[Units]]</f>
        <v>1343.4780000000001</v>
      </c>
    </row>
    <row r="921" spans="1:20" x14ac:dyDescent="0.2">
      <c r="A921" t="s">
        <v>1014</v>
      </c>
      <c r="B921" s="2">
        <v>46213.878425903153</v>
      </c>
      <c r="C921" t="s">
        <v>93</v>
      </c>
      <c r="D921" t="s">
        <v>96</v>
      </c>
      <c r="E921" t="s">
        <v>25</v>
      </c>
      <c r="F921" t="s">
        <v>18</v>
      </c>
      <c r="G921" t="s">
        <v>27</v>
      </c>
      <c r="H921" t="str">
        <f>_xlfn.XLOOKUP(Table6[[#This Row],[SKU]],tblProductMaster[SKU],tblProductMaster[Product])</f>
        <v>Face Cream 50ml</v>
      </c>
      <c r="I921">
        <v>1074</v>
      </c>
      <c r="J921">
        <f>_xlfn.XLOOKUP(G921,[1]!tblProductMaster[SKU],[1]!tblProductMaster[List Price])</f>
        <v>9.99</v>
      </c>
      <c r="K921" t="s">
        <v>89</v>
      </c>
      <c r="L921" s="3">
        <v>0.2</v>
      </c>
      <c r="M921" s="9">
        <f t="shared" si="70"/>
        <v>7.9920000000000009</v>
      </c>
      <c r="N921" s="8">
        <f t="shared" si="71"/>
        <v>8583.4080000000013</v>
      </c>
      <c r="O921" s="9">
        <f>_xlfn.XLOOKUP(G921,[1]!tblProductMaster[SKU],[1]!tblProductMaster[Unit Cost])</f>
        <v>4.2</v>
      </c>
      <c r="P921" s="8">
        <f t="shared" si="72"/>
        <v>4510.8</v>
      </c>
      <c r="Q921" s="8">
        <f t="shared" si="73"/>
        <v>4072.6080000000011</v>
      </c>
      <c r="R921" s="4">
        <f t="shared" si="74"/>
        <v>0.47447447447447455</v>
      </c>
      <c r="S921" t="s">
        <v>99</v>
      </c>
      <c r="T921">
        <f>Table6[[#This Row],[Discount]]*Table6[[#This Row],[List Price]]*Table6[[#This Row],[Units]]</f>
        <v>2145.8520000000003</v>
      </c>
    </row>
    <row r="922" spans="1:20" x14ac:dyDescent="0.2">
      <c r="A922" t="s">
        <v>1015</v>
      </c>
      <c r="B922" s="2">
        <v>46080.005246547356</v>
      </c>
      <c r="C922" t="s">
        <v>98</v>
      </c>
      <c r="D922" t="s">
        <v>104</v>
      </c>
      <c r="E922" t="s">
        <v>56</v>
      </c>
      <c r="F922" t="s">
        <v>15</v>
      </c>
      <c r="G922" t="s">
        <v>62</v>
      </c>
      <c r="H922" t="str">
        <f>_xlfn.XLOOKUP(Table6[[#This Row],[SKU]],tblProductMaster[SKU],tblProductMaster[Product])</f>
        <v>Mouthwash 500ml</v>
      </c>
      <c r="I922">
        <v>763</v>
      </c>
      <c r="J922">
        <f>_xlfn.XLOOKUP(G922,[1]!tblProductMaster[SKU],[1]!tblProductMaster[List Price])</f>
        <v>5.99</v>
      </c>
      <c r="K922" t="s">
        <v>86</v>
      </c>
      <c r="L922" s="3">
        <v>0</v>
      </c>
      <c r="M922" s="9">
        <f t="shared" si="70"/>
        <v>5.99</v>
      </c>
      <c r="N922" s="8">
        <f t="shared" si="71"/>
        <v>4570.37</v>
      </c>
      <c r="O922" s="9">
        <f>_xlfn.XLOOKUP(G922,[1]!tblProductMaster[SKU],[1]!tblProductMaster[Unit Cost])</f>
        <v>2.4</v>
      </c>
      <c r="P922" s="8">
        <f t="shared" si="72"/>
        <v>1831.2</v>
      </c>
      <c r="Q922" s="8">
        <f t="shared" si="73"/>
        <v>2739.17</v>
      </c>
      <c r="R922" s="4">
        <f t="shared" si="74"/>
        <v>0.59933222036727885</v>
      </c>
      <c r="S922" t="s">
        <v>87</v>
      </c>
      <c r="T922">
        <f>Table6[[#This Row],[Discount]]*Table6[[#This Row],[List Price]]*Table6[[#This Row],[Units]]</f>
        <v>0</v>
      </c>
    </row>
    <row r="923" spans="1:20" x14ac:dyDescent="0.2">
      <c r="A923" t="s">
        <v>1016</v>
      </c>
      <c r="B923" s="2">
        <v>46109.16514451657</v>
      </c>
      <c r="C923" t="s">
        <v>98</v>
      </c>
      <c r="D923" t="s">
        <v>104</v>
      </c>
      <c r="E923" t="s">
        <v>25</v>
      </c>
      <c r="F923" t="s">
        <v>15</v>
      </c>
      <c r="G923" t="s">
        <v>35</v>
      </c>
      <c r="H923" t="str">
        <f>_xlfn.XLOOKUP(Table6[[#This Row],[SKU]],tblProductMaster[SKU],tblProductMaster[Product])</f>
        <v>Hand Cream</v>
      </c>
      <c r="I923">
        <v>532</v>
      </c>
      <c r="J923">
        <f>_xlfn.XLOOKUP(G923,[1]!tblProductMaster[SKU],[1]!tblProductMaster[List Price])</f>
        <v>4.99</v>
      </c>
      <c r="K923" t="s">
        <v>86</v>
      </c>
      <c r="L923" s="3">
        <v>0</v>
      </c>
      <c r="M923" s="9">
        <f t="shared" si="70"/>
        <v>4.99</v>
      </c>
      <c r="N923" s="8">
        <f t="shared" si="71"/>
        <v>2654.6800000000003</v>
      </c>
      <c r="O923" s="9">
        <f>_xlfn.XLOOKUP(G923,[1]!tblProductMaster[SKU],[1]!tblProductMaster[Unit Cost])</f>
        <v>2.1</v>
      </c>
      <c r="P923" s="8">
        <f t="shared" si="72"/>
        <v>1117.2</v>
      </c>
      <c r="Q923" s="8">
        <f t="shared" si="73"/>
        <v>1537.4800000000002</v>
      </c>
      <c r="R923" s="4">
        <f t="shared" si="74"/>
        <v>0.57915831663326656</v>
      </c>
      <c r="S923" t="s">
        <v>87</v>
      </c>
      <c r="T923">
        <f>Table6[[#This Row],[Discount]]*Table6[[#This Row],[List Price]]*Table6[[#This Row],[Units]]</f>
        <v>0</v>
      </c>
    </row>
    <row r="924" spans="1:20" x14ac:dyDescent="0.2">
      <c r="A924" t="s">
        <v>1017</v>
      </c>
      <c r="B924" s="2">
        <v>46067.530094041511</v>
      </c>
      <c r="C924" t="s">
        <v>93</v>
      </c>
      <c r="D924" t="s">
        <v>96</v>
      </c>
      <c r="E924" t="s">
        <v>56</v>
      </c>
      <c r="F924" t="s">
        <v>7</v>
      </c>
      <c r="G924" t="s">
        <v>58</v>
      </c>
      <c r="H924" t="str">
        <f>_xlfn.XLOOKUP(Table6[[#This Row],[SKU]],tblProductMaster[SKU],tblProductMaster[Product])</f>
        <v>Whitening Toothpaste</v>
      </c>
      <c r="I924">
        <v>793</v>
      </c>
      <c r="J924">
        <f>_xlfn.XLOOKUP(G924,[1]!tblProductMaster[SKU],[1]!tblProductMaster[List Price])</f>
        <v>4.99</v>
      </c>
      <c r="K924" t="s">
        <v>86</v>
      </c>
      <c r="L924" s="3">
        <v>0</v>
      </c>
      <c r="M924" s="9">
        <f t="shared" si="70"/>
        <v>4.99</v>
      </c>
      <c r="N924" s="8">
        <f t="shared" si="71"/>
        <v>3957.07</v>
      </c>
      <c r="O924" s="9">
        <f>_xlfn.XLOOKUP(G924,[1]!tblProductMaster[SKU],[1]!tblProductMaster[Unit Cost])</f>
        <v>1.8</v>
      </c>
      <c r="P924" s="8">
        <f t="shared" si="72"/>
        <v>1427.4</v>
      </c>
      <c r="Q924" s="8">
        <f t="shared" si="73"/>
        <v>2529.67</v>
      </c>
      <c r="R924" s="4">
        <f t="shared" si="74"/>
        <v>0.63927855711422843</v>
      </c>
      <c r="S924" t="s">
        <v>87</v>
      </c>
      <c r="T924">
        <f>Table6[[#This Row],[Discount]]*Table6[[#This Row],[List Price]]*Table6[[#This Row],[Units]]</f>
        <v>0</v>
      </c>
    </row>
    <row r="925" spans="1:20" x14ac:dyDescent="0.2">
      <c r="A925" t="s">
        <v>1018</v>
      </c>
      <c r="B925" s="2">
        <v>46356.228963400463</v>
      </c>
      <c r="C925" t="s">
        <v>84</v>
      </c>
      <c r="D925" t="s">
        <v>85</v>
      </c>
      <c r="E925" t="s">
        <v>56</v>
      </c>
      <c r="F925" t="s">
        <v>18</v>
      </c>
      <c r="G925" t="s">
        <v>60</v>
      </c>
      <c r="H925" t="str">
        <f>_xlfn.XLOOKUP(Table6[[#This Row],[SKU]],tblProductMaster[SKU],tblProductMaster[Product])</f>
        <v>Sensitive Toothpaste</v>
      </c>
      <c r="I925">
        <v>239</v>
      </c>
      <c r="J925">
        <f>_xlfn.XLOOKUP(G925,[1]!tblProductMaster[SKU],[1]!tblProductMaster[List Price])</f>
        <v>4.49</v>
      </c>
      <c r="K925" t="s">
        <v>86</v>
      </c>
      <c r="L925" s="3">
        <v>0</v>
      </c>
      <c r="M925" s="9">
        <f t="shared" si="70"/>
        <v>4.49</v>
      </c>
      <c r="N925" s="8">
        <f t="shared" si="71"/>
        <v>1073.1100000000001</v>
      </c>
      <c r="O925" s="9">
        <f>_xlfn.XLOOKUP(G925,[1]!tblProductMaster[SKU],[1]!tblProductMaster[Unit Cost])</f>
        <v>1.7</v>
      </c>
      <c r="P925" s="8">
        <f t="shared" si="72"/>
        <v>406.3</v>
      </c>
      <c r="Q925" s="8">
        <f t="shared" si="73"/>
        <v>666.81000000000017</v>
      </c>
      <c r="R925" s="4">
        <f t="shared" si="74"/>
        <v>0.6213808463251671</v>
      </c>
      <c r="S925" t="s">
        <v>87</v>
      </c>
      <c r="T925">
        <f>Table6[[#This Row],[Discount]]*Table6[[#This Row],[List Price]]*Table6[[#This Row],[Units]]</f>
        <v>0</v>
      </c>
    </row>
    <row r="926" spans="1:20" x14ac:dyDescent="0.2">
      <c r="A926" t="s">
        <v>1019</v>
      </c>
      <c r="B926" s="2">
        <v>46027.42605241132</v>
      </c>
      <c r="C926" t="s">
        <v>93</v>
      </c>
      <c r="D926" t="s">
        <v>104</v>
      </c>
      <c r="E926" t="s">
        <v>8</v>
      </c>
      <c r="F926" t="s">
        <v>15</v>
      </c>
      <c r="G926" t="s">
        <v>14</v>
      </c>
      <c r="H926" t="str">
        <f>_xlfn.XLOOKUP(Table6[[#This Row],[SKU]],tblProductMaster[SKU],tblProductMaster[Product])</f>
        <v>Shampoo 250ml</v>
      </c>
      <c r="I926">
        <v>760</v>
      </c>
      <c r="J926">
        <f>_xlfn.XLOOKUP(G926,[1]!tblProductMaster[SKU],[1]!tblProductMaster[List Price])</f>
        <v>4.99</v>
      </c>
      <c r="K926" t="s">
        <v>89</v>
      </c>
      <c r="L926" s="3">
        <v>0.2</v>
      </c>
      <c r="M926" s="9">
        <f t="shared" si="70"/>
        <v>3.9920000000000004</v>
      </c>
      <c r="N926" s="8">
        <f t="shared" si="71"/>
        <v>3033.9200000000005</v>
      </c>
      <c r="O926" s="9">
        <f>_xlfn.XLOOKUP(G926,[1]!tblProductMaster[SKU],[1]!tblProductMaster[Unit Cost])</f>
        <v>2.1</v>
      </c>
      <c r="P926" s="8">
        <f t="shared" si="72"/>
        <v>1596</v>
      </c>
      <c r="Q926" s="8">
        <f t="shared" si="73"/>
        <v>1437.9200000000005</v>
      </c>
      <c r="R926" s="4">
        <f t="shared" si="74"/>
        <v>0.47394789579158325</v>
      </c>
      <c r="S926" t="s">
        <v>94</v>
      </c>
      <c r="T926">
        <f>Table6[[#This Row],[Discount]]*Table6[[#This Row],[List Price]]*Table6[[#This Row],[Units]]</f>
        <v>758.48000000000013</v>
      </c>
    </row>
    <row r="927" spans="1:20" x14ac:dyDescent="0.2">
      <c r="A927" t="s">
        <v>1020</v>
      </c>
      <c r="B927" s="2">
        <v>46136.427030744453</v>
      </c>
      <c r="C927" t="s">
        <v>98</v>
      </c>
      <c r="D927" t="s">
        <v>96</v>
      </c>
      <c r="E927" t="s">
        <v>40</v>
      </c>
      <c r="F927" t="s">
        <v>7</v>
      </c>
      <c r="G927" t="s">
        <v>48</v>
      </c>
      <c r="H927" t="str">
        <f>_xlfn.XLOOKUP(Table6[[#This Row],[SKU]],tblProductMaster[SKU],tblProductMaster[Product])</f>
        <v>Color Detergent</v>
      </c>
      <c r="I927">
        <v>830</v>
      </c>
      <c r="J927">
        <f>_xlfn.XLOOKUP(G927,[1]!tblProductMaster[SKU],[1]!tblProductMaster[List Price])</f>
        <v>9.49</v>
      </c>
      <c r="K927" t="s">
        <v>89</v>
      </c>
      <c r="L927" s="3">
        <v>0.2</v>
      </c>
      <c r="M927" s="9">
        <f t="shared" si="70"/>
        <v>7.5920000000000005</v>
      </c>
      <c r="N927" s="8">
        <f t="shared" si="71"/>
        <v>6301.3600000000006</v>
      </c>
      <c r="O927" s="9">
        <f>_xlfn.XLOOKUP(G927,[1]!tblProductMaster[SKU],[1]!tblProductMaster[Unit Cost])</f>
        <v>4</v>
      </c>
      <c r="P927" s="8">
        <f t="shared" si="72"/>
        <v>3320</v>
      </c>
      <c r="Q927" s="8">
        <f t="shared" si="73"/>
        <v>2981.3600000000006</v>
      </c>
      <c r="R927" s="4">
        <f t="shared" si="74"/>
        <v>0.47312961011591154</v>
      </c>
      <c r="S927" t="s">
        <v>99</v>
      </c>
      <c r="T927">
        <f>Table6[[#This Row],[Discount]]*Table6[[#This Row],[List Price]]*Table6[[#This Row],[Units]]</f>
        <v>1575.3400000000001</v>
      </c>
    </row>
    <row r="928" spans="1:20" x14ac:dyDescent="0.2">
      <c r="A928" t="s">
        <v>1021</v>
      </c>
      <c r="B928" s="2">
        <v>46241.48596187486</v>
      </c>
      <c r="C928" t="s">
        <v>84</v>
      </c>
      <c r="D928" t="s">
        <v>85</v>
      </c>
      <c r="E928" t="s">
        <v>40</v>
      </c>
      <c r="F928" t="s">
        <v>15</v>
      </c>
      <c r="G928" t="s">
        <v>46</v>
      </c>
      <c r="H928" t="str">
        <f>_xlfn.XLOOKUP(Table6[[#This Row],[SKU]],tblProductMaster[SKU],tblProductMaster[Product])</f>
        <v>Stain Remover</v>
      </c>
      <c r="I928">
        <v>919</v>
      </c>
      <c r="J928">
        <f>_xlfn.XLOOKUP(G928,[1]!tblProductMaster[SKU],[1]!tblProductMaster[List Price])</f>
        <v>5.99</v>
      </c>
      <c r="K928" t="s">
        <v>89</v>
      </c>
      <c r="L928" s="3">
        <v>0.2</v>
      </c>
      <c r="M928" s="9">
        <f t="shared" si="70"/>
        <v>4.7920000000000007</v>
      </c>
      <c r="N928" s="8">
        <f t="shared" si="71"/>
        <v>4403.8480000000009</v>
      </c>
      <c r="O928" s="9">
        <f>_xlfn.XLOOKUP(G928,[1]!tblProductMaster[SKU],[1]!tblProductMaster[Unit Cost])</f>
        <v>2.5</v>
      </c>
      <c r="P928" s="8">
        <f t="shared" si="72"/>
        <v>2297.5</v>
      </c>
      <c r="Q928" s="8">
        <f t="shared" si="73"/>
        <v>2106.3480000000009</v>
      </c>
      <c r="R928" s="4">
        <f t="shared" si="74"/>
        <v>0.47829716193656102</v>
      </c>
      <c r="S928" t="s">
        <v>90</v>
      </c>
      <c r="T928">
        <f>Table6[[#This Row],[Discount]]*Table6[[#This Row],[List Price]]*Table6[[#This Row],[Units]]</f>
        <v>1100.9620000000002</v>
      </c>
    </row>
    <row r="929" spans="1:20" x14ac:dyDescent="0.2">
      <c r="A929" t="s">
        <v>1022</v>
      </c>
      <c r="B929" s="2">
        <v>46156.393502086648</v>
      </c>
      <c r="C929" t="s">
        <v>93</v>
      </c>
      <c r="D929" t="s">
        <v>96</v>
      </c>
      <c r="E929" t="s">
        <v>25</v>
      </c>
      <c r="F929" t="s">
        <v>15</v>
      </c>
      <c r="G929" t="s">
        <v>29</v>
      </c>
      <c r="H929" t="str">
        <f>_xlfn.XLOOKUP(Table6[[#This Row],[SKU]],tblProductMaster[SKU],tblProductMaster[Product])</f>
        <v>Shower Gel 250ml</v>
      </c>
      <c r="I929">
        <v>342</v>
      </c>
      <c r="J929">
        <f>_xlfn.XLOOKUP(G929,[1]!tblProductMaster[SKU],[1]!tblProductMaster[List Price])</f>
        <v>4.49</v>
      </c>
      <c r="K929" t="s">
        <v>86</v>
      </c>
      <c r="L929" s="3">
        <v>0</v>
      </c>
      <c r="M929" s="9">
        <f t="shared" si="70"/>
        <v>4.49</v>
      </c>
      <c r="N929" s="8">
        <f t="shared" si="71"/>
        <v>1535.5800000000002</v>
      </c>
      <c r="O929" s="9">
        <f>_xlfn.XLOOKUP(G929,[1]!tblProductMaster[SKU],[1]!tblProductMaster[Unit Cost])</f>
        <v>1.9</v>
      </c>
      <c r="P929" s="8">
        <f t="shared" si="72"/>
        <v>649.79999999999995</v>
      </c>
      <c r="Q929" s="8">
        <f t="shared" si="73"/>
        <v>885.7800000000002</v>
      </c>
      <c r="R929" s="4">
        <f t="shared" si="74"/>
        <v>0.57683741648106912</v>
      </c>
      <c r="S929" t="s">
        <v>87</v>
      </c>
      <c r="T929">
        <f>Table6[[#This Row],[Discount]]*Table6[[#This Row],[List Price]]*Table6[[#This Row],[Units]]</f>
        <v>0</v>
      </c>
    </row>
    <row r="930" spans="1:20" x14ac:dyDescent="0.2">
      <c r="A930" t="s">
        <v>1023</v>
      </c>
      <c r="B930" s="2">
        <v>46362.159096589152</v>
      </c>
      <c r="C930" t="s">
        <v>93</v>
      </c>
      <c r="D930" t="s">
        <v>85</v>
      </c>
      <c r="E930" t="s">
        <v>56</v>
      </c>
      <c r="F930" t="s">
        <v>7</v>
      </c>
      <c r="G930" t="s">
        <v>64</v>
      </c>
      <c r="H930" t="str">
        <f>_xlfn.XLOOKUP(Table6[[#This Row],[SKU]],tblProductMaster[SKU],tblProductMaster[Product])</f>
        <v>Toothbrush</v>
      </c>
      <c r="I930">
        <v>1045</v>
      </c>
      <c r="J930">
        <f>_xlfn.XLOOKUP(G930,[1]!tblProductMaster[SKU],[1]!tblProductMaster[List Price])</f>
        <v>3.99</v>
      </c>
      <c r="K930" t="s">
        <v>89</v>
      </c>
      <c r="L930" s="3">
        <v>0.3</v>
      </c>
      <c r="M930" s="9">
        <f t="shared" si="70"/>
        <v>2.7930000000000001</v>
      </c>
      <c r="N930" s="8">
        <f t="shared" si="71"/>
        <v>2918.6849999999999</v>
      </c>
      <c r="O930" s="9">
        <f>_xlfn.XLOOKUP(G930,[1]!tblProductMaster[SKU],[1]!tblProductMaster[Unit Cost])</f>
        <v>1.5</v>
      </c>
      <c r="P930" s="8">
        <f t="shared" si="72"/>
        <v>1567.5</v>
      </c>
      <c r="Q930" s="8">
        <f t="shared" si="73"/>
        <v>1351.1849999999999</v>
      </c>
      <c r="R930" s="4">
        <f t="shared" si="74"/>
        <v>0.46294307196562834</v>
      </c>
      <c r="S930" t="s">
        <v>99</v>
      </c>
      <c r="T930">
        <f>Table6[[#This Row],[Discount]]*Table6[[#This Row],[List Price]]*Table6[[#This Row],[Units]]</f>
        <v>1250.865</v>
      </c>
    </row>
    <row r="931" spans="1:20" x14ac:dyDescent="0.2">
      <c r="A931" t="s">
        <v>1024</v>
      </c>
      <c r="B931" s="2">
        <v>46054.438681701533</v>
      </c>
      <c r="C931" t="s">
        <v>98</v>
      </c>
      <c r="D931" t="s">
        <v>85</v>
      </c>
      <c r="E931" t="s">
        <v>8</v>
      </c>
      <c r="F931" t="s">
        <v>18</v>
      </c>
      <c r="G931" t="s">
        <v>17</v>
      </c>
      <c r="H931" t="str">
        <f>_xlfn.XLOOKUP(Table6[[#This Row],[SKU]],tblProductMaster[SKU],tblProductMaster[Product])</f>
        <v>Anti-Dandruff Shampoo</v>
      </c>
      <c r="I931">
        <v>707</v>
      </c>
      <c r="J931">
        <f>_xlfn.XLOOKUP(G931,[1]!tblProductMaster[SKU],[1]!tblProductMaster[List Price])</f>
        <v>6.49</v>
      </c>
      <c r="K931" t="s">
        <v>86</v>
      </c>
      <c r="L931" s="3">
        <v>0</v>
      </c>
      <c r="M931" s="9">
        <f t="shared" si="70"/>
        <v>6.49</v>
      </c>
      <c r="N931" s="8">
        <f t="shared" si="71"/>
        <v>4588.43</v>
      </c>
      <c r="O931" s="9">
        <f>_xlfn.XLOOKUP(G931,[1]!tblProductMaster[SKU],[1]!tblProductMaster[Unit Cost])</f>
        <v>2.8</v>
      </c>
      <c r="P931" s="8">
        <f t="shared" si="72"/>
        <v>1979.6</v>
      </c>
      <c r="Q931" s="8">
        <f t="shared" si="73"/>
        <v>2608.8300000000004</v>
      </c>
      <c r="R931" s="4">
        <f t="shared" si="74"/>
        <v>0.5685670261941449</v>
      </c>
      <c r="S931" t="s">
        <v>87</v>
      </c>
      <c r="T931">
        <f>Table6[[#This Row],[Discount]]*Table6[[#This Row],[List Price]]*Table6[[#This Row],[Units]]</f>
        <v>0</v>
      </c>
    </row>
    <row r="932" spans="1:20" x14ac:dyDescent="0.2">
      <c r="A932" t="s">
        <v>1025</v>
      </c>
      <c r="B932" s="2">
        <v>46279.273275085659</v>
      </c>
      <c r="C932" t="s">
        <v>84</v>
      </c>
      <c r="D932" t="s">
        <v>85</v>
      </c>
      <c r="E932" t="s">
        <v>56</v>
      </c>
      <c r="F932" t="s">
        <v>7</v>
      </c>
      <c r="G932" t="s">
        <v>66</v>
      </c>
      <c r="H932" t="str">
        <f>_xlfn.XLOOKUP(Table6[[#This Row],[SKU]],tblProductMaster[SKU],tblProductMaster[Product])</f>
        <v>Electric Brush Heads</v>
      </c>
      <c r="I932">
        <v>407</v>
      </c>
      <c r="J932">
        <f>_xlfn.XLOOKUP(G932,[1]!tblProductMaster[SKU],[1]!tblProductMaster[List Price])</f>
        <v>12.99</v>
      </c>
      <c r="K932" t="s">
        <v>86</v>
      </c>
      <c r="L932" s="3">
        <v>0</v>
      </c>
      <c r="M932" s="9">
        <f t="shared" si="70"/>
        <v>12.99</v>
      </c>
      <c r="N932" s="8">
        <f t="shared" si="71"/>
        <v>5286.93</v>
      </c>
      <c r="O932" s="9">
        <f>_xlfn.XLOOKUP(G932,[1]!tblProductMaster[SKU],[1]!tblProductMaster[Unit Cost])</f>
        <v>5.2</v>
      </c>
      <c r="P932" s="8">
        <f t="shared" si="72"/>
        <v>2116.4</v>
      </c>
      <c r="Q932" s="8">
        <f t="shared" si="73"/>
        <v>3170.53</v>
      </c>
      <c r="R932" s="4">
        <f t="shared" si="74"/>
        <v>0.59969207082371057</v>
      </c>
      <c r="S932" t="s">
        <v>87</v>
      </c>
      <c r="T932">
        <f>Table6[[#This Row],[Discount]]*Table6[[#This Row],[List Price]]*Table6[[#This Row],[Units]]</f>
        <v>0</v>
      </c>
    </row>
    <row r="933" spans="1:20" x14ac:dyDescent="0.2">
      <c r="A933" t="s">
        <v>1026</v>
      </c>
      <c r="B933" s="2">
        <v>46365.594603023732</v>
      </c>
      <c r="C933" t="s">
        <v>84</v>
      </c>
      <c r="D933" t="s">
        <v>104</v>
      </c>
      <c r="E933" t="s">
        <v>25</v>
      </c>
      <c r="F933" t="s">
        <v>18</v>
      </c>
      <c r="G933" t="s">
        <v>37</v>
      </c>
      <c r="H933" t="str">
        <f>_xlfn.XLOOKUP(Table6[[#This Row],[SKU]],tblProductMaster[SKU],tblProductMaster[Product])</f>
        <v>Body Wash</v>
      </c>
      <c r="I933">
        <v>668</v>
      </c>
      <c r="J933">
        <f>_xlfn.XLOOKUP(G933,[1]!tblProductMaster[SKU],[1]!tblProductMaster[List Price])</f>
        <v>5.49</v>
      </c>
      <c r="K933" t="s">
        <v>89</v>
      </c>
      <c r="L933" s="3">
        <v>0.2</v>
      </c>
      <c r="M933" s="9">
        <f t="shared" si="70"/>
        <v>4.3920000000000003</v>
      </c>
      <c r="N933" s="8">
        <f t="shared" si="71"/>
        <v>2933.8560000000002</v>
      </c>
      <c r="O933" s="9">
        <f>_xlfn.XLOOKUP(G933,[1]!tblProductMaster[SKU],[1]!tblProductMaster[Unit Cost])</f>
        <v>2.2999999999999998</v>
      </c>
      <c r="P933" s="8">
        <f t="shared" si="72"/>
        <v>1536.3999999999999</v>
      </c>
      <c r="Q933" s="8">
        <f t="shared" si="73"/>
        <v>1397.4560000000004</v>
      </c>
      <c r="R933" s="4">
        <f t="shared" si="74"/>
        <v>0.47632058287796003</v>
      </c>
      <c r="S933" t="s">
        <v>99</v>
      </c>
      <c r="T933">
        <f>Table6[[#This Row],[Discount]]*Table6[[#This Row],[List Price]]*Table6[[#This Row],[Units]]</f>
        <v>733.46400000000006</v>
      </c>
    </row>
    <row r="934" spans="1:20" x14ac:dyDescent="0.2">
      <c r="A934" t="s">
        <v>1027</v>
      </c>
      <c r="B934" s="2">
        <v>46042.145282055273</v>
      </c>
      <c r="C934" t="s">
        <v>84</v>
      </c>
      <c r="D934" t="s">
        <v>96</v>
      </c>
      <c r="E934" t="s">
        <v>56</v>
      </c>
      <c r="F934" t="s">
        <v>7</v>
      </c>
      <c r="G934" t="s">
        <v>66</v>
      </c>
      <c r="H934" t="str">
        <f>_xlfn.XLOOKUP(Table6[[#This Row],[SKU]],tblProductMaster[SKU],tblProductMaster[Product])</f>
        <v>Electric Brush Heads</v>
      </c>
      <c r="I934">
        <v>675</v>
      </c>
      <c r="J934">
        <f>_xlfn.XLOOKUP(G934,[1]!tblProductMaster[SKU],[1]!tblProductMaster[List Price])</f>
        <v>12.99</v>
      </c>
      <c r="K934" t="s">
        <v>86</v>
      </c>
      <c r="L934" s="3">
        <v>0</v>
      </c>
      <c r="M934" s="9">
        <f t="shared" si="70"/>
        <v>12.99</v>
      </c>
      <c r="N934" s="8">
        <f t="shared" si="71"/>
        <v>8768.25</v>
      </c>
      <c r="O934" s="9">
        <f>_xlfn.XLOOKUP(G934,[1]!tblProductMaster[SKU],[1]!tblProductMaster[Unit Cost])</f>
        <v>5.2</v>
      </c>
      <c r="P934" s="8">
        <f t="shared" si="72"/>
        <v>3510</v>
      </c>
      <c r="Q934" s="8">
        <f t="shared" si="73"/>
        <v>5258.25</v>
      </c>
      <c r="R934" s="4">
        <f t="shared" si="74"/>
        <v>0.59969207082371057</v>
      </c>
      <c r="S934" t="s">
        <v>87</v>
      </c>
      <c r="T934">
        <f>Table6[[#This Row],[Discount]]*Table6[[#This Row],[List Price]]*Table6[[#This Row],[Units]]</f>
        <v>0</v>
      </c>
    </row>
    <row r="935" spans="1:20" x14ac:dyDescent="0.2">
      <c r="A935" t="s">
        <v>1028</v>
      </c>
      <c r="B935" s="2">
        <v>46239.57872281313</v>
      </c>
      <c r="C935" t="s">
        <v>84</v>
      </c>
      <c r="D935" t="s">
        <v>96</v>
      </c>
      <c r="E935" t="s">
        <v>56</v>
      </c>
      <c r="F935" t="s">
        <v>15</v>
      </c>
      <c r="G935" t="s">
        <v>62</v>
      </c>
      <c r="H935" t="str">
        <f>_xlfn.XLOOKUP(Table6[[#This Row],[SKU]],tblProductMaster[SKU],tblProductMaster[Product])</f>
        <v>Mouthwash 500ml</v>
      </c>
      <c r="I935">
        <v>1167</v>
      </c>
      <c r="J935">
        <f>_xlfn.XLOOKUP(G935,[1]!tblProductMaster[SKU],[1]!tblProductMaster[List Price])</f>
        <v>5.99</v>
      </c>
      <c r="K935" t="s">
        <v>89</v>
      </c>
      <c r="L935" s="3">
        <v>0.1</v>
      </c>
      <c r="M935" s="9">
        <f t="shared" si="70"/>
        <v>5.391</v>
      </c>
      <c r="N935" s="8">
        <f t="shared" si="71"/>
        <v>6291.2969999999996</v>
      </c>
      <c r="O935" s="9">
        <f>_xlfn.XLOOKUP(G935,[1]!tblProductMaster[SKU],[1]!tblProductMaster[Unit Cost])</f>
        <v>2.4</v>
      </c>
      <c r="P935" s="8">
        <f t="shared" si="72"/>
        <v>2800.7999999999997</v>
      </c>
      <c r="Q935" s="8">
        <f t="shared" si="73"/>
        <v>3490.4969999999998</v>
      </c>
      <c r="R935" s="4">
        <f t="shared" si="74"/>
        <v>0.5548135781858653</v>
      </c>
      <c r="S935" t="s">
        <v>99</v>
      </c>
      <c r="T935">
        <f>Table6[[#This Row],[Discount]]*Table6[[#This Row],[List Price]]*Table6[[#This Row],[Units]]</f>
        <v>699.03300000000013</v>
      </c>
    </row>
    <row r="936" spans="1:20" x14ac:dyDescent="0.2">
      <c r="A936" t="s">
        <v>1029</v>
      </c>
      <c r="B936" s="2">
        <v>46208.427102290734</v>
      </c>
      <c r="C936" t="s">
        <v>84</v>
      </c>
      <c r="D936" t="s">
        <v>85</v>
      </c>
      <c r="E936" t="s">
        <v>40</v>
      </c>
      <c r="F936" t="s">
        <v>18</v>
      </c>
      <c r="G936" t="s">
        <v>54</v>
      </c>
      <c r="H936" t="str">
        <f>_xlfn.XLOOKUP(Table6[[#This Row],[SKU]],tblProductMaster[SKU],tblProductMaster[Product])</f>
        <v>Fabric Softener</v>
      </c>
      <c r="I936">
        <v>585</v>
      </c>
      <c r="J936">
        <f>_xlfn.XLOOKUP(G936,[1]!tblProductMaster[SKU],[1]!tblProductMaster[List Price])</f>
        <v>5.49</v>
      </c>
      <c r="K936" t="s">
        <v>86</v>
      </c>
      <c r="L936" s="3">
        <v>0</v>
      </c>
      <c r="M936" s="9">
        <f t="shared" si="70"/>
        <v>5.49</v>
      </c>
      <c r="N936" s="8">
        <f t="shared" si="71"/>
        <v>3211.65</v>
      </c>
      <c r="O936" s="9">
        <f>_xlfn.XLOOKUP(G936,[1]!tblProductMaster[SKU],[1]!tblProductMaster[Unit Cost])</f>
        <v>2.4</v>
      </c>
      <c r="P936" s="8">
        <f t="shared" si="72"/>
        <v>1404</v>
      </c>
      <c r="Q936" s="8">
        <f t="shared" si="73"/>
        <v>1807.65</v>
      </c>
      <c r="R936" s="4">
        <f t="shared" si="74"/>
        <v>0.56284153005464477</v>
      </c>
      <c r="S936" t="s">
        <v>87</v>
      </c>
      <c r="T936">
        <f>Table6[[#This Row],[Discount]]*Table6[[#This Row],[List Price]]*Table6[[#This Row],[Units]]</f>
        <v>0</v>
      </c>
    </row>
    <row r="937" spans="1:20" x14ac:dyDescent="0.2">
      <c r="A937" t="s">
        <v>1030</v>
      </c>
      <c r="B937" s="2">
        <v>46264.669028693876</v>
      </c>
      <c r="C937" t="s">
        <v>98</v>
      </c>
      <c r="D937" t="s">
        <v>96</v>
      </c>
      <c r="E937" t="s">
        <v>56</v>
      </c>
      <c r="F937" t="s">
        <v>7</v>
      </c>
      <c r="G937" t="s">
        <v>64</v>
      </c>
      <c r="H937" t="str">
        <f>_xlfn.XLOOKUP(Table6[[#This Row],[SKU]],tblProductMaster[SKU],tblProductMaster[Product])</f>
        <v>Toothbrush</v>
      </c>
      <c r="I937">
        <v>533</v>
      </c>
      <c r="J937">
        <f>_xlfn.XLOOKUP(G937,[1]!tblProductMaster[SKU],[1]!tblProductMaster[List Price])</f>
        <v>3.99</v>
      </c>
      <c r="K937" t="s">
        <v>89</v>
      </c>
      <c r="L937" s="3">
        <v>0.1</v>
      </c>
      <c r="M937" s="9">
        <f t="shared" si="70"/>
        <v>3.5910000000000002</v>
      </c>
      <c r="N937" s="8">
        <f t="shared" si="71"/>
        <v>1914.0030000000002</v>
      </c>
      <c r="O937" s="9">
        <f>_xlfn.XLOOKUP(G937,[1]!tblProductMaster[SKU],[1]!tblProductMaster[Unit Cost])</f>
        <v>1.5</v>
      </c>
      <c r="P937" s="8">
        <f t="shared" si="72"/>
        <v>799.5</v>
      </c>
      <c r="Q937" s="8">
        <f t="shared" si="73"/>
        <v>1114.5030000000002</v>
      </c>
      <c r="R937" s="4">
        <f t="shared" si="74"/>
        <v>0.58228905597326652</v>
      </c>
      <c r="S937" t="s">
        <v>94</v>
      </c>
      <c r="T937">
        <f>Table6[[#This Row],[Discount]]*Table6[[#This Row],[List Price]]*Table6[[#This Row],[Units]]</f>
        <v>212.667</v>
      </c>
    </row>
    <row r="938" spans="1:20" x14ac:dyDescent="0.2">
      <c r="A938" t="s">
        <v>1031</v>
      </c>
      <c r="B938" s="2">
        <v>46149.970119689388</v>
      </c>
      <c r="C938" t="s">
        <v>98</v>
      </c>
      <c r="D938" t="s">
        <v>96</v>
      </c>
      <c r="E938" t="s">
        <v>25</v>
      </c>
      <c r="F938" t="s">
        <v>7</v>
      </c>
      <c r="G938" t="s">
        <v>31</v>
      </c>
      <c r="H938" t="str">
        <f>_xlfn.XLOOKUP(Table6[[#This Row],[SKU]],tblProductMaster[SKU],tblProductMaster[Product])</f>
        <v>Facial Cleanser</v>
      </c>
      <c r="I938">
        <v>405</v>
      </c>
      <c r="J938">
        <f>_xlfn.XLOOKUP(G938,[1]!tblProductMaster[SKU],[1]!tblProductMaster[List Price])</f>
        <v>8.49</v>
      </c>
      <c r="K938" t="s">
        <v>89</v>
      </c>
      <c r="L938" s="3">
        <v>0.3</v>
      </c>
      <c r="M938" s="9">
        <f t="shared" si="70"/>
        <v>5.9429999999999996</v>
      </c>
      <c r="N938" s="8">
        <f t="shared" si="71"/>
        <v>2406.915</v>
      </c>
      <c r="O938" s="9">
        <f>_xlfn.XLOOKUP(G938,[1]!tblProductMaster[SKU],[1]!tblProductMaster[Unit Cost])</f>
        <v>3.5</v>
      </c>
      <c r="P938" s="8">
        <f t="shared" si="72"/>
        <v>1417.5</v>
      </c>
      <c r="Q938" s="8">
        <f t="shared" si="73"/>
        <v>989.41499999999996</v>
      </c>
      <c r="R938" s="4">
        <f t="shared" si="74"/>
        <v>0.41107184923439338</v>
      </c>
      <c r="S938" t="s">
        <v>90</v>
      </c>
      <c r="T938">
        <f>Table6[[#This Row],[Discount]]*Table6[[#This Row],[List Price]]*Table6[[#This Row],[Units]]</f>
        <v>1031.5350000000001</v>
      </c>
    </row>
    <row r="939" spans="1:20" x14ac:dyDescent="0.2">
      <c r="A939" t="s">
        <v>1032</v>
      </c>
      <c r="B939" s="2">
        <v>46284.513003037981</v>
      </c>
      <c r="C939" t="s">
        <v>98</v>
      </c>
      <c r="D939" t="s">
        <v>96</v>
      </c>
      <c r="E939" t="s">
        <v>25</v>
      </c>
      <c r="F939" t="s">
        <v>7</v>
      </c>
      <c r="G939" t="s">
        <v>33</v>
      </c>
      <c r="H939" t="str">
        <f>_xlfn.XLOOKUP(Table6[[#This Row],[SKU]],tblProductMaster[SKU],tblProductMaster[Product])</f>
        <v>Sunscreen 200ml</v>
      </c>
      <c r="I939">
        <v>570</v>
      </c>
      <c r="J939">
        <f>_xlfn.XLOOKUP(G939,[1]!tblProductMaster[SKU],[1]!tblProductMaster[List Price])</f>
        <v>10.99</v>
      </c>
      <c r="K939" t="s">
        <v>86</v>
      </c>
      <c r="L939" s="3">
        <v>0</v>
      </c>
      <c r="M939" s="9">
        <f t="shared" si="70"/>
        <v>10.99</v>
      </c>
      <c r="N939" s="8">
        <f t="shared" si="71"/>
        <v>6264.3</v>
      </c>
      <c r="O939" s="9">
        <f>_xlfn.XLOOKUP(G939,[1]!tblProductMaster[SKU],[1]!tblProductMaster[Unit Cost])</f>
        <v>4.5999999999999996</v>
      </c>
      <c r="P939" s="8">
        <f t="shared" si="72"/>
        <v>2622</v>
      </c>
      <c r="Q939" s="8">
        <f t="shared" si="73"/>
        <v>3642.3</v>
      </c>
      <c r="R939" s="4">
        <f t="shared" si="74"/>
        <v>0.58143767060964513</v>
      </c>
      <c r="S939" t="s">
        <v>87</v>
      </c>
      <c r="T939">
        <f>Table6[[#This Row],[Discount]]*Table6[[#This Row],[List Price]]*Table6[[#This Row],[Units]]</f>
        <v>0</v>
      </c>
    </row>
    <row r="940" spans="1:20" x14ac:dyDescent="0.2">
      <c r="A940" t="s">
        <v>1033</v>
      </c>
      <c r="B940" s="2">
        <v>46353.42213731115</v>
      </c>
      <c r="C940" t="s">
        <v>84</v>
      </c>
      <c r="D940" t="s">
        <v>85</v>
      </c>
      <c r="E940" t="s">
        <v>8</v>
      </c>
      <c r="F940" t="s">
        <v>18</v>
      </c>
      <c r="G940" t="s">
        <v>20</v>
      </c>
      <c r="H940" t="str">
        <f>_xlfn.XLOOKUP(Table6[[#This Row],[SKU]],tblProductMaster[SKU],tblProductMaster[Product])</f>
        <v>Hair Oil</v>
      </c>
      <c r="I940">
        <v>203</v>
      </c>
      <c r="J940">
        <f>_xlfn.XLOOKUP(G940,[1]!tblProductMaster[SKU],[1]!tblProductMaster[List Price])</f>
        <v>7.49</v>
      </c>
      <c r="K940" t="s">
        <v>86</v>
      </c>
      <c r="L940" s="3">
        <v>0</v>
      </c>
      <c r="M940" s="9">
        <f t="shared" si="70"/>
        <v>7.49</v>
      </c>
      <c r="N940" s="8">
        <f t="shared" si="71"/>
        <v>1520.47</v>
      </c>
      <c r="O940" s="9">
        <f>_xlfn.XLOOKUP(G940,[1]!tblProductMaster[SKU],[1]!tblProductMaster[Unit Cost])</f>
        <v>3.1</v>
      </c>
      <c r="P940" s="8">
        <f t="shared" si="72"/>
        <v>629.30000000000007</v>
      </c>
      <c r="Q940" s="8">
        <f t="shared" si="73"/>
        <v>891.17</v>
      </c>
      <c r="R940" s="4">
        <f t="shared" si="74"/>
        <v>0.5861148197596795</v>
      </c>
      <c r="S940" t="s">
        <v>87</v>
      </c>
      <c r="T940">
        <f>Table6[[#This Row],[Discount]]*Table6[[#This Row],[List Price]]*Table6[[#This Row],[Units]]</f>
        <v>0</v>
      </c>
    </row>
    <row r="941" spans="1:20" x14ac:dyDescent="0.2">
      <c r="A941" t="s">
        <v>1034</v>
      </c>
      <c r="B941" s="2">
        <v>46130.600303521918</v>
      </c>
      <c r="C941" t="s">
        <v>98</v>
      </c>
      <c r="D941" t="s">
        <v>104</v>
      </c>
      <c r="E941" t="s">
        <v>56</v>
      </c>
      <c r="F941" t="s">
        <v>7</v>
      </c>
      <c r="G941" t="s">
        <v>66</v>
      </c>
      <c r="H941" t="str">
        <f>_xlfn.XLOOKUP(Table6[[#This Row],[SKU]],tblProductMaster[SKU],tblProductMaster[Product])</f>
        <v>Electric Brush Heads</v>
      </c>
      <c r="I941">
        <v>248</v>
      </c>
      <c r="J941">
        <f>_xlfn.XLOOKUP(G941,[1]!tblProductMaster[SKU],[1]!tblProductMaster[List Price])</f>
        <v>12.99</v>
      </c>
      <c r="K941" t="s">
        <v>86</v>
      </c>
      <c r="L941" s="3">
        <v>0</v>
      </c>
      <c r="M941" s="9">
        <f t="shared" si="70"/>
        <v>12.99</v>
      </c>
      <c r="N941" s="8">
        <f t="shared" si="71"/>
        <v>3221.52</v>
      </c>
      <c r="O941" s="9">
        <f>_xlfn.XLOOKUP(G941,[1]!tblProductMaster[SKU],[1]!tblProductMaster[Unit Cost])</f>
        <v>5.2</v>
      </c>
      <c r="P941" s="8">
        <f t="shared" si="72"/>
        <v>1289.6000000000001</v>
      </c>
      <c r="Q941" s="8">
        <f t="shared" si="73"/>
        <v>1931.9199999999998</v>
      </c>
      <c r="R941" s="4">
        <f t="shared" si="74"/>
        <v>0.59969207082371045</v>
      </c>
      <c r="S941" t="s">
        <v>87</v>
      </c>
      <c r="T941">
        <f>Table6[[#This Row],[Discount]]*Table6[[#This Row],[List Price]]*Table6[[#This Row],[Units]]</f>
        <v>0</v>
      </c>
    </row>
    <row r="942" spans="1:20" x14ac:dyDescent="0.2">
      <c r="A942" t="s">
        <v>1035</v>
      </c>
      <c r="B942" s="2">
        <v>46083.314612925016</v>
      </c>
      <c r="C942" t="s">
        <v>98</v>
      </c>
      <c r="D942" t="s">
        <v>104</v>
      </c>
      <c r="E942" t="s">
        <v>40</v>
      </c>
      <c r="F942" t="s">
        <v>15</v>
      </c>
      <c r="G942" t="s">
        <v>52</v>
      </c>
      <c r="H942" t="str">
        <f>_xlfn.XLOOKUP(Table6[[#This Row],[SKU]],tblProductMaster[SKU],tblProductMaster[Product])</f>
        <v>Laundry Pods</v>
      </c>
      <c r="I942">
        <v>492</v>
      </c>
      <c r="J942">
        <f>_xlfn.XLOOKUP(G942,[1]!tblProductMaster[SKU],[1]!tblProductMaster[List Price])</f>
        <v>10.49</v>
      </c>
      <c r="K942" t="s">
        <v>86</v>
      </c>
      <c r="L942" s="3">
        <v>0</v>
      </c>
      <c r="M942" s="9">
        <f t="shared" si="70"/>
        <v>10.49</v>
      </c>
      <c r="N942" s="8">
        <f t="shared" si="71"/>
        <v>5161.08</v>
      </c>
      <c r="O942" s="9">
        <f>_xlfn.XLOOKUP(G942,[1]!tblProductMaster[SKU],[1]!tblProductMaster[Unit Cost])</f>
        <v>4.5999999999999996</v>
      </c>
      <c r="P942" s="8">
        <f t="shared" si="72"/>
        <v>2263.1999999999998</v>
      </c>
      <c r="Q942" s="8">
        <f t="shared" si="73"/>
        <v>2897.88</v>
      </c>
      <c r="R942" s="4">
        <f t="shared" si="74"/>
        <v>0.56148713060057198</v>
      </c>
      <c r="S942" t="s">
        <v>87</v>
      </c>
      <c r="T942">
        <f>Table6[[#This Row],[Discount]]*Table6[[#This Row],[List Price]]*Table6[[#This Row],[Units]]</f>
        <v>0</v>
      </c>
    </row>
    <row r="943" spans="1:20" x14ac:dyDescent="0.2">
      <c r="A943" t="s">
        <v>1036</v>
      </c>
      <c r="B943" s="2">
        <v>46067.394857037179</v>
      </c>
      <c r="C943" t="s">
        <v>98</v>
      </c>
      <c r="D943" t="s">
        <v>96</v>
      </c>
      <c r="E943" t="s">
        <v>8</v>
      </c>
      <c r="F943" t="s">
        <v>18</v>
      </c>
      <c r="G943" t="s">
        <v>20</v>
      </c>
      <c r="H943" t="str">
        <f>_xlfn.XLOOKUP(Table6[[#This Row],[SKU]],tblProductMaster[SKU],tblProductMaster[Product])</f>
        <v>Hair Oil</v>
      </c>
      <c r="I943">
        <v>540</v>
      </c>
      <c r="J943">
        <f>_xlfn.XLOOKUP(G943,[1]!tblProductMaster[SKU],[1]!tblProductMaster[List Price])</f>
        <v>7.49</v>
      </c>
      <c r="K943" t="s">
        <v>86</v>
      </c>
      <c r="L943" s="3">
        <v>0</v>
      </c>
      <c r="M943" s="9">
        <f t="shared" si="70"/>
        <v>7.49</v>
      </c>
      <c r="N943" s="8">
        <f t="shared" si="71"/>
        <v>4044.6</v>
      </c>
      <c r="O943" s="9">
        <f>_xlfn.XLOOKUP(G943,[1]!tblProductMaster[SKU],[1]!tblProductMaster[Unit Cost])</f>
        <v>3.1</v>
      </c>
      <c r="P943" s="8">
        <f t="shared" si="72"/>
        <v>1674</v>
      </c>
      <c r="Q943" s="8">
        <f t="shared" si="73"/>
        <v>2370.6</v>
      </c>
      <c r="R943" s="4">
        <f t="shared" si="74"/>
        <v>0.58611481975967961</v>
      </c>
      <c r="S943" t="s">
        <v>87</v>
      </c>
      <c r="T943">
        <f>Table6[[#This Row],[Discount]]*Table6[[#This Row],[List Price]]*Table6[[#This Row],[Units]]</f>
        <v>0</v>
      </c>
    </row>
    <row r="944" spans="1:20" x14ac:dyDescent="0.2">
      <c r="A944" t="s">
        <v>1037</v>
      </c>
      <c r="B944" s="2">
        <v>46366.346410838152</v>
      </c>
      <c r="C944" t="s">
        <v>93</v>
      </c>
      <c r="D944" t="s">
        <v>104</v>
      </c>
      <c r="E944" t="s">
        <v>8</v>
      </c>
      <c r="F944" t="s">
        <v>18</v>
      </c>
      <c r="G944" t="s">
        <v>20</v>
      </c>
      <c r="H944" t="str">
        <f>_xlfn.XLOOKUP(Table6[[#This Row],[SKU]],tblProductMaster[SKU],tblProductMaster[Product])</f>
        <v>Hair Oil</v>
      </c>
      <c r="I944">
        <v>756</v>
      </c>
      <c r="J944">
        <f>_xlfn.XLOOKUP(G944,[1]!tblProductMaster[SKU],[1]!tblProductMaster[List Price])</f>
        <v>7.49</v>
      </c>
      <c r="K944" t="s">
        <v>86</v>
      </c>
      <c r="L944" s="3">
        <v>0</v>
      </c>
      <c r="M944" s="9">
        <f t="shared" si="70"/>
        <v>7.49</v>
      </c>
      <c r="N944" s="8">
        <f t="shared" si="71"/>
        <v>5662.4400000000005</v>
      </c>
      <c r="O944" s="9">
        <f>_xlfn.XLOOKUP(G944,[1]!tblProductMaster[SKU],[1]!tblProductMaster[Unit Cost])</f>
        <v>3.1</v>
      </c>
      <c r="P944" s="8">
        <f t="shared" si="72"/>
        <v>2343.6</v>
      </c>
      <c r="Q944" s="8">
        <f t="shared" si="73"/>
        <v>3318.8400000000006</v>
      </c>
      <c r="R944" s="4">
        <f t="shared" si="74"/>
        <v>0.58611481975967961</v>
      </c>
      <c r="S944" t="s">
        <v>87</v>
      </c>
      <c r="T944">
        <f>Table6[[#This Row],[Discount]]*Table6[[#This Row],[List Price]]*Table6[[#This Row],[Units]]</f>
        <v>0</v>
      </c>
    </row>
    <row r="945" spans="1:20" x14ac:dyDescent="0.2">
      <c r="A945" t="s">
        <v>1038</v>
      </c>
      <c r="B945" s="2">
        <v>46300.194286174163</v>
      </c>
      <c r="C945" t="s">
        <v>84</v>
      </c>
      <c r="D945" t="s">
        <v>96</v>
      </c>
      <c r="E945" t="s">
        <v>56</v>
      </c>
      <c r="F945" t="s">
        <v>7</v>
      </c>
      <c r="G945" t="s">
        <v>66</v>
      </c>
      <c r="H945" t="str">
        <f>_xlfn.XLOOKUP(Table6[[#This Row],[SKU]],tblProductMaster[SKU],tblProductMaster[Product])</f>
        <v>Electric Brush Heads</v>
      </c>
      <c r="I945">
        <v>775</v>
      </c>
      <c r="J945">
        <f>_xlfn.XLOOKUP(G945,[1]!tblProductMaster[SKU],[1]!tblProductMaster[List Price])</f>
        <v>12.99</v>
      </c>
      <c r="K945" t="s">
        <v>86</v>
      </c>
      <c r="L945" s="3">
        <v>0</v>
      </c>
      <c r="M945" s="9">
        <f t="shared" si="70"/>
        <v>12.99</v>
      </c>
      <c r="N945" s="8">
        <f t="shared" si="71"/>
        <v>10067.25</v>
      </c>
      <c r="O945" s="9">
        <f>_xlfn.XLOOKUP(G945,[1]!tblProductMaster[SKU],[1]!tblProductMaster[Unit Cost])</f>
        <v>5.2</v>
      </c>
      <c r="P945" s="8">
        <f t="shared" si="72"/>
        <v>4030</v>
      </c>
      <c r="Q945" s="8">
        <f t="shared" si="73"/>
        <v>6037.25</v>
      </c>
      <c r="R945" s="4">
        <f t="shared" si="74"/>
        <v>0.59969207082371057</v>
      </c>
      <c r="S945" t="s">
        <v>87</v>
      </c>
      <c r="T945">
        <f>Table6[[#This Row],[Discount]]*Table6[[#This Row],[List Price]]*Table6[[#This Row],[Units]]</f>
        <v>0</v>
      </c>
    </row>
    <row r="946" spans="1:20" x14ac:dyDescent="0.2">
      <c r="A946" t="s">
        <v>1039</v>
      </c>
      <c r="B946" s="2">
        <v>46215.746527416079</v>
      </c>
      <c r="C946" t="s">
        <v>98</v>
      </c>
      <c r="D946" t="s">
        <v>85</v>
      </c>
      <c r="E946" t="s">
        <v>8</v>
      </c>
      <c r="F946" t="s">
        <v>15</v>
      </c>
      <c r="G946" t="s">
        <v>22</v>
      </c>
      <c r="H946" t="str">
        <f>_xlfn.XLOOKUP(Table6[[#This Row],[SKU]],tblProductMaster[SKU],tblProductMaster[Product])</f>
        <v>Styling Gel</v>
      </c>
      <c r="I946">
        <v>650</v>
      </c>
      <c r="J946">
        <f>_xlfn.XLOOKUP(G946,[1]!tblProductMaster[SKU],[1]!tblProductMaster[List Price])</f>
        <v>4.49</v>
      </c>
      <c r="K946" t="s">
        <v>89</v>
      </c>
      <c r="L946" s="3">
        <v>0.1</v>
      </c>
      <c r="M946" s="9">
        <f t="shared" si="70"/>
        <v>4.0410000000000004</v>
      </c>
      <c r="N946" s="8">
        <f t="shared" si="71"/>
        <v>2626.65</v>
      </c>
      <c r="O946" s="9">
        <f>_xlfn.XLOOKUP(G946,[1]!tblProductMaster[SKU],[1]!tblProductMaster[Unit Cost])</f>
        <v>1.9</v>
      </c>
      <c r="P946" s="8">
        <f t="shared" si="72"/>
        <v>1235</v>
      </c>
      <c r="Q946" s="8">
        <f t="shared" si="73"/>
        <v>1391.65</v>
      </c>
      <c r="R946" s="4">
        <f t="shared" si="74"/>
        <v>0.52981935164563232</v>
      </c>
      <c r="S946" t="s">
        <v>99</v>
      </c>
      <c r="T946">
        <f>Table6[[#This Row],[Discount]]*Table6[[#This Row],[List Price]]*Table6[[#This Row],[Units]]</f>
        <v>291.85000000000002</v>
      </c>
    </row>
    <row r="947" spans="1:20" x14ac:dyDescent="0.2">
      <c r="A947" t="s">
        <v>1040</v>
      </c>
      <c r="B947" s="2">
        <v>46042.757185375718</v>
      </c>
      <c r="C947" t="s">
        <v>84</v>
      </c>
      <c r="D947" t="s">
        <v>96</v>
      </c>
      <c r="E947" t="s">
        <v>25</v>
      </c>
      <c r="F947" t="s">
        <v>7</v>
      </c>
      <c r="G947" t="s">
        <v>24</v>
      </c>
      <c r="H947" t="str">
        <f>_xlfn.XLOOKUP(Table6[[#This Row],[SKU]],tblProductMaster[SKU],tblProductMaster[Product])</f>
        <v>Body Lotion 400ml</v>
      </c>
      <c r="I947">
        <v>252</v>
      </c>
      <c r="J947">
        <f>_xlfn.XLOOKUP(G947,[1]!tblProductMaster[SKU],[1]!tblProductMaster[List Price])</f>
        <v>7.99</v>
      </c>
      <c r="K947" t="s">
        <v>86</v>
      </c>
      <c r="L947" s="3">
        <v>0</v>
      </c>
      <c r="M947" s="9">
        <f t="shared" si="70"/>
        <v>7.99</v>
      </c>
      <c r="N947" s="8">
        <f t="shared" si="71"/>
        <v>2013.48</v>
      </c>
      <c r="O947" s="9">
        <f>_xlfn.XLOOKUP(G947,[1]!tblProductMaster[SKU],[1]!tblProductMaster[Unit Cost])</f>
        <v>3.1</v>
      </c>
      <c r="P947" s="8">
        <f t="shared" si="72"/>
        <v>781.2</v>
      </c>
      <c r="Q947" s="8">
        <f t="shared" si="73"/>
        <v>1232.28</v>
      </c>
      <c r="R947" s="4">
        <f t="shared" si="74"/>
        <v>0.61201501877346687</v>
      </c>
      <c r="S947" t="s">
        <v>87</v>
      </c>
      <c r="T947">
        <f>Table6[[#This Row],[Discount]]*Table6[[#This Row],[List Price]]*Table6[[#This Row],[Units]]</f>
        <v>0</v>
      </c>
    </row>
    <row r="948" spans="1:20" x14ac:dyDescent="0.2">
      <c r="A948" t="s">
        <v>1041</v>
      </c>
      <c r="B948" s="2">
        <v>46333.40295775071</v>
      </c>
      <c r="C948" t="s">
        <v>84</v>
      </c>
      <c r="D948" t="s">
        <v>85</v>
      </c>
      <c r="E948" t="s">
        <v>56</v>
      </c>
      <c r="F948" t="s">
        <v>7</v>
      </c>
      <c r="G948" t="s">
        <v>66</v>
      </c>
      <c r="H948" t="str">
        <f>_xlfn.XLOOKUP(Table6[[#This Row],[SKU]],tblProductMaster[SKU],tblProductMaster[Product])</f>
        <v>Electric Brush Heads</v>
      </c>
      <c r="I948">
        <v>1195</v>
      </c>
      <c r="J948">
        <f>_xlfn.XLOOKUP(G948,[1]!tblProductMaster[SKU],[1]!tblProductMaster[List Price])</f>
        <v>12.99</v>
      </c>
      <c r="K948" t="s">
        <v>89</v>
      </c>
      <c r="L948" s="3">
        <v>0.1</v>
      </c>
      <c r="M948" s="9">
        <f t="shared" si="70"/>
        <v>11.691000000000001</v>
      </c>
      <c r="N948" s="8">
        <f t="shared" si="71"/>
        <v>13970.745000000001</v>
      </c>
      <c r="O948" s="9">
        <f>_xlfn.XLOOKUP(G948,[1]!tblProductMaster[SKU],[1]!tblProductMaster[Unit Cost])</f>
        <v>5.2</v>
      </c>
      <c r="P948" s="8">
        <f t="shared" si="72"/>
        <v>6214</v>
      </c>
      <c r="Q948" s="8">
        <f t="shared" si="73"/>
        <v>7756.7450000000008</v>
      </c>
      <c r="R948" s="4">
        <f t="shared" si="74"/>
        <v>0.55521341202634511</v>
      </c>
      <c r="S948" t="s">
        <v>99</v>
      </c>
      <c r="T948">
        <f>Table6[[#This Row],[Discount]]*Table6[[#This Row],[List Price]]*Table6[[#This Row],[Units]]</f>
        <v>1552.3050000000003</v>
      </c>
    </row>
    <row r="949" spans="1:20" x14ac:dyDescent="0.2">
      <c r="A949" t="s">
        <v>1042</v>
      </c>
      <c r="B949" s="2">
        <v>46212.107448465897</v>
      </c>
      <c r="C949" t="s">
        <v>84</v>
      </c>
      <c r="D949" t="s">
        <v>96</v>
      </c>
      <c r="E949" t="s">
        <v>40</v>
      </c>
      <c r="F949" t="s">
        <v>15</v>
      </c>
      <c r="G949" t="s">
        <v>52</v>
      </c>
      <c r="H949" t="str">
        <f>_xlfn.XLOOKUP(Table6[[#This Row],[SKU]],tblProductMaster[SKU],tblProductMaster[Product])</f>
        <v>Laundry Pods</v>
      </c>
      <c r="I949">
        <v>776</v>
      </c>
      <c r="J949">
        <f>_xlfn.XLOOKUP(G949,[1]!tblProductMaster[SKU],[1]!tblProductMaster[List Price])</f>
        <v>10.49</v>
      </c>
      <c r="K949" t="s">
        <v>86</v>
      </c>
      <c r="L949" s="3">
        <v>0</v>
      </c>
      <c r="M949" s="9">
        <f t="shared" si="70"/>
        <v>10.49</v>
      </c>
      <c r="N949" s="8">
        <f t="shared" si="71"/>
        <v>8140.24</v>
      </c>
      <c r="O949" s="9">
        <f>_xlfn.XLOOKUP(G949,[1]!tblProductMaster[SKU],[1]!tblProductMaster[Unit Cost])</f>
        <v>4.5999999999999996</v>
      </c>
      <c r="P949" s="8">
        <f t="shared" si="72"/>
        <v>3569.6</v>
      </c>
      <c r="Q949" s="8">
        <f t="shared" si="73"/>
        <v>4570.6399999999994</v>
      </c>
      <c r="R949" s="4">
        <f t="shared" si="74"/>
        <v>0.56148713060057187</v>
      </c>
      <c r="S949" t="s">
        <v>87</v>
      </c>
      <c r="T949">
        <f>Table6[[#This Row],[Discount]]*Table6[[#This Row],[List Price]]*Table6[[#This Row],[Units]]</f>
        <v>0</v>
      </c>
    </row>
    <row r="950" spans="1:20" x14ac:dyDescent="0.2">
      <c r="A950" t="s">
        <v>1043</v>
      </c>
      <c r="B950" s="2">
        <v>46353.515943257255</v>
      </c>
      <c r="C950" t="s">
        <v>93</v>
      </c>
      <c r="D950" t="s">
        <v>104</v>
      </c>
      <c r="E950" t="s">
        <v>56</v>
      </c>
      <c r="F950" t="s">
        <v>15</v>
      </c>
      <c r="G950" t="s">
        <v>55</v>
      </c>
      <c r="H950" t="str">
        <f>_xlfn.XLOOKUP(Table6[[#This Row],[SKU]],tblProductMaster[SKU],tblProductMaster[Product])</f>
        <v>Toothpaste 75ml</v>
      </c>
      <c r="I950">
        <v>1115</v>
      </c>
      <c r="J950">
        <f>_xlfn.XLOOKUP(G950,[1]!tblProductMaster[SKU],[1]!tblProductMaster[List Price])</f>
        <v>3.49</v>
      </c>
      <c r="K950" t="s">
        <v>89</v>
      </c>
      <c r="L950" s="3">
        <v>0.2</v>
      </c>
      <c r="M950" s="9">
        <f t="shared" si="70"/>
        <v>2.7920000000000003</v>
      </c>
      <c r="N950" s="8">
        <f t="shared" si="71"/>
        <v>3113.0800000000004</v>
      </c>
      <c r="O950" s="9">
        <f>_xlfn.XLOOKUP(G950,[1]!tblProductMaster[SKU],[1]!tblProductMaster[Unit Cost])</f>
        <v>1.2</v>
      </c>
      <c r="P950" s="8">
        <f t="shared" si="72"/>
        <v>1338</v>
      </c>
      <c r="Q950" s="8">
        <f t="shared" si="73"/>
        <v>1775.0800000000004</v>
      </c>
      <c r="R950" s="4">
        <f t="shared" si="74"/>
        <v>0.57020057306590266</v>
      </c>
      <c r="S950" t="s">
        <v>90</v>
      </c>
      <c r="T950">
        <f>Table6[[#This Row],[Discount]]*Table6[[#This Row],[List Price]]*Table6[[#This Row],[Units]]</f>
        <v>778.2700000000001</v>
      </c>
    </row>
    <row r="951" spans="1:20" x14ac:dyDescent="0.2">
      <c r="A951" t="s">
        <v>1044</v>
      </c>
      <c r="B951" s="2">
        <v>46110.097168637469</v>
      </c>
      <c r="C951" t="s">
        <v>98</v>
      </c>
      <c r="D951" t="s">
        <v>85</v>
      </c>
      <c r="E951" t="s">
        <v>40</v>
      </c>
      <c r="F951" t="s">
        <v>18</v>
      </c>
      <c r="G951" t="s">
        <v>42</v>
      </c>
      <c r="H951" t="str">
        <f>_xlfn.XLOOKUP(Table6[[#This Row],[SKU]],tblProductMaster[SKU],tblProductMaster[Product])</f>
        <v>Detergent Capsules</v>
      </c>
      <c r="I951">
        <v>532</v>
      </c>
      <c r="J951">
        <f>_xlfn.XLOOKUP(G951,[1]!tblProductMaster[SKU],[1]!tblProductMaster[List Price])</f>
        <v>11.99</v>
      </c>
      <c r="K951" t="s">
        <v>86</v>
      </c>
      <c r="L951" s="3">
        <v>0</v>
      </c>
      <c r="M951" s="9">
        <f t="shared" si="70"/>
        <v>11.99</v>
      </c>
      <c r="N951" s="8">
        <f t="shared" si="71"/>
        <v>6378.68</v>
      </c>
      <c r="O951" s="9">
        <f>_xlfn.XLOOKUP(G951,[1]!tblProductMaster[SKU],[1]!tblProductMaster[Unit Cost])</f>
        <v>5.2</v>
      </c>
      <c r="P951" s="8">
        <f t="shared" si="72"/>
        <v>2766.4</v>
      </c>
      <c r="Q951" s="8">
        <f t="shared" si="73"/>
        <v>3612.28</v>
      </c>
      <c r="R951" s="4">
        <f t="shared" si="74"/>
        <v>0.56630525437864887</v>
      </c>
      <c r="S951" t="s">
        <v>87</v>
      </c>
      <c r="T951">
        <f>Table6[[#This Row],[Discount]]*Table6[[#This Row],[List Price]]*Table6[[#This Row],[Units]]</f>
        <v>0</v>
      </c>
    </row>
    <row r="952" spans="1:20" x14ac:dyDescent="0.2">
      <c r="A952" t="s">
        <v>1045</v>
      </c>
      <c r="B952" s="2">
        <v>46136.54747845792</v>
      </c>
      <c r="C952" t="s">
        <v>98</v>
      </c>
      <c r="D952" t="s">
        <v>96</v>
      </c>
      <c r="E952" t="s">
        <v>40</v>
      </c>
      <c r="F952" t="s">
        <v>7</v>
      </c>
      <c r="G952" t="s">
        <v>48</v>
      </c>
      <c r="H952" t="str">
        <f>_xlfn.XLOOKUP(Table6[[#This Row],[SKU]],tblProductMaster[SKU],tblProductMaster[Product])</f>
        <v>Color Detergent</v>
      </c>
      <c r="I952">
        <v>667</v>
      </c>
      <c r="J952">
        <f>_xlfn.XLOOKUP(G952,[1]!tblProductMaster[SKU],[1]!tblProductMaster[List Price])</f>
        <v>9.49</v>
      </c>
      <c r="K952" t="s">
        <v>86</v>
      </c>
      <c r="L952" s="3">
        <v>0</v>
      </c>
      <c r="M952" s="9">
        <f t="shared" si="70"/>
        <v>9.49</v>
      </c>
      <c r="N952" s="8">
        <f t="shared" si="71"/>
        <v>6329.83</v>
      </c>
      <c r="O952" s="9">
        <f>_xlfn.XLOOKUP(G952,[1]!tblProductMaster[SKU],[1]!tblProductMaster[Unit Cost])</f>
        <v>4</v>
      </c>
      <c r="P952" s="8">
        <f t="shared" si="72"/>
        <v>2668</v>
      </c>
      <c r="Q952" s="8">
        <f t="shared" si="73"/>
        <v>3661.83</v>
      </c>
      <c r="R952" s="4">
        <f t="shared" si="74"/>
        <v>0.57850368809272923</v>
      </c>
      <c r="S952" t="s">
        <v>87</v>
      </c>
      <c r="T952">
        <f>Table6[[#This Row],[Discount]]*Table6[[#This Row],[List Price]]*Table6[[#This Row],[Units]]</f>
        <v>0</v>
      </c>
    </row>
    <row r="953" spans="1:20" x14ac:dyDescent="0.2">
      <c r="A953" t="s">
        <v>1046</v>
      </c>
      <c r="B953" s="2">
        <v>46253.618435946679</v>
      </c>
      <c r="C953" t="s">
        <v>84</v>
      </c>
      <c r="D953" t="s">
        <v>104</v>
      </c>
      <c r="E953" t="s">
        <v>8</v>
      </c>
      <c r="F953" t="s">
        <v>18</v>
      </c>
      <c r="G953" t="s">
        <v>20</v>
      </c>
      <c r="H953" t="str">
        <f>_xlfn.XLOOKUP(Table6[[#This Row],[SKU]],tblProductMaster[SKU],tblProductMaster[Product])</f>
        <v>Hair Oil</v>
      </c>
      <c r="I953">
        <v>628</v>
      </c>
      <c r="J953">
        <f>_xlfn.XLOOKUP(G953,[1]!tblProductMaster[SKU],[1]!tblProductMaster[List Price])</f>
        <v>7.49</v>
      </c>
      <c r="K953" t="s">
        <v>86</v>
      </c>
      <c r="L953" s="3">
        <v>0</v>
      </c>
      <c r="M953" s="9">
        <f t="shared" si="70"/>
        <v>7.49</v>
      </c>
      <c r="N953" s="8">
        <f t="shared" si="71"/>
        <v>4703.72</v>
      </c>
      <c r="O953" s="9">
        <f>_xlfn.XLOOKUP(G953,[1]!tblProductMaster[SKU],[1]!tblProductMaster[Unit Cost])</f>
        <v>3.1</v>
      </c>
      <c r="P953" s="8">
        <f t="shared" si="72"/>
        <v>1946.8</v>
      </c>
      <c r="Q953" s="8">
        <f t="shared" si="73"/>
        <v>2756.92</v>
      </c>
      <c r="R953" s="4">
        <f t="shared" si="74"/>
        <v>0.58611481975967961</v>
      </c>
      <c r="S953" t="s">
        <v>87</v>
      </c>
      <c r="T953">
        <f>Table6[[#This Row],[Discount]]*Table6[[#This Row],[List Price]]*Table6[[#This Row],[Units]]</f>
        <v>0</v>
      </c>
    </row>
    <row r="954" spans="1:20" x14ac:dyDescent="0.2">
      <c r="A954" t="s">
        <v>1047</v>
      </c>
      <c r="B954" s="2">
        <v>46324.746416786656</v>
      </c>
      <c r="C954" t="s">
        <v>93</v>
      </c>
      <c r="D954" t="s">
        <v>96</v>
      </c>
      <c r="E954" t="s">
        <v>40</v>
      </c>
      <c r="F954" t="s">
        <v>15</v>
      </c>
      <c r="G954" t="s">
        <v>39</v>
      </c>
      <c r="H954" t="str">
        <f>_xlfn.XLOOKUP(Table6[[#This Row],[SKU]],tblProductMaster[SKU],tblProductMaster[Product])</f>
        <v>Detergent 1L</v>
      </c>
      <c r="I954">
        <v>895</v>
      </c>
      <c r="J954">
        <f>_xlfn.XLOOKUP(G954,[1]!tblProductMaster[SKU],[1]!tblProductMaster[List Price])</f>
        <v>8.49</v>
      </c>
      <c r="K954" t="s">
        <v>89</v>
      </c>
      <c r="L954" s="3">
        <v>0.3</v>
      </c>
      <c r="M954" s="9">
        <f t="shared" si="70"/>
        <v>5.9429999999999996</v>
      </c>
      <c r="N954" s="8">
        <f t="shared" si="71"/>
        <v>5318.9849999999997</v>
      </c>
      <c r="O954" s="9">
        <f>_xlfn.XLOOKUP(G954,[1]!tblProductMaster[SKU],[1]!tblProductMaster[Unit Cost])</f>
        <v>3.8</v>
      </c>
      <c r="P954" s="8">
        <f t="shared" si="72"/>
        <v>3401</v>
      </c>
      <c r="Q954" s="8">
        <f t="shared" si="73"/>
        <v>1917.9849999999997</v>
      </c>
      <c r="R954" s="4">
        <f t="shared" si="74"/>
        <v>0.36059229345448424</v>
      </c>
      <c r="S954" t="s">
        <v>99</v>
      </c>
      <c r="T954">
        <f>Table6[[#This Row],[Discount]]*Table6[[#This Row],[List Price]]*Table6[[#This Row],[Units]]</f>
        <v>2279.5650000000001</v>
      </c>
    </row>
    <row r="955" spans="1:20" x14ac:dyDescent="0.2">
      <c r="A955" t="s">
        <v>1048</v>
      </c>
      <c r="B955" s="2">
        <v>46375.310362731187</v>
      </c>
      <c r="C955" t="s">
        <v>84</v>
      </c>
      <c r="D955" t="s">
        <v>85</v>
      </c>
      <c r="E955" t="s">
        <v>56</v>
      </c>
      <c r="F955" t="s">
        <v>15</v>
      </c>
      <c r="G955" t="s">
        <v>62</v>
      </c>
      <c r="H955" t="str">
        <f>_xlfn.XLOOKUP(Table6[[#This Row],[SKU]],tblProductMaster[SKU],tblProductMaster[Product])</f>
        <v>Mouthwash 500ml</v>
      </c>
      <c r="I955">
        <v>507</v>
      </c>
      <c r="J955">
        <f>_xlfn.XLOOKUP(G955,[1]!tblProductMaster[SKU],[1]!tblProductMaster[List Price])</f>
        <v>5.99</v>
      </c>
      <c r="K955" t="s">
        <v>86</v>
      </c>
      <c r="L955" s="3">
        <v>0</v>
      </c>
      <c r="M955" s="9">
        <f t="shared" si="70"/>
        <v>5.99</v>
      </c>
      <c r="N955" s="8">
        <f t="shared" si="71"/>
        <v>3036.9300000000003</v>
      </c>
      <c r="O955" s="9">
        <f>_xlfn.XLOOKUP(G955,[1]!tblProductMaster[SKU],[1]!tblProductMaster[Unit Cost])</f>
        <v>2.4</v>
      </c>
      <c r="P955" s="8">
        <f t="shared" si="72"/>
        <v>1216.8</v>
      </c>
      <c r="Q955" s="8">
        <f t="shared" si="73"/>
        <v>1820.1300000000003</v>
      </c>
      <c r="R955" s="4">
        <f t="shared" si="74"/>
        <v>0.59933222036727885</v>
      </c>
      <c r="S955" t="s">
        <v>87</v>
      </c>
      <c r="T955">
        <f>Table6[[#This Row],[Discount]]*Table6[[#This Row],[List Price]]*Table6[[#This Row],[Units]]</f>
        <v>0</v>
      </c>
    </row>
    <row r="956" spans="1:20" x14ac:dyDescent="0.2">
      <c r="A956" t="s">
        <v>1049</v>
      </c>
      <c r="B956" s="2">
        <v>46032.37081282735</v>
      </c>
      <c r="C956" t="s">
        <v>98</v>
      </c>
      <c r="D956" t="s">
        <v>104</v>
      </c>
      <c r="E956" t="s">
        <v>56</v>
      </c>
      <c r="F956" t="s">
        <v>7</v>
      </c>
      <c r="G956" t="s">
        <v>58</v>
      </c>
      <c r="H956" t="str">
        <f>_xlfn.XLOOKUP(Table6[[#This Row],[SKU]],tblProductMaster[SKU],tblProductMaster[Product])</f>
        <v>Whitening Toothpaste</v>
      </c>
      <c r="I956">
        <v>481</v>
      </c>
      <c r="J956">
        <f>_xlfn.XLOOKUP(G956,[1]!tblProductMaster[SKU],[1]!tblProductMaster[List Price])</f>
        <v>4.99</v>
      </c>
      <c r="K956" t="s">
        <v>86</v>
      </c>
      <c r="L956" s="3">
        <v>0</v>
      </c>
      <c r="M956" s="9">
        <f t="shared" si="70"/>
        <v>4.99</v>
      </c>
      <c r="N956" s="8">
        <f t="shared" si="71"/>
        <v>2400.19</v>
      </c>
      <c r="O956" s="9">
        <f>_xlfn.XLOOKUP(G956,[1]!tblProductMaster[SKU],[1]!tblProductMaster[Unit Cost])</f>
        <v>1.8</v>
      </c>
      <c r="P956" s="8">
        <f t="shared" si="72"/>
        <v>865.80000000000007</v>
      </c>
      <c r="Q956" s="8">
        <f t="shared" si="73"/>
        <v>1534.3899999999999</v>
      </c>
      <c r="R956" s="4">
        <f t="shared" si="74"/>
        <v>0.63927855711422843</v>
      </c>
      <c r="S956" t="s">
        <v>87</v>
      </c>
      <c r="T956">
        <f>Table6[[#This Row],[Discount]]*Table6[[#This Row],[List Price]]*Table6[[#This Row],[Units]]</f>
        <v>0</v>
      </c>
    </row>
    <row r="957" spans="1:20" x14ac:dyDescent="0.2">
      <c r="A957" t="s">
        <v>1050</v>
      </c>
      <c r="B957" s="2">
        <v>46091.080654980884</v>
      </c>
      <c r="C957" t="s">
        <v>98</v>
      </c>
      <c r="D957" t="s">
        <v>96</v>
      </c>
      <c r="E957" t="s">
        <v>8</v>
      </c>
      <c r="F957" t="s">
        <v>15</v>
      </c>
      <c r="G957" t="s">
        <v>14</v>
      </c>
      <c r="H957" t="str">
        <f>_xlfn.XLOOKUP(Table6[[#This Row],[SKU]],tblProductMaster[SKU],tblProductMaster[Product])</f>
        <v>Shampoo 250ml</v>
      </c>
      <c r="I957">
        <v>537</v>
      </c>
      <c r="J957">
        <f>_xlfn.XLOOKUP(G957,[1]!tblProductMaster[SKU],[1]!tblProductMaster[List Price])</f>
        <v>4.99</v>
      </c>
      <c r="K957" t="s">
        <v>89</v>
      </c>
      <c r="L957" s="3">
        <v>0.3</v>
      </c>
      <c r="M957" s="9">
        <f t="shared" si="70"/>
        <v>3.4929999999999999</v>
      </c>
      <c r="N957" s="8">
        <f t="shared" si="71"/>
        <v>1875.741</v>
      </c>
      <c r="O957" s="9">
        <f>_xlfn.XLOOKUP(G957,[1]!tblProductMaster[SKU],[1]!tblProductMaster[Unit Cost])</f>
        <v>2.1</v>
      </c>
      <c r="P957" s="8">
        <f t="shared" si="72"/>
        <v>1127.7</v>
      </c>
      <c r="Q957" s="8">
        <f t="shared" si="73"/>
        <v>748.04099999999994</v>
      </c>
      <c r="R957" s="4">
        <f t="shared" si="74"/>
        <v>0.39879759519038072</v>
      </c>
      <c r="S957" t="s">
        <v>90</v>
      </c>
      <c r="T957">
        <f>Table6[[#This Row],[Discount]]*Table6[[#This Row],[List Price]]*Table6[[#This Row],[Units]]</f>
        <v>803.88900000000001</v>
      </c>
    </row>
    <row r="958" spans="1:20" x14ac:dyDescent="0.2">
      <c r="A958" t="s">
        <v>1051</v>
      </c>
      <c r="B958" s="2">
        <v>46114.053488242993</v>
      </c>
      <c r="C958" t="s">
        <v>98</v>
      </c>
      <c r="D958" t="s">
        <v>104</v>
      </c>
      <c r="E958" t="s">
        <v>25</v>
      </c>
      <c r="F958" t="s">
        <v>7</v>
      </c>
      <c r="G958" t="s">
        <v>31</v>
      </c>
      <c r="H958" t="str">
        <f>_xlfn.XLOOKUP(Table6[[#This Row],[SKU]],tblProductMaster[SKU],tblProductMaster[Product])</f>
        <v>Facial Cleanser</v>
      </c>
      <c r="I958">
        <v>297</v>
      </c>
      <c r="J958">
        <f>_xlfn.XLOOKUP(G958,[1]!tblProductMaster[SKU],[1]!tblProductMaster[List Price])</f>
        <v>8.49</v>
      </c>
      <c r="K958" t="s">
        <v>86</v>
      </c>
      <c r="L958" s="3">
        <v>0</v>
      </c>
      <c r="M958" s="9">
        <f t="shared" si="70"/>
        <v>8.49</v>
      </c>
      <c r="N958" s="8">
        <f t="shared" si="71"/>
        <v>2521.5300000000002</v>
      </c>
      <c r="O958" s="9">
        <f>_xlfn.XLOOKUP(G958,[1]!tblProductMaster[SKU],[1]!tblProductMaster[Unit Cost])</f>
        <v>3.5</v>
      </c>
      <c r="P958" s="8">
        <f t="shared" si="72"/>
        <v>1039.5</v>
      </c>
      <c r="Q958" s="8">
        <f t="shared" si="73"/>
        <v>1482.0300000000002</v>
      </c>
      <c r="R958" s="4">
        <f t="shared" si="74"/>
        <v>0.58775029446407545</v>
      </c>
      <c r="S958" t="s">
        <v>87</v>
      </c>
      <c r="T958">
        <f>Table6[[#This Row],[Discount]]*Table6[[#This Row],[List Price]]*Table6[[#This Row],[Units]]</f>
        <v>0</v>
      </c>
    </row>
    <row r="959" spans="1:20" x14ac:dyDescent="0.2">
      <c r="A959" t="s">
        <v>1052</v>
      </c>
      <c r="B959" s="2">
        <v>46047.991195022929</v>
      </c>
      <c r="C959" t="s">
        <v>93</v>
      </c>
      <c r="D959" t="s">
        <v>85</v>
      </c>
      <c r="E959" t="s">
        <v>56</v>
      </c>
      <c r="F959" t="s">
        <v>15</v>
      </c>
      <c r="G959" t="s">
        <v>62</v>
      </c>
      <c r="H959" t="str">
        <f>_xlfn.XLOOKUP(Table6[[#This Row],[SKU]],tblProductMaster[SKU],tblProductMaster[Product])</f>
        <v>Mouthwash 500ml</v>
      </c>
      <c r="I959">
        <v>466</v>
      </c>
      <c r="J959">
        <f>_xlfn.XLOOKUP(G959,[1]!tblProductMaster[SKU],[1]!tblProductMaster[List Price])</f>
        <v>5.99</v>
      </c>
      <c r="K959" t="s">
        <v>89</v>
      </c>
      <c r="L959" s="3">
        <v>0.3</v>
      </c>
      <c r="M959" s="9">
        <f t="shared" si="70"/>
        <v>4.1929999999999996</v>
      </c>
      <c r="N959" s="8">
        <f t="shared" si="71"/>
        <v>1953.9379999999999</v>
      </c>
      <c r="O959" s="9">
        <f>_xlfn.XLOOKUP(G959,[1]!tblProductMaster[SKU],[1]!tblProductMaster[Unit Cost])</f>
        <v>2.4</v>
      </c>
      <c r="P959" s="8">
        <f t="shared" si="72"/>
        <v>1118.3999999999999</v>
      </c>
      <c r="Q959" s="8">
        <f t="shared" si="73"/>
        <v>835.53800000000001</v>
      </c>
      <c r="R959" s="4">
        <f t="shared" si="74"/>
        <v>0.42761745766754117</v>
      </c>
      <c r="S959" t="s">
        <v>99</v>
      </c>
      <c r="T959">
        <f>Table6[[#This Row],[Discount]]*Table6[[#This Row],[List Price]]*Table6[[#This Row],[Units]]</f>
        <v>837.40199999999993</v>
      </c>
    </row>
    <row r="960" spans="1:20" x14ac:dyDescent="0.2">
      <c r="A960" t="s">
        <v>1053</v>
      </c>
      <c r="B960" s="2">
        <v>46052.859641991075</v>
      </c>
      <c r="C960" t="s">
        <v>84</v>
      </c>
      <c r="D960" t="s">
        <v>96</v>
      </c>
      <c r="E960" t="s">
        <v>56</v>
      </c>
      <c r="F960" t="s">
        <v>7</v>
      </c>
      <c r="G960" t="s">
        <v>66</v>
      </c>
      <c r="H960" t="str">
        <f>_xlfn.XLOOKUP(Table6[[#This Row],[SKU]],tblProductMaster[SKU],tblProductMaster[Product])</f>
        <v>Electric Brush Heads</v>
      </c>
      <c r="I960">
        <v>438</v>
      </c>
      <c r="J960">
        <f>_xlfn.XLOOKUP(G960,[1]!tblProductMaster[SKU],[1]!tblProductMaster[List Price])</f>
        <v>12.99</v>
      </c>
      <c r="K960" t="s">
        <v>86</v>
      </c>
      <c r="L960" s="3">
        <v>0</v>
      </c>
      <c r="M960" s="9">
        <f t="shared" si="70"/>
        <v>12.99</v>
      </c>
      <c r="N960" s="8">
        <f t="shared" si="71"/>
        <v>5689.62</v>
      </c>
      <c r="O960" s="9">
        <f>_xlfn.XLOOKUP(G960,[1]!tblProductMaster[SKU],[1]!tblProductMaster[Unit Cost])</f>
        <v>5.2</v>
      </c>
      <c r="P960" s="8">
        <f t="shared" si="72"/>
        <v>2277.6</v>
      </c>
      <c r="Q960" s="8">
        <f t="shared" si="73"/>
        <v>3412.02</v>
      </c>
      <c r="R960" s="4">
        <f t="shared" si="74"/>
        <v>0.59969207082371057</v>
      </c>
      <c r="S960" t="s">
        <v>87</v>
      </c>
      <c r="T960">
        <f>Table6[[#This Row],[Discount]]*Table6[[#This Row],[List Price]]*Table6[[#This Row],[Units]]</f>
        <v>0</v>
      </c>
    </row>
    <row r="961" spans="1:20" x14ac:dyDescent="0.2">
      <c r="A961" t="s">
        <v>1054</v>
      </c>
      <c r="B961" s="2">
        <v>46311.51358186188</v>
      </c>
      <c r="C961" t="s">
        <v>93</v>
      </c>
      <c r="D961" t="s">
        <v>104</v>
      </c>
      <c r="E961" t="s">
        <v>56</v>
      </c>
      <c r="F961" t="s">
        <v>15</v>
      </c>
      <c r="G961" t="s">
        <v>62</v>
      </c>
      <c r="H961" t="str">
        <f>_xlfn.XLOOKUP(Table6[[#This Row],[SKU]],tblProductMaster[SKU],tblProductMaster[Product])</f>
        <v>Mouthwash 500ml</v>
      </c>
      <c r="I961">
        <v>497</v>
      </c>
      <c r="J961">
        <f>_xlfn.XLOOKUP(G961,[1]!tblProductMaster[SKU],[1]!tblProductMaster[List Price])</f>
        <v>5.99</v>
      </c>
      <c r="K961" t="s">
        <v>89</v>
      </c>
      <c r="L961" s="3">
        <v>0.1</v>
      </c>
      <c r="M961" s="9">
        <f t="shared" si="70"/>
        <v>5.391</v>
      </c>
      <c r="N961" s="8">
        <f t="shared" si="71"/>
        <v>2679.3270000000002</v>
      </c>
      <c r="O961" s="9">
        <f>_xlfn.XLOOKUP(G961,[1]!tblProductMaster[SKU],[1]!tblProductMaster[Unit Cost])</f>
        <v>2.4</v>
      </c>
      <c r="P961" s="8">
        <f t="shared" si="72"/>
        <v>1192.8</v>
      </c>
      <c r="Q961" s="8">
        <f t="shared" si="73"/>
        <v>1486.5270000000003</v>
      </c>
      <c r="R961" s="4">
        <f t="shared" si="74"/>
        <v>0.55481357818586541</v>
      </c>
      <c r="S961" t="s">
        <v>99</v>
      </c>
      <c r="T961">
        <f>Table6[[#This Row],[Discount]]*Table6[[#This Row],[List Price]]*Table6[[#This Row],[Units]]</f>
        <v>297.70300000000003</v>
      </c>
    </row>
    <row r="962" spans="1:20" x14ac:dyDescent="0.2">
      <c r="A962" t="s">
        <v>1055</v>
      </c>
      <c r="B962" s="2">
        <v>46117.247537046198</v>
      </c>
      <c r="C962" t="s">
        <v>84</v>
      </c>
      <c r="D962" t="s">
        <v>85</v>
      </c>
      <c r="E962" t="s">
        <v>8</v>
      </c>
      <c r="F962" t="s">
        <v>7</v>
      </c>
      <c r="G962" t="s">
        <v>10</v>
      </c>
      <c r="H962" t="str">
        <f>_xlfn.XLOOKUP(Table6[[#This Row],[SKU]],tblProductMaster[SKU],tblProductMaster[Product])</f>
        <v>Shampoo 500ml</v>
      </c>
      <c r="I962">
        <v>489</v>
      </c>
      <c r="J962">
        <f>_xlfn.XLOOKUP(G962,[1]!tblProductMaster[SKU],[1]!tblProductMaster[List Price])</f>
        <v>8.99</v>
      </c>
      <c r="K962" t="s">
        <v>86</v>
      </c>
      <c r="L962" s="3">
        <v>0</v>
      </c>
      <c r="M962" s="9">
        <f t="shared" si="70"/>
        <v>8.99</v>
      </c>
      <c r="N962" s="8">
        <f t="shared" si="71"/>
        <v>4396.1099999999997</v>
      </c>
      <c r="O962" s="9">
        <f>_xlfn.XLOOKUP(G962,[1]!tblProductMaster[SKU],[1]!tblProductMaster[Unit Cost])</f>
        <v>3.6</v>
      </c>
      <c r="P962" s="8">
        <f t="shared" si="72"/>
        <v>1760.4</v>
      </c>
      <c r="Q962" s="8">
        <f t="shared" si="73"/>
        <v>2635.7099999999996</v>
      </c>
      <c r="R962" s="4">
        <f t="shared" si="74"/>
        <v>0.59955506117908786</v>
      </c>
      <c r="S962" t="s">
        <v>87</v>
      </c>
      <c r="T962">
        <f>Table6[[#This Row],[Discount]]*Table6[[#This Row],[List Price]]*Table6[[#This Row],[Units]]</f>
        <v>0</v>
      </c>
    </row>
    <row r="963" spans="1:20" x14ac:dyDescent="0.2">
      <c r="A963" t="s">
        <v>1056</v>
      </c>
      <c r="B963" s="2">
        <v>46261.184851400001</v>
      </c>
      <c r="C963" t="s">
        <v>93</v>
      </c>
      <c r="D963" t="s">
        <v>104</v>
      </c>
      <c r="E963" t="s">
        <v>8</v>
      </c>
      <c r="F963" t="s">
        <v>7</v>
      </c>
      <c r="G963" t="s">
        <v>6</v>
      </c>
      <c r="H963" t="str">
        <f>_xlfn.XLOOKUP(Table6[[#This Row],[SKU]],tblProductMaster[SKU],tblProductMaster[Product])</f>
        <v>Shampoo 250ml</v>
      </c>
      <c r="I963">
        <v>629</v>
      </c>
      <c r="J963">
        <f>_xlfn.XLOOKUP(G963,[1]!tblProductMaster[SKU],[1]!tblProductMaster[List Price])</f>
        <v>5.99</v>
      </c>
      <c r="K963" t="s">
        <v>86</v>
      </c>
      <c r="L963" s="3">
        <v>0</v>
      </c>
      <c r="M963" s="9">
        <f t="shared" ref="M963:M1001" si="75">J963*(1-L963)</f>
        <v>5.99</v>
      </c>
      <c r="N963" s="8">
        <f t="shared" ref="N963:N1001" si="76">M963*I963</f>
        <v>3767.71</v>
      </c>
      <c r="O963" s="9">
        <f>_xlfn.XLOOKUP(G963,[1]!tblProductMaster[SKU],[1]!tblProductMaster[Unit Cost])</f>
        <v>2.4</v>
      </c>
      <c r="P963" s="8">
        <f t="shared" ref="P963:P1001" si="77">O963*I963</f>
        <v>1509.6</v>
      </c>
      <c r="Q963" s="8">
        <f t="shared" ref="Q963:Q1001" si="78">N963-P963</f>
        <v>2258.11</v>
      </c>
      <c r="R963" s="4">
        <f t="shared" ref="R963:R1001" si="79">Q963/N963</f>
        <v>0.59933222036727885</v>
      </c>
      <c r="S963" t="s">
        <v>87</v>
      </c>
      <c r="T963">
        <f>Table6[[#This Row],[Discount]]*Table6[[#This Row],[List Price]]*Table6[[#This Row],[Units]]</f>
        <v>0</v>
      </c>
    </row>
    <row r="964" spans="1:20" x14ac:dyDescent="0.2">
      <c r="A964" t="s">
        <v>1057</v>
      </c>
      <c r="B964" s="2">
        <v>46183.229207584031</v>
      </c>
      <c r="C964" t="s">
        <v>93</v>
      </c>
      <c r="D964" t="s">
        <v>96</v>
      </c>
      <c r="E964" t="s">
        <v>8</v>
      </c>
      <c r="F964" t="s">
        <v>15</v>
      </c>
      <c r="G964" t="s">
        <v>14</v>
      </c>
      <c r="H964" t="str">
        <f>_xlfn.XLOOKUP(Table6[[#This Row],[SKU]],tblProductMaster[SKU],tblProductMaster[Product])</f>
        <v>Shampoo 250ml</v>
      </c>
      <c r="I964">
        <v>767</v>
      </c>
      <c r="J964">
        <f>_xlfn.XLOOKUP(G964,[1]!tblProductMaster[SKU],[1]!tblProductMaster[List Price])</f>
        <v>4.99</v>
      </c>
      <c r="K964" t="s">
        <v>86</v>
      </c>
      <c r="L964" s="3">
        <v>0</v>
      </c>
      <c r="M964" s="9">
        <f t="shared" si="75"/>
        <v>4.99</v>
      </c>
      <c r="N964" s="8">
        <f t="shared" si="76"/>
        <v>3827.3300000000004</v>
      </c>
      <c r="O964" s="9">
        <f>_xlfn.XLOOKUP(G964,[1]!tblProductMaster[SKU],[1]!tblProductMaster[Unit Cost])</f>
        <v>2.1</v>
      </c>
      <c r="P964" s="8">
        <f t="shared" si="77"/>
        <v>1610.7</v>
      </c>
      <c r="Q964" s="8">
        <f t="shared" si="78"/>
        <v>2216.63</v>
      </c>
      <c r="R964" s="4">
        <f t="shared" si="79"/>
        <v>0.57915831663326656</v>
      </c>
      <c r="S964" t="s">
        <v>87</v>
      </c>
      <c r="T964">
        <f>Table6[[#This Row],[Discount]]*Table6[[#This Row],[List Price]]*Table6[[#This Row],[Units]]</f>
        <v>0</v>
      </c>
    </row>
    <row r="965" spans="1:20" x14ac:dyDescent="0.2">
      <c r="A965" t="s">
        <v>1058</v>
      </c>
      <c r="B965" s="2">
        <v>46343.292747086445</v>
      </c>
      <c r="C965" t="s">
        <v>98</v>
      </c>
      <c r="D965" t="s">
        <v>96</v>
      </c>
      <c r="E965" t="s">
        <v>8</v>
      </c>
      <c r="F965" t="s">
        <v>18</v>
      </c>
      <c r="G965" t="s">
        <v>20</v>
      </c>
      <c r="H965" t="str">
        <f>_xlfn.XLOOKUP(Table6[[#This Row],[SKU]],tblProductMaster[SKU],tblProductMaster[Product])</f>
        <v>Hair Oil</v>
      </c>
      <c r="I965">
        <v>739</v>
      </c>
      <c r="J965">
        <f>_xlfn.XLOOKUP(G965,[1]!tblProductMaster[SKU],[1]!tblProductMaster[List Price])</f>
        <v>7.49</v>
      </c>
      <c r="K965" t="s">
        <v>86</v>
      </c>
      <c r="L965" s="3">
        <v>0</v>
      </c>
      <c r="M965" s="9">
        <f t="shared" si="75"/>
        <v>7.49</v>
      </c>
      <c r="N965" s="8">
        <f t="shared" si="76"/>
        <v>5535.1100000000006</v>
      </c>
      <c r="O965" s="9">
        <f>_xlfn.XLOOKUP(G965,[1]!tblProductMaster[SKU],[1]!tblProductMaster[Unit Cost])</f>
        <v>3.1</v>
      </c>
      <c r="P965" s="8">
        <f t="shared" si="77"/>
        <v>2290.9</v>
      </c>
      <c r="Q965" s="8">
        <f t="shared" si="78"/>
        <v>3244.2100000000005</v>
      </c>
      <c r="R965" s="4">
        <f t="shared" si="79"/>
        <v>0.58611481975967961</v>
      </c>
      <c r="S965" t="s">
        <v>87</v>
      </c>
      <c r="T965">
        <f>Table6[[#This Row],[Discount]]*Table6[[#This Row],[List Price]]*Table6[[#This Row],[Units]]</f>
        <v>0</v>
      </c>
    </row>
    <row r="966" spans="1:20" x14ac:dyDescent="0.2">
      <c r="A966" t="s">
        <v>1059</v>
      </c>
      <c r="B966" s="2">
        <v>46237.90247015217</v>
      </c>
      <c r="C966" t="s">
        <v>93</v>
      </c>
      <c r="D966" t="s">
        <v>96</v>
      </c>
      <c r="E966" t="s">
        <v>25</v>
      </c>
      <c r="F966" t="s">
        <v>18</v>
      </c>
      <c r="G966" t="s">
        <v>27</v>
      </c>
      <c r="H966" t="str">
        <f>_xlfn.XLOOKUP(Table6[[#This Row],[SKU]],tblProductMaster[SKU],tblProductMaster[Product])</f>
        <v>Face Cream 50ml</v>
      </c>
      <c r="I966">
        <v>510</v>
      </c>
      <c r="J966">
        <f>_xlfn.XLOOKUP(G966,[1]!tblProductMaster[SKU],[1]!tblProductMaster[List Price])</f>
        <v>9.99</v>
      </c>
      <c r="K966" t="s">
        <v>89</v>
      </c>
      <c r="L966" s="3">
        <v>0.2</v>
      </c>
      <c r="M966" s="9">
        <f t="shared" si="75"/>
        <v>7.9920000000000009</v>
      </c>
      <c r="N966" s="8">
        <f t="shared" si="76"/>
        <v>4075.9200000000005</v>
      </c>
      <c r="O966" s="9">
        <f>_xlfn.XLOOKUP(G966,[1]!tblProductMaster[SKU],[1]!tblProductMaster[Unit Cost])</f>
        <v>4.2</v>
      </c>
      <c r="P966" s="8">
        <f t="shared" si="77"/>
        <v>2142</v>
      </c>
      <c r="Q966" s="8">
        <f t="shared" si="78"/>
        <v>1933.9200000000005</v>
      </c>
      <c r="R966" s="4">
        <f t="shared" si="79"/>
        <v>0.47447447447447455</v>
      </c>
      <c r="S966" t="s">
        <v>90</v>
      </c>
      <c r="T966">
        <f>Table6[[#This Row],[Discount]]*Table6[[#This Row],[List Price]]*Table6[[#This Row],[Units]]</f>
        <v>1018.9800000000001</v>
      </c>
    </row>
    <row r="967" spans="1:20" x14ac:dyDescent="0.2">
      <c r="A967" t="s">
        <v>1060</v>
      </c>
      <c r="B967" s="2">
        <v>46049.085623358682</v>
      </c>
      <c r="C967" t="s">
        <v>84</v>
      </c>
      <c r="D967" t="s">
        <v>85</v>
      </c>
      <c r="E967" t="s">
        <v>25</v>
      </c>
      <c r="F967" t="s">
        <v>7</v>
      </c>
      <c r="G967" t="s">
        <v>33</v>
      </c>
      <c r="H967" t="str">
        <f>_xlfn.XLOOKUP(Table6[[#This Row],[SKU]],tblProductMaster[SKU],tblProductMaster[Product])</f>
        <v>Sunscreen 200ml</v>
      </c>
      <c r="I967">
        <v>550</v>
      </c>
      <c r="J967">
        <f>_xlfn.XLOOKUP(G967,[1]!tblProductMaster[SKU],[1]!tblProductMaster[List Price])</f>
        <v>10.99</v>
      </c>
      <c r="K967" t="s">
        <v>89</v>
      </c>
      <c r="L967" s="3">
        <v>0.1</v>
      </c>
      <c r="M967" s="9">
        <f t="shared" si="75"/>
        <v>9.891</v>
      </c>
      <c r="N967" s="8">
        <f t="shared" si="76"/>
        <v>5440.05</v>
      </c>
      <c r="O967" s="9">
        <f>_xlfn.XLOOKUP(G967,[1]!tblProductMaster[SKU],[1]!tblProductMaster[Unit Cost])</f>
        <v>4.5999999999999996</v>
      </c>
      <c r="P967" s="8">
        <f t="shared" si="77"/>
        <v>2530</v>
      </c>
      <c r="Q967" s="8">
        <f t="shared" si="78"/>
        <v>2910.05</v>
      </c>
      <c r="R967" s="4">
        <f t="shared" si="79"/>
        <v>0.53493074512182792</v>
      </c>
      <c r="S967" t="s">
        <v>94</v>
      </c>
      <c r="T967">
        <f>Table6[[#This Row],[Discount]]*Table6[[#This Row],[List Price]]*Table6[[#This Row],[Units]]</f>
        <v>604.44999999999993</v>
      </c>
    </row>
    <row r="968" spans="1:20" x14ac:dyDescent="0.2">
      <c r="A968" t="s">
        <v>1061</v>
      </c>
      <c r="B968" s="2">
        <v>46290.665652119438</v>
      </c>
      <c r="C968" t="s">
        <v>93</v>
      </c>
      <c r="D968" t="s">
        <v>96</v>
      </c>
      <c r="E968" t="s">
        <v>8</v>
      </c>
      <c r="F968" t="s">
        <v>7</v>
      </c>
      <c r="G968" t="s">
        <v>6</v>
      </c>
      <c r="H968" t="str">
        <f>_xlfn.XLOOKUP(Table6[[#This Row],[SKU]],tblProductMaster[SKU],tblProductMaster[Product])</f>
        <v>Shampoo 250ml</v>
      </c>
      <c r="I968">
        <v>933</v>
      </c>
      <c r="J968">
        <f>_xlfn.XLOOKUP(G968,[1]!tblProductMaster[SKU],[1]!tblProductMaster[List Price])</f>
        <v>5.99</v>
      </c>
      <c r="K968" t="s">
        <v>89</v>
      </c>
      <c r="L968" s="3">
        <v>0.1</v>
      </c>
      <c r="M968" s="9">
        <f t="shared" si="75"/>
        <v>5.391</v>
      </c>
      <c r="N968" s="8">
        <f t="shared" si="76"/>
        <v>5029.8029999999999</v>
      </c>
      <c r="O968" s="9">
        <f>_xlfn.XLOOKUP(G968,[1]!tblProductMaster[SKU],[1]!tblProductMaster[Unit Cost])</f>
        <v>2.4</v>
      </c>
      <c r="P968" s="8">
        <f t="shared" si="77"/>
        <v>2239.1999999999998</v>
      </c>
      <c r="Q968" s="8">
        <f t="shared" si="78"/>
        <v>2790.6030000000001</v>
      </c>
      <c r="R968" s="4">
        <f t="shared" si="79"/>
        <v>0.55481357818586541</v>
      </c>
      <c r="S968" t="s">
        <v>94</v>
      </c>
      <c r="T968">
        <f>Table6[[#This Row],[Discount]]*Table6[[#This Row],[List Price]]*Table6[[#This Row],[Units]]</f>
        <v>558.86700000000008</v>
      </c>
    </row>
    <row r="969" spans="1:20" x14ac:dyDescent="0.2">
      <c r="A969" t="s">
        <v>1062</v>
      </c>
      <c r="B969" s="2">
        <v>46218.33632030875</v>
      </c>
      <c r="C969" t="s">
        <v>93</v>
      </c>
      <c r="D969" t="s">
        <v>85</v>
      </c>
      <c r="E969" t="s">
        <v>25</v>
      </c>
      <c r="F969" t="s">
        <v>15</v>
      </c>
      <c r="G969" t="s">
        <v>35</v>
      </c>
      <c r="H969" t="str">
        <f>_xlfn.XLOOKUP(Table6[[#This Row],[SKU]],tblProductMaster[SKU],tblProductMaster[Product])</f>
        <v>Hand Cream</v>
      </c>
      <c r="I969">
        <v>395</v>
      </c>
      <c r="J969">
        <f>_xlfn.XLOOKUP(G969,[1]!tblProductMaster[SKU],[1]!tblProductMaster[List Price])</f>
        <v>4.99</v>
      </c>
      <c r="K969" t="s">
        <v>86</v>
      </c>
      <c r="L969" s="3">
        <v>0</v>
      </c>
      <c r="M969" s="9">
        <f t="shared" si="75"/>
        <v>4.99</v>
      </c>
      <c r="N969" s="8">
        <f t="shared" si="76"/>
        <v>1971.0500000000002</v>
      </c>
      <c r="O969" s="9">
        <f>_xlfn.XLOOKUP(G969,[1]!tblProductMaster[SKU],[1]!tblProductMaster[Unit Cost])</f>
        <v>2.1</v>
      </c>
      <c r="P969" s="8">
        <f t="shared" si="77"/>
        <v>829.5</v>
      </c>
      <c r="Q969" s="8">
        <f t="shared" si="78"/>
        <v>1141.5500000000002</v>
      </c>
      <c r="R969" s="4">
        <f t="shared" si="79"/>
        <v>0.57915831663326656</v>
      </c>
      <c r="S969" t="s">
        <v>87</v>
      </c>
      <c r="T969">
        <f>Table6[[#This Row],[Discount]]*Table6[[#This Row],[List Price]]*Table6[[#This Row],[Units]]</f>
        <v>0</v>
      </c>
    </row>
    <row r="970" spans="1:20" x14ac:dyDescent="0.2">
      <c r="A970" t="s">
        <v>1063</v>
      </c>
      <c r="B970" s="2">
        <v>46251.462729313309</v>
      </c>
      <c r="C970" t="s">
        <v>93</v>
      </c>
      <c r="D970" t="s">
        <v>85</v>
      </c>
      <c r="E970" t="s">
        <v>25</v>
      </c>
      <c r="F970" t="s">
        <v>15</v>
      </c>
      <c r="G970" t="s">
        <v>29</v>
      </c>
      <c r="H970" t="str">
        <f>_xlfn.XLOOKUP(Table6[[#This Row],[SKU]],tblProductMaster[SKU],tblProductMaster[Product])</f>
        <v>Shower Gel 250ml</v>
      </c>
      <c r="I970">
        <v>276</v>
      </c>
      <c r="J970">
        <f>_xlfn.XLOOKUP(G970,[1]!tblProductMaster[SKU],[1]!tblProductMaster[List Price])</f>
        <v>4.49</v>
      </c>
      <c r="K970" t="s">
        <v>86</v>
      </c>
      <c r="L970" s="3">
        <v>0</v>
      </c>
      <c r="M970" s="9">
        <f t="shared" si="75"/>
        <v>4.49</v>
      </c>
      <c r="N970" s="8">
        <f t="shared" si="76"/>
        <v>1239.24</v>
      </c>
      <c r="O970" s="9">
        <f>_xlfn.XLOOKUP(G970,[1]!tblProductMaster[SKU],[1]!tblProductMaster[Unit Cost])</f>
        <v>1.9</v>
      </c>
      <c r="P970" s="8">
        <f t="shared" si="77"/>
        <v>524.4</v>
      </c>
      <c r="Q970" s="8">
        <f t="shared" si="78"/>
        <v>714.84</v>
      </c>
      <c r="R970" s="4">
        <f t="shared" si="79"/>
        <v>0.57683741648106901</v>
      </c>
      <c r="S970" t="s">
        <v>87</v>
      </c>
      <c r="T970">
        <f>Table6[[#This Row],[Discount]]*Table6[[#This Row],[List Price]]*Table6[[#This Row],[Units]]</f>
        <v>0</v>
      </c>
    </row>
    <row r="971" spans="1:20" x14ac:dyDescent="0.2">
      <c r="A971" t="s">
        <v>1064</v>
      </c>
      <c r="B971" s="2">
        <v>46105.62712247327</v>
      </c>
      <c r="C971" t="s">
        <v>98</v>
      </c>
      <c r="D971" t="s">
        <v>96</v>
      </c>
      <c r="E971" t="s">
        <v>8</v>
      </c>
      <c r="F971" t="s">
        <v>15</v>
      </c>
      <c r="G971" t="s">
        <v>22</v>
      </c>
      <c r="H971" t="str">
        <f>_xlfn.XLOOKUP(Table6[[#This Row],[SKU]],tblProductMaster[SKU],tblProductMaster[Product])</f>
        <v>Styling Gel</v>
      </c>
      <c r="I971">
        <v>229</v>
      </c>
      <c r="J971">
        <f>_xlfn.XLOOKUP(G971,[1]!tblProductMaster[SKU],[1]!tblProductMaster[List Price])</f>
        <v>4.49</v>
      </c>
      <c r="K971" t="s">
        <v>86</v>
      </c>
      <c r="L971" s="3">
        <v>0</v>
      </c>
      <c r="M971" s="9">
        <f t="shared" si="75"/>
        <v>4.49</v>
      </c>
      <c r="N971" s="8">
        <f t="shared" si="76"/>
        <v>1028.21</v>
      </c>
      <c r="O971" s="9">
        <f>_xlfn.XLOOKUP(G971,[1]!tblProductMaster[SKU],[1]!tblProductMaster[Unit Cost])</f>
        <v>1.9</v>
      </c>
      <c r="P971" s="8">
        <f t="shared" si="77"/>
        <v>435.09999999999997</v>
      </c>
      <c r="Q971" s="8">
        <f t="shared" si="78"/>
        <v>593.11000000000013</v>
      </c>
      <c r="R971" s="4">
        <f t="shared" si="79"/>
        <v>0.57683741648106912</v>
      </c>
      <c r="S971" t="s">
        <v>87</v>
      </c>
      <c r="T971">
        <f>Table6[[#This Row],[Discount]]*Table6[[#This Row],[List Price]]*Table6[[#This Row],[Units]]</f>
        <v>0</v>
      </c>
    </row>
    <row r="972" spans="1:20" x14ac:dyDescent="0.2">
      <c r="A972" t="s">
        <v>1065</v>
      </c>
      <c r="B972" s="2">
        <v>46049.785587608829</v>
      </c>
      <c r="C972" t="s">
        <v>93</v>
      </c>
      <c r="D972" t="s">
        <v>96</v>
      </c>
      <c r="E972" t="s">
        <v>40</v>
      </c>
      <c r="F972" t="s">
        <v>15</v>
      </c>
      <c r="G972" t="s">
        <v>52</v>
      </c>
      <c r="H972" t="str">
        <f>_xlfn.XLOOKUP(Table6[[#This Row],[SKU]],tblProductMaster[SKU],tblProductMaster[Product])</f>
        <v>Laundry Pods</v>
      </c>
      <c r="I972">
        <v>826</v>
      </c>
      <c r="J972">
        <f>_xlfn.XLOOKUP(G972,[1]!tblProductMaster[SKU],[1]!tblProductMaster[List Price])</f>
        <v>10.49</v>
      </c>
      <c r="K972" t="s">
        <v>89</v>
      </c>
      <c r="L972" s="3">
        <v>0.1</v>
      </c>
      <c r="M972" s="9">
        <f t="shared" si="75"/>
        <v>9.4410000000000007</v>
      </c>
      <c r="N972" s="8">
        <f t="shared" si="76"/>
        <v>7798.2660000000005</v>
      </c>
      <c r="O972" s="9">
        <f>_xlfn.XLOOKUP(G972,[1]!tblProductMaster[SKU],[1]!tblProductMaster[Unit Cost])</f>
        <v>4.5999999999999996</v>
      </c>
      <c r="P972" s="8">
        <f t="shared" si="77"/>
        <v>3799.6</v>
      </c>
      <c r="Q972" s="8">
        <f t="shared" si="78"/>
        <v>3998.6660000000006</v>
      </c>
      <c r="R972" s="4">
        <f t="shared" si="79"/>
        <v>0.51276347844507997</v>
      </c>
      <c r="S972" t="s">
        <v>94</v>
      </c>
      <c r="T972">
        <f>Table6[[#This Row],[Discount]]*Table6[[#This Row],[List Price]]*Table6[[#This Row],[Units]]</f>
        <v>866.47400000000016</v>
      </c>
    </row>
    <row r="973" spans="1:20" x14ac:dyDescent="0.2">
      <c r="A973" t="s">
        <v>1066</v>
      </c>
      <c r="B973" s="2">
        <v>46312.128894463676</v>
      </c>
      <c r="C973" t="s">
        <v>98</v>
      </c>
      <c r="D973" t="s">
        <v>104</v>
      </c>
      <c r="E973" t="s">
        <v>40</v>
      </c>
      <c r="F973" t="s">
        <v>7</v>
      </c>
      <c r="G973" t="s">
        <v>44</v>
      </c>
      <c r="H973" t="str">
        <f>_xlfn.XLOOKUP(Table6[[#This Row],[SKU]],tblProductMaster[SKU],tblProductMaster[Product])</f>
        <v>Fabric Softener</v>
      </c>
      <c r="I973">
        <v>1011</v>
      </c>
      <c r="J973">
        <f>_xlfn.XLOOKUP(G973,[1]!tblProductMaster[SKU],[1]!tblProductMaster[List Price])</f>
        <v>6.99</v>
      </c>
      <c r="K973" t="s">
        <v>89</v>
      </c>
      <c r="L973" s="3">
        <v>0.2</v>
      </c>
      <c r="M973" s="9">
        <f t="shared" si="75"/>
        <v>5.5920000000000005</v>
      </c>
      <c r="N973" s="8">
        <f t="shared" si="76"/>
        <v>5653.5120000000006</v>
      </c>
      <c r="O973" s="9">
        <f>_xlfn.XLOOKUP(G973,[1]!tblProductMaster[SKU],[1]!tblProductMaster[Unit Cost])</f>
        <v>2.9</v>
      </c>
      <c r="P973" s="8">
        <f t="shared" si="77"/>
        <v>2931.9</v>
      </c>
      <c r="Q973" s="8">
        <f t="shared" si="78"/>
        <v>2721.6120000000005</v>
      </c>
      <c r="R973" s="4">
        <f t="shared" si="79"/>
        <v>0.48140200286123036</v>
      </c>
      <c r="S973" t="s">
        <v>90</v>
      </c>
      <c r="T973">
        <f>Table6[[#This Row],[Discount]]*Table6[[#This Row],[List Price]]*Table6[[#This Row],[Units]]</f>
        <v>1413.3780000000002</v>
      </c>
    </row>
    <row r="974" spans="1:20" x14ac:dyDescent="0.2">
      <c r="A974" t="s">
        <v>1067</v>
      </c>
      <c r="B974" s="2">
        <v>46251.962866029171</v>
      </c>
      <c r="C974" t="s">
        <v>98</v>
      </c>
      <c r="D974" t="s">
        <v>96</v>
      </c>
      <c r="E974" t="s">
        <v>56</v>
      </c>
      <c r="F974" t="s">
        <v>18</v>
      </c>
      <c r="G974" t="s">
        <v>60</v>
      </c>
      <c r="H974" t="str">
        <f>_xlfn.XLOOKUP(Table6[[#This Row],[SKU]],tblProductMaster[SKU],tblProductMaster[Product])</f>
        <v>Sensitive Toothpaste</v>
      </c>
      <c r="I974">
        <v>1115</v>
      </c>
      <c r="J974">
        <f>_xlfn.XLOOKUP(G974,[1]!tblProductMaster[SKU],[1]!tblProductMaster[List Price])</f>
        <v>4.49</v>
      </c>
      <c r="K974" t="s">
        <v>89</v>
      </c>
      <c r="L974" s="3">
        <v>0.1</v>
      </c>
      <c r="M974" s="9">
        <f t="shared" si="75"/>
        <v>4.0410000000000004</v>
      </c>
      <c r="N974" s="8">
        <f t="shared" si="76"/>
        <v>4505.7150000000001</v>
      </c>
      <c r="O974" s="9">
        <f>_xlfn.XLOOKUP(G974,[1]!tblProductMaster[SKU],[1]!tblProductMaster[Unit Cost])</f>
        <v>1.7</v>
      </c>
      <c r="P974" s="8">
        <f t="shared" si="77"/>
        <v>1895.5</v>
      </c>
      <c r="Q974" s="8">
        <f t="shared" si="78"/>
        <v>2610.2150000000001</v>
      </c>
      <c r="R974" s="4">
        <f t="shared" si="79"/>
        <v>0.57931205147240783</v>
      </c>
      <c r="S974" t="s">
        <v>94</v>
      </c>
      <c r="T974">
        <f>Table6[[#This Row],[Discount]]*Table6[[#This Row],[List Price]]*Table6[[#This Row],[Units]]</f>
        <v>500.63500000000005</v>
      </c>
    </row>
    <row r="975" spans="1:20" x14ac:dyDescent="0.2">
      <c r="A975" t="s">
        <v>1068</v>
      </c>
      <c r="B975" s="2">
        <v>46163.946413264399</v>
      </c>
      <c r="C975" t="s">
        <v>84</v>
      </c>
      <c r="D975" t="s">
        <v>104</v>
      </c>
      <c r="E975" t="s">
        <v>8</v>
      </c>
      <c r="F975" t="s">
        <v>15</v>
      </c>
      <c r="G975" t="s">
        <v>16</v>
      </c>
      <c r="H975" t="str">
        <f>_xlfn.XLOOKUP(Table6[[#This Row],[SKU]],tblProductMaster[SKU],tblProductMaster[Product])</f>
        <v>Conditioner 250ml</v>
      </c>
      <c r="I975">
        <v>1112</v>
      </c>
      <c r="J975">
        <f>_xlfn.XLOOKUP(G975,[1]!tblProductMaster[SKU],[1]!tblProductMaster[List Price])</f>
        <v>4.79</v>
      </c>
      <c r="K975" t="s">
        <v>89</v>
      </c>
      <c r="L975" s="3">
        <v>0.1</v>
      </c>
      <c r="M975" s="9">
        <f t="shared" si="75"/>
        <v>4.3109999999999999</v>
      </c>
      <c r="N975" s="8">
        <f t="shared" si="76"/>
        <v>4793.8320000000003</v>
      </c>
      <c r="O975" s="9">
        <f>_xlfn.XLOOKUP(G975,[1]!tblProductMaster[SKU],[1]!tblProductMaster[Unit Cost])</f>
        <v>2</v>
      </c>
      <c r="P975" s="8">
        <f t="shared" si="77"/>
        <v>2224</v>
      </c>
      <c r="Q975" s="8">
        <f t="shared" si="78"/>
        <v>2569.8320000000003</v>
      </c>
      <c r="R975" s="4">
        <f t="shared" si="79"/>
        <v>0.53607051728137323</v>
      </c>
      <c r="S975" t="s">
        <v>94</v>
      </c>
      <c r="T975">
        <f>Table6[[#This Row],[Discount]]*Table6[[#This Row],[List Price]]*Table6[[#This Row],[Units]]</f>
        <v>532.64800000000002</v>
      </c>
    </row>
    <row r="976" spans="1:20" x14ac:dyDescent="0.2">
      <c r="A976" t="s">
        <v>1069</v>
      </c>
      <c r="B976" s="2">
        <v>46205.673475859207</v>
      </c>
      <c r="C976" t="s">
        <v>98</v>
      </c>
      <c r="D976" t="s">
        <v>96</v>
      </c>
      <c r="E976" t="s">
        <v>8</v>
      </c>
      <c r="F976" t="s">
        <v>15</v>
      </c>
      <c r="G976" t="s">
        <v>16</v>
      </c>
      <c r="H976" t="str">
        <f>_xlfn.XLOOKUP(Table6[[#This Row],[SKU]],tblProductMaster[SKU],tblProductMaster[Product])</f>
        <v>Conditioner 250ml</v>
      </c>
      <c r="I976">
        <v>369</v>
      </c>
      <c r="J976">
        <f>_xlfn.XLOOKUP(G976,[1]!tblProductMaster[SKU],[1]!tblProductMaster[List Price])</f>
        <v>4.79</v>
      </c>
      <c r="K976" t="s">
        <v>86</v>
      </c>
      <c r="L976" s="3">
        <v>0</v>
      </c>
      <c r="M976" s="9">
        <f t="shared" si="75"/>
        <v>4.79</v>
      </c>
      <c r="N976" s="8">
        <f t="shared" si="76"/>
        <v>1767.51</v>
      </c>
      <c r="O976" s="9">
        <f>_xlfn.XLOOKUP(G976,[1]!tblProductMaster[SKU],[1]!tblProductMaster[Unit Cost])</f>
        <v>2</v>
      </c>
      <c r="P976" s="8">
        <f t="shared" si="77"/>
        <v>738</v>
      </c>
      <c r="Q976" s="8">
        <f t="shared" si="78"/>
        <v>1029.51</v>
      </c>
      <c r="R976" s="4">
        <f t="shared" si="79"/>
        <v>0.58246346555323592</v>
      </c>
      <c r="S976" t="s">
        <v>87</v>
      </c>
      <c r="T976">
        <f>Table6[[#This Row],[Discount]]*Table6[[#This Row],[List Price]]*Table6[[#This Row],[Units]]</f>
        <v>0</v>
      </c>
    </row>
    <row r="977" spans="1:20" x14ac:dyDescent="0.2">
      <c r="A977" t="s">
        <v>1070</v>
      </c>
      <c r="B977" s="2">
        <v>46203.633977411104</v>
      </c>
      <c r="C977" t="s">
        <v>84</v>
      </c>
      <c r="D977" t="s">
        <v>104</v>
      </c>
      <c r="E977" t="s">
        <v>25</v>
      </c>
      <c r="F977" t="s">
        <v>15</v>
      </c>
      <c r="G977" t="s">
        <v>29</v>
      </c>
      <c r="H977" t="str">
        <f>_xlfn.XLOOKUP(Table6[[#This Row],[SKU]],tblProductMaster[SKU],tblProductMaster[Product])</f>
        <v>Shower Gel 250ml</v>
      </c>
      <c r="I977">
        <v>668</v>
      </c>
      <c r="J977">
        <f>_xlfn.XLOOKUP(G977,[1]!tblProductMaster[SKU],[1]!tblProductMaster[List Price])</f>
        <v>4.49</v>
      </c>
      <c r="K977" t="s">
        <v>89</v>
      </c>
      <c r="L977" s="3">
        <v>0.3</v>
      </c>
      <c r="M977" s="9">
        <f t="shared" si="75"/>
        <v>3.1429999999999998</v>
      </c>
      <c r="N977" s="8">
        <f t="shared" si="76"/>
        <v>2099.5239999999999</v>
      </c>
      <c r="O977" s="9">
        <f>_xlfn.XLOOKUP(G977,[1]!tblProductMaster[SKU],[1]!tblProductMaster[Unit Cost])</f>
        <v>1.9</v>
      </c>
      <c r="P977" s="8">
        <f t="shared" si="77"/>
        <v>1269.2</v>
      </c>
      <c r="Q977" s="8">
        <f t="shared" si="78"/>
        <v>830.32399999999984</v>
      </c>
      <c r="R977" s="4">
        <f t="shared" si="79"/>
        <v>0.39548202354438428</v>
      </c>
      <c r="S977" t="s">
        <v>99</v>
      </c>
      <c r="T977">
        <f>Table6[[#This Row],[Discount]]*Table6[[#This Row],[List Price]]*Table6[[#This Row],[Units]]</f>
        <v>899.79599999999994</v>
      </c>
    </row>
    <row r="978" spans="1:20" x14ac:dyDescent="0.2">
      <c r="A978" t="s">
        <v>1071</v>
      </c>
      <c r="B978" s="2">
        <v>46093.32141043515</v>
      </c>
      <c r="C978" t="s">
        <v>84</v>
      </c>
      <c r="D978" t="s">
        <v>96</v>
      </c>
      <c r="E978" t="s">
        <v>8</v>
      </c>
      <c r="F978" t="s">
        <v>7</v>
      </c>
      <c r="G978" t="s">
        <v>12</v>
      </c>
      <c r="H978" t="str">
        <f>_xlfn.XLOOKUP(Table6[[#This Row],[SKU]],tblProductMaster[SKU],tblProductMaster[Product])</f>
        <v>Conditioner 250ml</v>
      </c>
      <c r="I978">
        <v>317</v>
      </c>
      <c r="J978">
        <f>_xlfn.XLOOKUP(G978,[1]!tblProductMaster[SKU],[1]!tblProductMaster[List Price])</f>
        <v>5.49</v>
      </c>
      <c r="K978" t="s">
        <v>86</v>
      </c>
      <c r="L978" s="3">
        <v>0</v>
      </c>
      <c r="M978" s="9">
        <f t="shared" si="75"/>
        <v>5.49</v>
      </c>
      <c r="N978" s="8">
        <f t="shared" si="76"/>
        <v>1740.3300000000002</v>
      </c>
      <c r="O978" s="9">
        <f>_xlfn.XLOOKUP(G978,[1]!tblProductMaster[SKU],[1]!tblProductMaster[Unit Cost])</f>
        <v>2.2000000000000002</v>
      </c>
      <c r="P978" s="8">
        <f t="shared" si="77"/>
        <v>697.40000000000009</v>
      </c>
      <c r="Q978" s="8">
        <f t="shared" si="78"/>
        <v>1042.93</v>
      </c>
      <c r="R978" s="4">
        <f t="shared" si="79"/>
        <v>0.59927140255009104</v>
      </c>
      <c r="S978" t="s">
        <v>87</v>
      </c>
      <c r="T978">
        <f>Table6[[#This Row],[Discount]]*Table6[[#This Row],[List Price]]*Table6[[#This Row],[Units]]</f>
        <v>0</v>
      </c>
    </row>
    <row r="979" spans="1:20" x14ac:dyDescent="0.2">
      <c r="A979" t="s">
        <v>1072</v>
      </c>
      <c r="B979" s="2">
        <v>46307.878762052016</v>
      </c>
      <c r="C979" t="s">
        <v>93</v>
      </c>
      <c r="D979" t="s">
        <v>85</v>
      </c>
      <c r="E979" t="s">
        <v>25</v>
      </c>
      <c r="F979" t="s">
        <v>18</v>
      </c>
      <c r="G979" t="s">
        <v>27</v>
      </c>
      <c r="H979" t="str">
        <f>_xlfn.XLOOKUP(Table6[[#This Row],[SKU]],tblProductMaster[SKU],tblProductMaster[Product])</f>
        <v>Face Cream 50ml</v>
      </c>
      <c r="I979">
        <v>444</v>
      </c>
      <c r="J979">
        <f>_xlfn.XLOOKUP(G979,[1]!tblProductMaster[SKU],[1]!tblProductMaster[List Price])</f>
        <v>9.99</v>
      </c>
      <c r="K979" t="s">
        <v>86</v>
      </c>
      <c r="L979" s="3">
        <v>0</v>
      </c>
      <c r="M979" s="9">
        <f t="shared" si="75"/>
        <v>9.99</v>
      </c>
      <c r="N979" s="8">
        <f t="shared" si="76"/>
        <v>4435.5600000000004</v>
      </c>
      <c r="O979" s="9">
        <f>_xlfn.XLOOKUP(G979,[1]!tblProductMaster[SKU],[1]!tblProductMaster[Unit Cost])</f>
        <v>4.2</v>
      </c>
      <c r="P979" s="8">
        <f t="shared" si="77"/>
        <v>1864.8000000000002</v>
      </c>
      <c r="Q979" s="8">
        <f t="shared" si="78"/>
        <v>2570.7600000000002</v>
      </c>
      <c r="R979" s="4">
        <f t="shared" si="79"/>
        <v>0.57957957957957962</v>
      </c>
      <c r="S979" t="s">
        <v>87</v>
      </c>
      <c r="T979">
        <f>Table6[[#This Row],[Discount]]*Table6[[#This Row],[List Price]]*Table6[[#This Row],[Units]]</f>
        <v>0</v>
      </c>
    </row>
    <row r="980" spans="1:20" x14ac:dyDescent="0.2">
      <c r="A980" t="s">
        <v>1073</v>
      </c>
      <c r="B980" s="2">
        <v>46105.206757299471</v>
      </c>
      <c r="C980" t="s">
        <v>98</v>
      </c>
      <c r="D980" t="s">
        <v>104</v>
      </c>
      <c r="E980" t="s">
        <v>40</v>
      </c>
      <c r="F980" t="s">
        <v>7</v>
      </c>
      <c r="G980" t="s">
        <v>44</v>
      </c>
      <c r="H980" t="str">
        <f>_xlfn.XLOOKUP(Table6[[#This Row],[SKU]],tblProductMaster[SKU],tblProductMaster[Product])</f>
        <v>Fabric Softener</v>
      </c>
      <c r="I980">
        <v>625</v>
      </c>
      <c r="J980">
        <f>_xlfn.XLOOKUP(G980,[1]!tblProductMaster[SKU],[1]!tblProductMaster[List Price])</f>
        <v>6.99</v>
      </c>
      <c r="K980" t="s">
        <v>86</v>
      </c>
      <c r="L980" s="3">
        <v>0</v>
      </c>
      <c r="M980" s="9">
        <f t="shared" si="75"/>
        <v>6.99</v>
      </c>
      <c r="N980" s="8">
        <f t="shared" si="76"/>
        <v>4368.75</v>
      </c>
      <c r="O980" s="9">
        <f>_xlfn.XLOOKUP(G980,[1]!tblProductMaster[SKU],[1]!tblProductMaster[Unit Cost])</f>
        <v>2.9</v>
      </c>
      <c r="P980" s="8">
        <f t="shared" si="77"/>
        <v>1812.5</v>
      </c>
      <c r="Q980" s="8">
        <f t="shared" si="78"/>
        <v>2556.25</v>
      </c>
      <c r="R980" s="4">
        <f t="shared" si="79"/>
        <v>0.58512160228898424</v>
      </c>
      <c r="S980" t="s">
        <v>87</v>
      </c>
      <c r="T980">
        <f>Table6[[#This Row],[Discount]]*Table6[[#This Row],[List Price]]*Table6[[#This Row],[Units]]</f>
        <v>0</v>
      </c>
    </row>
    <row r="981" spans="1:20" x14ac:dyDescent="0.2">
      <c r="A981" t="s">
        <v>1074</v>
      </c>
      <c r="B981" s="2">
        <v>46235.021649247377</v>
      </c>
      <c r="C981" t="s">
        <v>84</v>
      </c>
      <c r="D981" t="s">
        <v>96</v>
      </c>
      <c r="E981" t="s">
        <v>40</v>
      </c>
      <c r="F981" t="s">
        <v>18</v>
      </c>
      <c r="G981" t="s">
        <v>54</v>
      </c>
      <c r="H981" t="str">
        <f>_xlfn.XLOOKUP(Table6[[#This Row],[SKU]],tblProductMaster[SKU],tblProductMaster[Product])</f>
        <v>Fabric Softener</v>
      </c>
      <c r="I981">
        <v>651</v>
      </c>
      <c r="J981">
        <f>_xlfn.XLOOKUP(G981,[1]!tblProductMaster[SKU],[1]!tblProductMaster[List Price])</f>
        <v>5.49</v>
      </c>
      <c r="K981" t="s">
        <v>86</v>
      </c>
      <c r="L981" s="3">
        <v>0</v>
      </c>
      <c r="M981" s="9">
        <f t="shared" si="75"/>
        <v>5.49</v>
      </c>
      <c r="N981" s="8">
        <f t="shared" si="76"/>
        <v>3573.9900000000002</v>
      </c>
      <c r="O981" s="9">
        <f>_xlfn.XLOOKUP(G981,[1]!tblProductMaster[SKU],[1]!tblProductMaster[Unit Cost])</f>
        <v>2.4</v>
      </c>
      <c r="P981" s="8">
        <f t="shared" si="77"/>
        <v>1562.3999999999999</v>
      </c>
      <c r="Q981" s="8">
        <f t="shared" si="78"/>
        <v>2011.5900000000004</v>
      </c>
      <c r="R981" s="4">
        <f t="shared" si="79"/>
        <v>0.56284153005464488</v>
      </c>
      <c r="S981" t="s">
        <v>87</v>
      </c>
      <c r="T981">
        <f>Table6[[#This Row],[Discount]]*Table6[[#This Row],[List Price]]*Table6[[#This Row],[Units]]</f>
        <v>0</v>
      </c>
    </row>
    <row r="982" spans="1:20" x14ac:dyDescent="0.2">
      <c r="A982" t="s">
        <v>1075</v>
      </c>
      <c r="B982" s="2">
        <v>46328.656014812572</v>
      </c>
      <c r="C982" t="s">
        <v>98</v>
      </c>
      <c r="D982" t="s">
        <v>85</v>
      </c>
      <c r="E982" t="s">
        <v>25</v>
      </c>
      <c r="F982" t="s">
        <v>18</v>
      </c>
      <c r="G982" t="s">
        <v>37</v>
      </c>
      <c r="H982" t="str">
        <f>_xlfn.XLOOKUP(Table6[[#This Row],[SKU]],tblProductMaster[SKU],tblProductMaster[Product])</f>
        <v>Body Wash</v>
      </c>
      <c r="I982">
        <v>425</v>
      </c>
      <c r="J982">
        <f>_xlfn.XLOOKUP(G982,[1]!tblProductMaster[SKU],[1]!tblProductMaster[List Price])</f>
        <v>5.49</v>
      </c>
      <c r="K982" t="s">
        <v>86</v>
      </c>
      <c r="L982" s="3">
        <v>0</v>
      </c>
      <c r="M982" s="9">
        <f t="shared" si="75"/>
        <v>5.49</v>
      </c>
      <c r="N982" s="8">
        <f t="shared" si="76"/>
        <v>2333.25</v>
      </c>
      <c r="O982" s="9">
        <f>_xlfn.XLOOKUP(G982,[1]!tblProductMaster[SKU],[1]!tblProductMaster[Unit Cost])</f>
        <v>2.2999999999999998</v>
      </c>
      <c r="P982" s="8">
        <f t="shared" si="77"/>
        <v>977.49999999999989</v>
      </c>
      <c r="Q982" s="8">
        <f t="shared" si="78"/>
        <v>1355.75</v>
      </c>
      <c r="R982" s="4">
        <f t="shared" si="79"/>
        <v>0.58105646630236796</v>
      </c>
      <c r="S982" t="s">
        <v>87</v>
      </c>
      <c r="T982">
        <f>Table6[[#This Row],[Discount]]*Table6[[#This Row],[List Price]]*Table6[[#This Row],[Units]]</f>
        <v>0</v>
      </c>
    </row>
    <row r="983" spans="1:20" x14ac:dyDescent="0.2">
      <c r="A983" t="s">
        <v>1076</v>
      </c>
      <c r="B983" s="2">
        <v>46025.252683275066</v>
      </c>
      <c r="C983" t="s">
        <v>98</v>
      </c>
      <c r="D983" t="s">
        <v>96</v>
      </c>
      <c r="E983" t="s">
        <v>25</v>
      </c>
      <c r="F983" t="s">
        <v>15</v>
      </c>
      <c r="G983" t="s">
        <v>35</v>
      </c>
      <c r="H983" t="str">
        <f>_xlfn.XLOOKUP(Table6[[#This Row],[SKU]],tblProductMaster[SKU],tblProductMaster[Product])</f>
        <v>Hand Cream</v>
      </c>
      <c r="I983">
        <v>268</v>
      </c>
      <c r="J983">
        <f>_xlfn.XLOOKUP(G983,[1]!tblProductMaster[SKU],[1]!tblProductMaster[List Price])</f>
        <v>4.99</v>
      </c>
      <c r="K983" t="s">
        <v>86</v>
      </c>
      <c r="L983" s="3">
        <v>0</v>
      </c>
      <c r="M983" s="9">
        <f t="shared" si="75"/>
        <v>4.99</v>
      </c>
      <c r="N983" s="8">
        <f t="shared" si="76"/>
        <v>1337.3200000000002</v>
      </c>
      <c r="O983" s="9">
        <f>_xlfn.XLOOKUP(G983,[1]!tblProductMaster[SKU],[1]!tblProductMaster[Unit Cost])</f>
        <v>2.1</v>
      </c>
      <c r="P983" s="8">
        <f t="shared" si="77"/>
        <v>562.80000000000007</v>
      </c>
      <c r="Q983" s="8">
        <f t="shared" si="78"/>
        <v>774.5200000000001</v>
      </c>
      <c r="R983" s="4">
        <f t="shared" si="79"/>
        <v>0.57915831663326656</v>
      </c>
      <c r="S983" t="s">
        <v>87</v>
      </c>
      <c r="T983">
        <f>Table6[[#This Row],[Discount]]*Table6[[#This Row],[List Price]]*Table6[[#This Row],[Units]]</f>
        <v>0</v>
      </c>
    </row>
    <row r="984" spans="1:20" x14ac:dyDescent="0.2">
      <c r="A984" t="s">
        <v>1077</v>
      </c>
      <c r="B984" s="2">
        <v>46360.500898398808</v>
      </c>
      <c r="C984" t="s">
        <v>93</v>
      </c>
      <c r="D984" t="s">
        <v>104</v>
      </c>
      <c r="E984" t="s">
        <v>8</v>
      </c>
      <c r="F984" t="s">
        <v>7</v>
      </c>
      <c r="G984" t="s">
        <v>10</v>
      </c>
      <c r="H984" t="str">
        <f>_xlfn.XLOOKUP(Table6[[#This Row],[SKU]],tblProductMaster[SKU],tblProductMaster[Product])</f>
        <v>Shampoo 500ml</v>
      </c>
      <c r="I984">
        <v>222</v>
      </c>
      <c r="J984">
        <f>_xlfn.XLOOKUP(G984,[1]!tblProductMaster[SKU],[1]!tblProductMaster[List Price])</f>
        <v>8.99</v>
      </c>
      <c r="K984" t="s">
        <v>86</v>
      </c>
      <c r="L984" s="3">
        <v>0</v>
      </c>
      <c r="M984" s="9">
        <f t="shared" si="75"/>
        <v>8.99</v>
      </c>
      <c r="N984" s="8">
        <f t="shared" si="76"/>
        <v>1995.78</v>
      </c>
      <c r="O984" s="9">
        <f>_xlfn.XLOOKUP(G984,[1]!tblProductMaster[SKU],[1]!tblProductMaster[Unit Cost])</f>
        <v>3.6</v>
      </c>
      <c r="P984" s="8">
        <f t="shared" si="77"/>
        <v>799.2</v>
      </c>
      <c r="Q984" s="8">
        <f t="shared" si="78"/>
        <v>1196.58</v>
      </c>
      <c r="R984" s="4">
        <f t="shared" si="79"/>
        <v>0.59955506117908786</v>
      </c>
      <c r="S984" t="s">
        <v>87</v>
      </c>
      <c r="T984">
        <f>Table6[[#This Row],[Discount]]*Table6[[#This Row],[List Price]]*Table6[[#This Row],[Units]]</f>
        <v>0</v>
      </c>
    </row>
    <row r="985" spans="1:20" x14ac:dyDescent="0.2">
      <c r="A985" t="s">
        <v>1078</v>
      </c>
      <c r="B985" s="2">
        <v>46326.211727984621</v>
      </c>
      <c r="C985" t="s">
        <v>98</v>
      </c>
      <c r="D985" t="s">
        <v>104</v>
      </c>
      <c r="E985" t="s">
        <v>8</v>
      </c>
      <c r="F985" t="s">
        <v>18</v>
      </c>
      <c r="G985" t="s">
        <v>20</v>
      </c>
      <c r="H985" t="str">
        <f>_xlfn.XLOOKUP(Table6[[#This Row],[SKU]],tblProductMaster[SKU],tblProductMaster[Product])</f>
        <v>Hair Oil</v>
      </c>
      <c r="I985">
        <v>331</v>
      </c>
      <c r="J985">
        <f>_xlfn.XLOOKUP(G985,[1]!tblProductMaster[SKU],[1]!tblProductMaster[List Price])</f>
        <v>7.49</v>
      </c>
      <c r="K985" t="s">
        <v>86</v>
      </c>
      <c r="L985" s="3">
        <v>0</v>
      </c>
      <c r="M985" s="9">
        <f t="shared" si="75"/>
        <v>7.49</v>
      </c>
      <c r="N985" s="8">
        <f t="shared" si="76"/>
        <v>2479.19</v>
      </c>
      <c r="O985" s="9">
        <f>_xlfn.XLOOKUP(G985,[1]!tblProductMaster[SKU],[1]!tblProductMaster[Unit Cost])</f>
        <v>3.1</v>
      </c>
      <c r="P985" s="8">
        <f t="shared" si="77"/>
        <v>1026.1000000000001</v>
      </c>
      <c r="Q985" s="8">
        <f t="shared" si="78"/>
        <v>1453.09</v>
      </c>
      <c r="R985" s="4">
        <f t="shared" si="79"/>
        <v>0.5861148197596795</v>
      </c>
      <c r="S985" t="s">
        <v>87</v>
      </c>
      <c r="T985">
        <f>Table6[[#This Row],[Discount]]*Table6[[#This Row],[List Price]]*Table6[[#This Row],[Units]]</f>
        <v>0</v>
      </c>
    </row>
    <row r="986" spans="1:20" x14ac:dyDescent="0.2">
      <c r="A986" t="s">
        <v>1079</v>
      </c>
      <c r="B986" s="2">
        <v>46106.829382579104</v>
      </c>
      <c r="C986" t="s">
        <v>93</v>
      </c>
      <c r="D986" t="s">
        <v>104</v>
      </c>
      <c r="E986" t="s">
        <v>25</v>
      </c>
      <c r="F986" t="s">
        <v>7</v>
      </c>
      <c r="G986" t="s">
        <v>24</v>
      </c>
      <c r="H986" t="str">
        <f>_xlfn.XLOOKUP(Table6[[#This Row],[SKU]],tblProductMaster[SKU],tblProductMaster[Product])</f>
        <v>Body Lotion 400ml</v>
      </c>
      <c r="I986">
        <v>485</v>
      </c>
      <c r="J986">
        <f>_xlfn.XLOOKUP(G986,[1]!tblProductMaster[SKU],[1]!tblProductMaster[List Price])</f>
        <v>7.99</v>
      </c>
      <c r="K986" t="s">
        <v>86</v>
      </c>
      <c r="L986" s="3">
        <v>0</v>
      </c>
      <c r="M986" s="9">
        <f t="shared" si="75"/>
        <v>7.99</v>
      </c>
      <c r="N986" s="8">
        <f t="shared" si="76"/>
        <v>3875.15</v>
      </c>
      <c r="O986" s="9">
        <f>_xlfn.XLOOKUP(G986,[1]!tblProductMaster[SKU],[1]!tblProductMaster[Unit Cost])</f>
        <v>3.1</v>
      </c>
      <c r="P986" s="8">
        <f t="shared" si="77"/>
        <v>1503.5</v>
      </c>
      <c r="Q986" s="8">
        <f t="shared" si="78"/>
        <v>2371.65</v>
      </c>
      <c r="R986" s="4">
        <f t="shared" si="79"/>
        <v>0.61201501877346687</v>
      </c>
      <c r="S986" t="s">
        <v>87</v>
      </c>
      <c r="T986">
        <f>Table6[[#This Row],[Discount]]*Table6[[#This Row],[List Price]]*Table6[[#This Row],[Units]]</f>
        <v>0</v>
      </c>
    </row>
    <row r="987" spans="1:20" x14ac:dyDescent="0.2">
      <c r="A987" t="s">
        <v>1080</v>
      </c>
      <c r="B987" s="2">
        <v>46218.093850366713</v>
      </c>
      <c r="C987" t="s">
        <v>84</v>
      </c>
      <c r="D987" t="s">
        <v>85</v>
      </c>
      <c r="E987" t="s">
        <v>25</v>
      </c>
      <c r="F987" t="s">
        <v>18</v>
      </c>
      <c r="G987" t="s">
        <v>27</v>
      </c>
      <c r="H987" t="str">
        <f>_xlfn.XLOOKUP(Table6[[#This Row],[SKU]],tblProductMaster[SKU],tblProductMaster[Product])</f>
        <v>Face Cream 50ml</v>
      </c>
      <c r="I987">
        <v>624</v>
      </c>
      <c r="J987">
        <f>_xlfn.XLOOKUP(G987,[1]!tblProductMaster[SKU],[1]!tblProductMaster[List Price])</f>
        <v>9.99</v>
      </c>
      <c r="K987" t="s">
        <v>86</v>
      </c>
      <c r="L987" s="3">
        <v>0</v>
      </c>
      <c r="M987" s="9">
        <f t="shared" si="75"/>
        <v>9.99</v>
      </c>
      <c r="N987" s="8">
        <f t="shared" si="76"/>
        <v>6233.76</v>
      </c>
      <c r="O987" s="9">
        <f>_xlfn.XLOOKUP(G987,[1]!tblProductMaster[SKU],[1]!tblProductMaster[Unit Cost])</f>
        <v>4.2</v>
      </c>
      <c r="P987" s="8">
        <f t="shared" si="77"/>
        <v>2620.8000000000002</v>
      </c>
      <c r="Q987" s="8">
        <f t="shared" si="78"/>
        <v>3612.96</v>
      </c>
      <c r="R987" s="4">
        <f t="shared" si="79"/>
        <v>0.57957957957957962</v>
      </c>
      <c r="S987" t="s">
        <v>87</v>
      </c>
      <c r="T987">
        <f>Table6[[#This Row],[Discount]]*Table6[[#This Row],[List Price]]*Table6[[#This Row],[Units]]</f>
        <v>0</v>
      </c>
    </row>
    <row r="988" spans="1:20" x14ac:dyDescent="0.2">
      <c r="A988" t="s">
        <v>1081</v>
      </c>
      <c r="B988" s="2">
        <v>46066.783420227846</v>
      </c>
      <c r="C988" t="s">
        <v>84</v>
      </c>
      <c r="D988" t="s">
        <v>104</v>
      </c>
      <c r="E988" t="s">
        <v>56</v>
      </c>
      <c r="F988" t="s">
        <v>18</v>
      </c>
      <c r="G988" t="s">
        <v>60</v>
      </c>
      <c r="H988" t="str">
        <f>_xlfn.XLOOKUP(Table6[[#This Row],[SKU]],tblProductMaster[SKU],tblProductMaster[Product])</f>
        <v>Sensitive Toothpaste</v>
      </c>
      <c r="I988">
        <v>490</v>
      </c>
      <c r="J988">
        <f>_xlfn.XLOOKUP(G988,[1]!tblProductMaster[SKU],[1]!tblProductMaster[List Price])</f>
        <v>4.49</v>
      </c>
      <c r="K988" t="s">
        <v>86</v>
      </c>
      <c r="L988" s="3">
        <v>0</v>
      </c>
      <c r="M988" s="9">
        <f t="shared" si="75"/>
        <v>4.49</v>
      </c>
      <c r="N988" s="8">
        <f t="shared" si="76"/>
        <v>2200.1</v>
      </c>
      <c r="O988" s="9">
        <f>_xlfn.XLOOKUP(G988,[1]!tblProductMaster[SKU],[1]!tblProductMaster[Unit Cost])</f>
        <v>1.7</v>
      </c>
      <c r="P988" s="8">
        <f t="shared" si="77"/>
        <v>833</v>
      </c>
      <c r="Q988" s="8">
        <f t="shared" si="78"/>
        <v>1367.1</v>
      </c>
      <c r="R988" s="4">
        <f t="shared" si="79"/>
        <v>0.62138084632516699</v>
      </c>
      <c r="S988" t="s">
        <v>87</v>
      </c>
      <c r="T988">
        <f>Table6[[#This Row],[Discount]]*Table6[[#This Row],[List Price]]*Table6[[#This Row],[Units]]</f>
        <v>0</v>
      </c>
    </row>
    <row r="989" spans="1:20" x14ac:dyDescent="0.2">
      <c r="A989" t="s">
        <v>1082</v>
      </c>
      <c r="B989" s="2">
        <v>46082.275235639274</v>
      </c>
      <c r="C989" t="s">
        <v>93</v>
      </c>
      <c r="D989" t="s">
        <v>104</v>
      </c>
      <c r="E989" t="s">
        <v>25</v>
      </c>
      <c r="F989" t="s">
        <v>18</v>
      </c>
      <c r="G989" t="s">
        <v>37</v>
      </c>
      <c r="H989" t="str">
        <f>_xlfn.XLOOKUP(Table6[[#This Row],[SKU]],tblProductMaster[SKU],tblProductMaster[Product])</f>
        <v>Body Wash</v>
      </c>
      <c r="I989">
        <v>574</v>
      </c>
      <c r="J989">
        <f>_xlfn.XLOOKUP(G989,[1]!tblProductMaster[SKU],[1]!tblProductMaster[List Price])</f>
        <v>5.49</v>
      </c>
      <c r="K989" t="s">
        <v>86</v>
      </c>
      <c r="L989" s="3">
        <v>0</v>
      </c>
      <c r="M989" s="9">
        <f t="shared" si="75"/>
        <v>5.49</v>
      </c>
      <c r="N989" s="8">
        <f t="shared" si="76"/>
        <v>3151.26</v>
      </c>
      <c r="O989" s="9">
        <f>_xlfn.XLOOKUP(G989,[1]!tblProductMaster[SKU],[1]!tblProductMaster[Unit Cost])</f>
        <v>2.2999999999999998</v>
      </c>
      <c r="P989" s="8">
        <f t="shared" si="77"/>
        <v>1320.1999999999998</v>
      </c>
      <c r="Q989" s="8">
        <f t="shared" si="78"/>
        <v>1831.0600000000004</v>
      </c>
      <c r="R989" s="4">
        <f t="shared" si="79"/>
        <v>0.58105646630236807</v>
      </c>
      <c r="S989" t="s">
        <v>87</v>
      </c>
      <c r="T989">
        <f>Table6[[#This Row],[Discount]]*Table6[[#This Row],[List Price]]*Table6[[#This Row],[Units]]</f>
        <v>0</v>
      </c>
    </row>
    <row r="990" spans="1:20" x14ac:dyDescent="0.2">
      <c r="A990" t="s">
        <v>1083</v>
      </c>
      <c r="B990" s="2">
        <v>46112.529789693785</v>
      </c>
      <c r="C990" t="s">
        <v>93</v>
      </c>
      <c r="D990" t="s">
        <v>85</v>
      </c>
      <c r="E990" t="s">
        <v>8</v>
      </c>
      <c r="F990" t="s">
        <v>15</v>
      </c>
      <c r="G990" t="s">
        <v>14</v>
      </c>
      <c r="H990" t="str">
        <f>_xlfn.XLOOKUP(Table6[[#This Row],[SKU]],tblProductMaster[SKU],tblProductMaster[Product])</f>
        <v>Shampoo 250ml</v>
      </c>
      <c r="I990">
        <v>507</v>
      </c>
      <c r="J990">
        <f>_xlfn.XLOOKUP(G990,[1]!tblProductMaster[SKU],[1]!tblProductMaster[List Price])</f>
        <v>4.99</v>
      </c>
      <c r="K990" t="s">
        <v>86</v>
      </c>
      <c r="L990" s="3">
        <v>0</v>
      </c>
      <c r="M990" s="9">
        <f t="shared" si="75"/>
        <v>4.99</v>
      </c>
      <c r="N990" s="8">
        <f t="shared" si="76"/>
        <v>2529.9300000000003</v>
      </c>
      <c r="O990" s="9">
        <f>_xlfn.XLOOKUP(G990,[1]!tblProductMaster[SKU],[1]!tblProductMaster[Unit Cost])</f>
        <v>2.1</v>
      </c>
      <c r="P990" s="8">
        <f t="shared" si="77"/>
        <v>1064.7</v>
      </c>
      <c r="Q990" s="8">
        <f t="shared" si="78"/>
        <v>1465.2300000000002</v>
      </c>
      <c r="R990" s="4">
        <f t="shared" si="79"/>
        <v>0.57915831663326656</v>
      </c>
      <c r="S990" t="s">
        <v>87</v>
      </c>
      <c r="T990">
        <f>Table6[[#This Row],[Discount]]*Table6[[#This Row],[List Price]]*Table6[[#This Row],[Units]]</f>
        <v>0</v>
      </c>
    </row>
    <row r="991" spans="1:20" x14ac:dyDescent="0.2">
      <c r="A991" t="s">
        <v>1084</v>
      </c>
      <c r="B991" s="2">
        <v>46254.144014497804</v>
      </c>
      <c r="C991" t="s">
        <v>84</v>
      </c>
      <c r="D991" t="s">
        <v>96</v>
      </c>
      <c r="E991" t="s">
        <v>25</v>
      </c>
      <c r="F991" t="s">
        <v>15</v>
      </c>
      <c r="G991" t="s">
        <v>29</v>
      </c>
      <c r="H991" t="str">
        <f>_xlfn.XLOOKUP(Table6[[#This Row],[SKU]],tblProductMaster[SKU],tblProductMaster[Product])</f>
        <v>Shower Gel 250ml</v>
      </c>
      <c r="I991">
        <v>629</v>
      </c>
      <c r="J991">
        <f>_xlfn.XLOOKUP(G991,[1]!tblProductMaster[SKU],[1]!tblProductMaster[List Price])</f>
        <v>4.49</v>
      </c>
      <c r="K991" t="s">
        <v>86</v>
      </c>
      <c r="L991" s="3">
        <v>0</v>
      </c>
      <c r="M991" s="9">
        <f t="shared" si="75"/>
        <v>4.49</v>
      </c>
      <c r="N991" s="8">
        <f t="shared" si="76"/>
        <v>2824.21</v>
      </c>
      <c r="O991" s="9">
        <f>_xlfn.XLOOKUP(G991,[1]!tblProductMaster[SKU],[1]!tblProductMaster[Unit Cost])</f>
        <v>1.9</v>
      </c>
      <c r="P991" s="8">
        <f t="shared" si="77"/>
        <v>1195.0999999999999</v>
      </c>
      <c r="Q991" s="8">
        <f t="shared" si="78"/>
        <v>1629.1100000000001</v>
      </c>
      <c r="R991" s="4">
        <f t="shared" si="79"/>
        <v>0.57683741648106912</v>
      </c>
      <c r="S991" t="s">
        <v>87</v>
      </c>
      <c r="T991">
        <f>Table6[[#This Row],[Discount]]*Table6[[#This Row],[List Price]]*Table6[[#This Row],[Units]]</f>
        <v>0</v>
      </c>
    </row>
    <row r="992" spans="1:20" x14ac:dyDescent="0.2">
      <c r="A992" t="s">
        <v>1085</v>
      </c>
      <c r="B992" s="2">
        <v>46129.02355634141</v>
      </c>
      <c r="C992" t="s">
        <v>84</v>
      </c>
      <c r="D992" t="s">
        <v>96</v>
      </c>
      <c r="E992" t="s">
        <v>56</v>
      </c>
      <c r="F992" t="s">
        <v>15</v>
      </c>
      <c r="G992" t="s">
        <v>55</v>
      </c>
      <c r="H992" t="str">
        <f>_xlfn.XLOOKUP(Table6[[#This Row],[SKU]],tblProductMaster[SKU],tblProductMaster[Product])</f>
        <v>Toothpaste 75ml</v>
      </c>
      <c r="I992">
        <v>606</v>
      </c>
      <c r="J992">
        <f>_xlfn.XLOOKUP(G992,[1]!tblProductMaster[SKU],[1]!tblProductMaster[List Price])</f>
        <v>3.49</v>
      </c>
      <c r="K992" t="s">
        <v>89</v>
      </c>
      <c r="L992" s="3">
        <v>0.1</v>
      </c>
      <c r="M992" s="9">
        <f t="shared" si="75"/>
        <v>3.1410000000000005</v>
      </c>
      <c r="N992" s="8">
        <f t="shared" si="76"/>
        <v>1903.4460000000004</v>
      </c>
      <c r="O992" s="9">
        <f>_xlfn.XLOOKUP(G992,[1]!tblProductMaster[SKU],[1]!tblProductMaster[Unit Cost])</f>
        <v>1.2</v>
      </c>
      <c r="P992" s="8">
        <f t="shared" si="77"/>
        <v>727.19999999999993</v>
      </c>
      <c r="Q992" s="8">
        <f t="shared" si="78"/>
        <v>1176.2460000000005</v>
      </c>
      <c r="R992" s="4">
        <f t="shared" si="79"/>
        <v>0.61795606494746913</v>
      </c>
      <c r="S992" t="s">
        <v>90</v>
      </c>
      <c r="T992">
        <f>Table6[[#This Row],[Discount]]*Table6[[#This Row],[List Price]]*Table6[[#This Row],[Units]]</f>
        <v>211.49400000000003</v>
      </c>
    </row>
    <row r="993" spans="1:20" x14ac:dyDescent="0.2">
      <c r="A993" t="s">
        <v>1086</v>
      </c>
      <c r="B993" s="2">
        <v>46382.190264902303</v>
      </c>
      <c r="C993" t="s">
        <v>84</v>
      </c>
      <c r="D993" t="s">
        <v>85</v>
      </c>
      <c r="E993" t="s">
        <v>40</v>
      </c>
      <c r="F993" t="s">
        <v>18</v>
      </c>
      <c r="G993" t="s">
        <v>50</v>
      </c>
      <c r="H993" t="str">
        <f>_xlfn.XLOOKUP(Table6[[#This Row],[SKU]],tblProductMaster[SKU],tblProductMaster[Product])</f>
        <v>Sensitive Detergent</v>
      </c>
      <c r="I993">
        <v>440</v>
      </c>
      <c r="J993">
        <f>_xlfn.XLOOKUP(G993,[1]!tblProductMaster[SKU],[1]!tblProductMaster[List Price])</f>
        <v>8.99</v>
      </c>
      <c r="K993" t="s">
        <v>86</v>
      </c>
      <c r="L993" s="3">
        <v>0</v>
      </c>
      <c r="M993" s="9">
        <f t="shared" si="75"/>
        <v>8.99</v>
      </c>
      <c r="N993" s="8">
        <f t="shared" si="76"/>
        <v>3955.6</v>
      </c>
      <c r="O993" s="9">
        <f>_xlfn.XLOOKUP(G993,[1]!tblProductMaster[SKU],[1]!tblProductMaster[Unit Cost])</f>
        <v>4</v>
      </c>
      <c r="P993" s="8">
        <f t="shared" si="77"/>
        <v>1760</v>
      </c>
      <c r="Q993" s="8">
        <f t="shared" si="78"/>
        <v>2195.6</v>
      </c>
      <c r="R993" s="4">
        <f t="shared" si="79"/>
        <v>0.55506117908787544</v>
      </c>
      <c r="S993" t="s">
        <v>87</v>
      </c>
      <c r="T993">
        <f>Table6[[#This Row],[Discount]]*Table6[[#This Row],[List Price]]*Table6[[#This Row],[Units]]</f>
        <v>0</v>
      </c>
    </row>
    <row r="994" spans="1:20" x14ac:dyDescent="0.2">
      <c r="A994" t="s">
        <v>1087</v>
      </c>
      <c r="B994" s="2">
        <v>46025.159878875529</v>
      </c>
      <c r="C994" t="s">
        <v>98</v>
      </c>
      <c r="D994" t="s">
        <v>96</v>
      </c>
      <c r="E994" t="s">
        <v>25</v>
      </c>
      <c r="F994" t="s">
        <v>7</v>
      </c>
      <c r="G994" t="s">
        <v>31</v>
      </c>
      <c r="H994" t="str">
        <f>_xlfn.XLOOKUP(Table6[[#This Row],[SKU]],tblProductMaster[SKU],tblProductMaster[Product])</f>
        <v>Facial Cleanser</v>
      </c>
      <c r="I994">
        <v>735</v>
      </c>
      <c r="J994">
        <f>_xlfn.XLOOKUP(G994,[1]!tblProductMaster[SKU],[1]!tblProductMaster[List Price])</f>
        <v>8.49</v>
      </c>
      <c r="K994" t="s">
        <v>86</v>
      </c>
      <c r="L994" s="3">
        <v>0</v>
      </c>
      <c r="M994" s="9">
        <f t="shared" si="75"/>
        <v>8.49</v>
      </c>
      <c r="N994" s="8">
        <f t="shared" si="76"/>
        <v>6240.1500000000005</v>
      </c>
      <c r="O994" s="9">
        <f>_xlfn.XLOOKUP(G994,[1]!tblProductMaster[SKU],[1]!tblProductMaster[Unit Cost])</f>
        <v>3.5</v>
      </c>
      <c r="P994" s="8">
        <f t="shared" si="77"/>
        <v>2572.5</v>
      </c>
      <c r="Q994" s="8">
        <f t="shared" si="78"/>
        <v>3667.6500000000005</v>
      </c>
      <c r="R994" s="4">
        <f t="shared" si="79"/>
        <v>0.58775029446407545</v>
      </c>
      <c r="S994" t="s">
        <v>87</v>
      </c>
      <c r="T994">
        <f>Table6[[#This Row],[Discount]]*Table6[[#This Row],[List Price]]*Table6[[#This Row],[Units]]</f>
        <v>0</v>
      </c>
    </row>
    <row r="995" spans="1:20" x14ac:dyDescent="0.2">
      <c r="A995" t="s">
        <v>1088</v>
      </c>
      <c r="B995" s="2">
        <v>46377.643078324341</v>
      </c>
      <c r="C995" t="s">
        <v>93</v>
      </c>
      <c r="D995" t="s">
        <v>104</v>
      </c>
      <c r="E995" t="s">
        <v>56</v>
      </c>
      <c r="F995" t="s">
        <v>15</v>
      </c>
      <c r="G995" t="s">
        <v>55</v>
      </c>
      <c r="H995" t="str">
        <f>_xlfn.XLOOKUP(Table6[[#This Row],[SKU]],tblProductMaster[SKU],tblProductMaster[Product])</f>
        <v>Toothpaste 75ml</v>
      </c>
      <c r="I995">
        <v>727</v>
      </c>
      <c r="J995">
        <f>_xlfn.XLOOKUP(G995,[1]!tblProductMaster[SKU],[1]!tblProductMaster[List Price])</f>
        <v>3.49</v>
      </c>
      <c r="K995" t="s">
        <v>89</v>
      </c>
      <c r="L995" s="3">
        <v>0.3</v>
      </c>
      <c r="M995" s="9">
        <f t="shared" si="75"/>
        <v>2.4430000000000001</v>
      </c>
      <c r="N995" s="8">
        <f t="shared" si="76"/>
        <v>1776.0610000000001</v>
      </c>
      <c r="O995" s="9">
        <f>_xlfn.XLOOKUP(G995,[1]!tblProductMaster[SKU],[1]!tblProductMaster[Unit Cost])</f>
        <v>1.2</v>
      </c>
      <c r="P995" s="8">
        <f t="shared" si="77"/>
        <v>872.4</v>
      </c>
      <c r="Q995" s="8">
        <f t="shared" si="78"/>
        <v>903.66100000000017</v>
      </c>
      <c r="R995" s="4">
        <f t="shared" si="79"/>
        <v>0.50880065493246018</v>
      </c>
      <c r="S995" t="s">
        <v>94</v>
      </c>
      <c r="T995">
        <f>Table6[[#This Row],[Discount]]*Table6[[#This Row],[List Price]]*Table6[[#This Row],[Units]]</f>
        <v>761.16899999999998</v>
      </c>
    </row>
    <row r="996" spans="1:20" x14ac:dyDescent="0.2">
      <c r="A996" t="s">
        <v>1089</v>
      </c>
      <c r="B996" s="2">
        <v>46312.774140222573</v>
      </c>
      <c r="C996" t="s">
        <v>93</v>
      </c>
      <c r="D996" t="s">
        <v>85</v>
      </c>
      <c r="E996" t="s">
        <v>25</v>
      </c>
      <c r="F996" t="s">
        <v>7</v>
      </c>
      <c r="G996" t="s">
        <v>31</v>
      </c>
      <c r="H996" t="str">
        <f>_xlfn.XLOOKUP(Table6[[#This Row],[SKU]],tblProductMaster[SKU],tblProductMaster[Product])</f>
        <v>Facial Cleanser</v>
      </c>
      <c r="I996">
        <v>406</v>
      </c>
      <c r="J996">
        <f>_xlfn.XLOOKUP(G996,[1]!tblProductMaster[SKU],[1]!tblProductMaster[List Price])</f>
        <v>8.49</v>
      </c>
      <c r="K996" t="s">
        <v>89</v>
      </c>
      <c r="L996" s="3">
        <v>0.2</v>
      </c>
      <c r="M996" s="9">
        <f t="shared" si="75"/>
        <v>6.7920000000000007</v>
      </c>
      <c r="N996" s="8">
        <f t="shared" si="76"/>
        <v>2757.5520000000001</v>
      </c>
      <c r="O996" s="9">
        <f>_xlfn.XLOOKUP(G996,[1]!tblProductMaster[SKU],[1]!tblProductMaster[Unit Cost])</f>
        <v>3.5</v>
      </c>
      <c r="P996" s="8">
        <f t="shared" si="77"/>
        <v>1421</v>
      </c>
      <c r="Q996" s="8">
        <f t="shared" si="78"/>
        <v>1336.5520000000001</v>
      </c>
      <c r="R996" s="4">
        <f t="shared" si="79"/>
        <v>0.48468786808009423</v>
      </c>
      <c r="S996" t="s">
        <v>90</v>
      </c>
      <c r="T996">
        <f>Table6[[#This Row],[Discount]]*Table6[[#This Row],[List Price]]*Table6[[#This Row],[Units]]</f>
        <v>689.38800000000003</v>
      </c>
    </row>
    <row r="997" spans="1:20" x14ac:dyDescent="0.2">
      <c r="A997" t="s">
        <v>1090</v>
      </c>
      <c r="B997" s="2">
        <v>46379.267919843885</v>
      </c>
      <c r="C997" t="s">
        <v>98</v>
      </c>
      <c r="D997" t="s">
        <v>96</v>
      </c>
      <c r="E997" t="s">
        <v>25</v>
      </c>
      <c r="F997" t="s">
        <v>15</v>
      </c>
      <c r="G997" t="s">
        <v>35</v>
      </c>
      <c r="H997" t="str">
        <f>_xlfn.XLOOKUP(Table6[[#This Row],[SKU]],tblProductMaster[SKU],tblProductMaster[Product])</f>
        <v>Hand Cream</v>
      </c>
      <c r="I997">
        <v>781</v>
      </c>
      <c r="J997">
        <f>_xlfn.XLOOKUP(G997,[1]!tblProductMaster[SKU],[1]!tblProductMaster[List Price])</f>
        <v>4.99</v>
      </c>
      <c r="K997" t="s">
        <v>86</v>
      </c>
      <c r="L997" s="3">
        <v>0</v>
      </c>
      <c r="M997" s="9">
        <f t="shared" si="75"/>
        <v>4.99</v>
      </c>
      <c r="N997" s="8">
        <f t="shared" si="76"/>
        <v>3897.19</v>
      </c>
      <c r="O997" s="9">
        <f>_xlfn.XLOOKUP(G997,[1]!tblProductMaster[SKU],[1]!tblProductMaster[Unit Cost])</f>
        <v>2.1</v>
      </c>
      <c r="P997" s="8">
        <f t="shared" si="77"/>
        <v>1640.1000000000001</v>
      </c>
      <c r="Q997" s="8">
        <f t="shared" si="78"/>
        <v>2257.09</v>
      </c>
      <c r="R997" s="4">
        <f t="shared" si="79"/>
        <v>0.57915831663326656</v>
      </c>
      <c r="S997" t="s">
        <v>87</v>
      </c>
      <c r="T997">
        <f>Table6[[#This Row],[Discount]]*Table6[[#This Row],[List Price]]*Table6[[#This Row],[Units]]</f>
        <v>0</v>
      </c>
    </row>
    <row r="998" spans="1:20" x14ac:dyDescent="0.2">
      <c r="A998" t="s">
        <v>1091</v>
      </c>
      <c r="B998" s="2">
        <v>46125.203649868025</v>
      </c>
      <c r="C998" t="s">
        <v>98</v>
      </c>
      <c r="D998" t="s">
        <v>96</v>
      </c>
      <c r="E998" t="s">
        <v>25</v>
      </c>
      <c r="F998" t="s">
        <v>7</v>
      </c>
      <c r="G998" t="s">
        <v>31</v>
      </c>
      <c r="H998" t="str">
        <f>_xlfn.XLOOKUP(Table6[[#This Row],[SKU]],tblProductMaster[SKU],tblProductMaster[Product])</f>
        <v>Facial Cleanser</v>
      </c>
      <c r="I998">
        <v>342</v>
      </c>
      <c r="J998">
        <f>_xlfn.XLOOKUP(G998,[1]!tblProductMaster[SKU],[1]!tblProductMaster[List Price])</f>
        <v>8.49</v>
      </c>
      <c r="K998" t="s">
        <v>86</v>
      </c>
      <c r="L998" s="3">
        <v>0</v>
      </c>
      <c r="M998" s="9">
        <f t="shared" si="75"/>
        <v>8.49</v>
      </c>
      <c r="N998" s="8">
        <f t="shared" si="76"/>
        <v>2903.58</v>
      </c>
      <c r="O998" s="9">
        <f>_xlfn.XLOOKUP(G998,[1]!tblProductMaster[SKU],[1]!tblProductMaster[Unit Cost])</f>
        <v>3.5</v>
      </c>
      <c r="P998" s="8">
        <f t="shared" si="77"/>
        <v>1197</v>
      </c>
      <c r="Q998" s="8">
        <f t="shared" si="78"/>
        <v>1706.58</v>
      </c>
      <c r="R998" s="4">
        <f t="shared" si="79"/>
        <v>0.58775029446407534</v>
      </c>
      <c r="S998" t="s">
        <v>87</v>
      </c>
      <c r="T998">
        <f>Table6[[#This Row],[Discount]]*Table6[[#This Row],[List Price]]*Table6[[#This Row],[Units]]</f>
        <v>0</v>
      </c>
    </row>
    <row r="999" spans="1:20" x14ac:dyDescent="0.2">
      <c r="A999" t="s">
        <v>1092</v>
      </c>
      <c r="B999" s="2">
        <v>46245.343219931368</v>
      </c>
      <c r="C999" t="s">
        <v>84</v>
      </c>
      <c r="D999" t="s">
        <v>104</v>
      </c>
      <c r="E999" t="s">
        <v>8</v>
      </c>
      <c r="F999" t="s">
        <v>15</v>
      </c>
      <c r="G999" t="s">
        <v>22</v>
      </c>
      <c r="H999" t="str">
        <f>_xlfn.XLOOKUP(Table6[[#This Row],[SKU]],tblProductMaster[SKU],tblProductMaster[Product])</f>
        <v>Styling Gel</v>
      </c>
      <c r="I999">
        <v>767</v>
      </c>
      <c r="J999">
        <f>_xlfn.XLOOKUP(G999,[1]!tblProductMaster[SKU],[1]!tblProductMaster[List Price])</f>
        <v>4.49</v>
      </c>
      <c r="K999" t="s">
        <v>86</v>
      </c>
      <c r="L999" s="3">
        <v>0</v>
      </c>
      <c r="M999" s="9">
        <f t="shared" si="75"/>
        <v>4.49</v>
      </c>
      <c r="N999" s="8">
        <f t="shared" si="76"/>
        <v>3443.8300000000004</v>
      </c>
      <c r="O999" s="9">
        <f>_xlfn.XLOOKUP(G999,[1]!tblProductMaster[SKU],[1]!tblProductMaster[Unit Cost])</f>
        <v>1.9</v>
      </c>
      <c r="P999" s="8">
        <f t="shared" si="77"/>
        <v>1457.3</v>
      </c>
      <c r="Q999" s="8">
        <f t="shared" si="78"/>
        <v>1986.5300000000004</v>
      </c>
      <c r="R999" s="4">
        <f t="shared" si="79"/>
        <v>0.57683741648106912</v>
      </c>
      <c r="S999" t="s">
        <v>87</v>
      </c>
      <c r="T999">
        <f>Table6[[#This Row],[Discount]]*Table6[[#This Row],[List Price]]*Table6[[#This Row],[Units]]</f>
        <v>0</v>
      </c>
    </row>
    <row r="1000" spans="1:20" x14ac:dyDescent="0.2">
      <c r="A1000" t="s">
        <v>1093</v>
      </c>
      <c r="B1000" s="2">
        <v>46283.794717501609</v>
      </c>
      <c r="C1000" t="s">
        <v>84</v>
      </c>
      <c r="D1000" t="s">
        <v>104</v>
      </c>
      <c r="E1000" t="s">
        <v>8</v>
      </c>
      <c r="F1000" t="s">
        <v>15</v>
      </c>
      <c r="G1000" t="s">
        <v>14</v>
      </c>
      <c r="H1000" t="str">
        <f>_xlfn.XLOOKUP(Table6[[#This Row],[SKU]],tblProductMaster[SKU],tblProductMaster[Product])</f>
        <v>Shampoo 250ml</v>
      </c>
      <c r="I1000">
        <v>258</v>
      </c>
      <c r="J1000">
        <f>_xlfn.XLOOKUP(G1000,[1]!tblProductMaster[SKU],[1]!tblProductMaster[List Price])</f>
        <v>4.99</v>
      </c>
      <c r="K1000" t="s">
        <v>86</v>
      </c>
      <c r="L1000" s="3">
        <v>0</v>
      </c>
      <c r="M1000" s="9">
        <f t="shared" si="75"/>
        <v>4.99</v>
      </c>
      <c r="N1000" s="8">
        <f t="shared" si="76"/>
        <v>1287.42</v>
      </c>
      <c r="O1000" s="9">
        <f>_xlfn.XLOOKUP(G1000,[1]!tblProductMaster[SKU],[1]!tblProductMaster[Unit Cost])</f>
        <v>2.1</v>
      </c>
      <c r="P1000" s="8">
        <f t="shared" si="77"/>
        <v>541.80000000000007</v>
      </c>
      <c r="Q1000" s="8">
        <f t="shared" si="78"/>
        <v>745.62</v>
      </c>
      <c r="R1000" s="4">
        <f t="shared" si="79"/>
        <v>0.57915831663326656</v>
      </c>
      <c r="S1000" t="s">
        <v>87</v>
      </c>
      <c r="T1000">
        <f>Table6[[#This Row],[Discount]]*Table6[[#This Row],[List Price]]*Table6[[#This Row],[Units]]</f>
        <v>0</v>
      </c>
    </row>
    <row r="1001" spans="1:20" x14ac:dyDescent="0.2">
      <c r="A1001" t="s">
        <v>1094</v>
      </c>
      <c r="B1001" s="2">
        <v>46251.278087683102</v>
      </c>
      <c r="C1001" t="s">
        <v>98</v>
      </c>
      <c r="D1001" t="s">
        <v>104</v>
      </c>
      <c r="E1001" t="s">
        <v>8</v>
      </c>
      <c r="F1001" t="s">
        <v>7</v>
      </c>
      <c r="G1001" t="s">
        <v>6</v>
      </c>
      <c r="H1001" t="str">
        <f>_xlfn.XLOOKUP(Table6[[#This Row],[SKU]],tblProductMaster[SKU],tblProductMaster[Product])</f>
        <v>Shampoo 250ml</v>
      </c>
      <c r="I1001">
        <v>522</v>
      </c>
      <c r="J1001">
        <f>_xlfn.XLOOKUP(G1001,[1]!tblProductMaster[SKU],[1]!tblProductMaster[List Price])</f>
        <v>5.99</v>
      </c>
      <c r="K1001" t="s">
        <v>86</v>
      </c>
      <c r="L1001" s="3">
        <v>0</v>
      </c>
      <c r="M1001" s="9">
        <f t="shared" si="75"/>
        <v>5.99</v>
      </c>
      <c r="N1001" s="8">
        <f t="shared" si="76"/>
        <v>3126.78</v>
      </c>
      <c r="O1001" s="9">
        <f>_xlfn.XLOOKUP(G1001,[1]!tblProductMaster[SKU],[1]!tblProductMaster[Unit Cost])</f>
        <v>2.4</v>
      </c>
      <c r="P1001" s="8">
        <f t="shared" si="77"/>
        <v>1252.8</v>
      </c>
      <c r="Q1001" s="8">
        <f t="shared" si="78"/>
        <v>1873.9800000000002</v>
      </c>
      <c r="R1001" s="4">
        <f t="shared" si="79"/>
        <v>0.59933222036727885</v>
      </c>
      <c r="S1001" t="s">
        <v>87</v>
      </c>
      <c r="T1001">
        <f>Table6[[#This Row],[Discount]]*Table6[[#This Row],[List Price]]*Table6[[#This Row],[Units]]</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D9CE-D30D-9E48-8E70-08D07A16B9F2}">
  <dimension ref="A1:I31"/>
  <sheetViews>
    <sheetView showGridLines="0" zoomScale="88" workbookViewId="0">
      <pane ySplit="3" topLeftCell="A4" activePane="bottomLeft" state="frozen"/>
      <selection pane="bottomLeft" activeCell="A4" sqref="A4"/>
    </sheetView>
  </sheetViews>
  <sheetFormatPr baseColWidth="10" defaultRowHeight="16" x14ac:dyDescent="0.2"/>
  <cols>
    <col min="1" max="1" width="13.83203125" bestFit="1" customWidth="1"/>
    <col min="2" max="2" width="15.5" bestFit="1" customWidth="1"/>
    <col min="3" max="3" width="18.6640625" bestFit="1" customWidth="1"/>
    <col min="4" max="4" width="14.5" bestFit="1" customWidth="1"/>
    <col min="5" max="6" width="12.5" bestFit="1" customWidth="1"/>
    <col min="8" max="8" width="13" bestFit="1" customWidth="1"/>
    <col min="9" max="9" width="14.1640625" bestFit="1" customWidth="1"/>
  </cols>
  <sheetData>
    <row r="1" spans="1:9" x14ac:dyDescent="0.2">
      <c r="A1" s="16"/>
      <c r="B1" s="16"/>
      <c r="C1" s="16"/>
      <c r="D1" s="16"/>
      <c r="E1" s="16"/>
      <c r="F1" s="16"/>
      <c r="G1" s="16"/>
    </row>
    <row r="2" spans="1:9" ht="27" x14ac:dyDescent="0.35">
      <c r="A2" s="17" t="s">
        <v>1127</v>
      </c>
      <c r="B2" s="16"/>
      <c r="C2" s="16"/>
      <c r="D2" s="16"/>
      <c r="E2" s="16"/>
      <c r="F2" s="16"/>
      <c r="G2" s="16"/>
    </row>
    <row r="3" spans="1:9" x14ac:dyDescent="0.2">
      <c r="A3" s="16"/>
      <c r="B3" s="16"/>
      <c r="C3" s="16"/>
      <c r="D3" s="16"/>
      <c r="E3" s="16"/>
      <c r="F3" s="16"/>
      <c r="G3" s="16"/>
    </row>
    <row r="5" spans="1:9" x14ac:dyDescent="0.2">
      <c r="A5" s="20" t="s">
        <v>1130</v>
      </c>
      <c r="B5" s="20"/>
      <c r="C5" s="20"/>
      <c r="D5" s="20"/>
      <c r="E5" s="20"/>
    </row>
    <row r="6" spans="1:9" x14ac:dyDescent="0.2">
      <c r="A6" t="s">
        <v>1132</v>
      </c>
      <c r="B6" t="s">
        <v>1133</v>
      </c>
      <c r="C6" t="s">
        <v>1131</v>
      </c>
      <c r="D6" t="s">
        <v>1134</v>
      </c>
    </row>
    <row r="7" spans="1:9" x14ac:dyDescent="0.2">
      <c r="A7" s="8">
        <v>3651163.0659999973</v>
      </c>
      <c r="B7" s="8">
        <v>2021491.7660000003</v>
      </c>
      <c r="C7" s="7">
        <v>0.55365693875037725</v>
      </c>
      <c r="D7" s="8">
        <v>589505</v>
      </c>
    </row>
    <row r="9" spans="1:9" x14ac:dyDescent="0.2">
      <c r="A9" s="12" t="s">
        <v>1126</v>
      </c>
      <c r="B9" s="12"/>
      <c r="C9" s="12"/>
      <c r="D9" s="12"/>
      <c r="E9" s="12"/>
    </row>
    <row r="10" spans="1:9" x14ac:dyDescent="0.2">
      <c r="A10" s="5" t="s">
        <v>1096</v>
      </c>
      <c r="B10" t="s">
        <v>1098</v>
      </c>
      <c r="C10" t="s">
        <v>1099</v>
      </c>
      <c r="D10" t="s">
        <v>1131</v>
      </c>
      <c r="E10" t="s">
        <v>1100</v>
      </c>
      <c r="H10" s="5" t="s">
        <v>1096</v>
      </c>
      <c r="I10" t="s">
        <v>1098</v>
      </c>
    </row>
    <row r="11" spans="1:9" x14ac:dyDescent="0.2">
      <c r="A11" s="6" t="s">
        <v>8</v>
      </c>
      <c r="B11" s="8">
        <v>813382.74400000006</v>
      </c>
      <c r="C11" s="8">
        <v>449628.74400000012</v>
      </c>
      <c r="D11" s="7">
        <v>0.55278864386628801</v>
      </c>
      <c r="E11" s="8">
        <v>142779</v>
      </c>
      <c r="H11" s="6" t="s">
        <v>1101</v>
      </c>
      <c r="I11" s="9">
        <v>385294.00999999983</v>
      </c>
    </row>
    <row r="12" spans="1:9" x14ac:dyDescent="0.2">
      <c r="A12" s="6" t="s">
        <v>40</v>
      </c>
      <c r="B12" s="8">
        <v>1175365.9700000007</v>
      </c>
      <c r="C12" s="8">
        <v>624018.86999999976</v>
      </c>
      <c r="D12" s="7">
        <v>0.53091452868930633</v>
      </c>
      <c r="E12" s="8">
        <v>150258</v>
      </c>
      <c r="H12" s="6" t="s">
        <v>1102</v>
      </c>
      <c r="I12" s="9">
        <v>266353.87900000002</v>
      </c>
    </row>
    <row r="13" spans="1:9" x14ac:dyDescent="0.2">
      <c r="A13" s="6" t="s">
        <v>56</v>
      </c>
      <c r="B13" s="8">
        <v>848260.12799999921</v>
      </c>
      <c r="C13" s="8">
        <v>498564.52800000028</v>
      </c>
      <c r="D13" s="7">
        <v>0.58774957297061681</v>
      </c>
      <c r="E13" s="8">
        <v>172050</v>
      </c>
      <c r="H13" s="6" t="s">
        <v>1103</v>
      </c>
      <c r="I13" s="9">
        <v>348427.03400000004</v>
      </c>
    </row>
    <row r="14" spans="1:9" x14ac:dyDescent="0.2">
      <c r="A14" s="6" t="s">
        <v>25</v>
      </c>
      <c r="B14" s="8">
        <v>814154.22400000074</v>
      </c>
      <c r="C14" s="8">
        <v>449279.62400000042</v>
      </c>
      <c r="D14" s="7">
        <v>0.55183601675939964</v>
      </c>
      <c r="E14" s="8">
        <v>124418</v>
      </c>
      <c r="H14" s="6" t="s">
        <v>1104</v>
      </c>
      <c r="I14" s="9">
        <v>298889.80200000003</v>
      </c>
    </row>
    <row r="15" spans="1:9" x14ac:dyDescent="0.2">
      <c r="A15" s="6" t="s">
        <v>1097</v>
      </c>
      <c r="B15" s="8">
        <v>3651163.0660000006</v>
      </c>
      <c r="C15" s="8">
        <v>2021491.7660000003</v>
      </c>
      <c r="D15" s="7">
        <v>0.55365693875037703</v>
      </c>
      <c r="E15" s="8">
        <v>589505</v>
      </c>
      <c r="H15" s="6" t="s">
        <v>1105</v>
      </c>
      <c r="I15" s="9">
        <v>262120.49500000005</v>
      </c>
    </row>
    <row r="16" spans="1:9" x14ac:dyDescent="0.2">
      <c r="H16" s="6" t="s">
        <v>1106</v>
      </c>
      <c r="I16" s="9">
        <v>250963.28499999992</v>
      </c>
    </row>
    <row r="17" spans="1:9" x14ac:dyDescent="0.2">
      <c r="H17" s="6" t="s">
        <v>1107</v>
      </c>
      <c r="I17" s="9">
        <v>354901.09200000006</v>
      </c>
    </row>
    <row r="18" spans="1:9" x14ac:dyDescent="0.2">
      <c r="A18" s="15" t="s">
        <v>1129</v>
      </c>
      <c r="B18" s="12"/>
      <c r="H18" s="6" t="s">
        <v>1108</v>
      </c>
      <c r="I18" s="9">
        <v>307597.7240000001</v>
      </c>
    </row>
    <row r="19" spans="1:9" x14ac:dyDescent="0.2">
      <c r="A19" s="5" t="s">
        <v>1096</v>
      </c>
      <c r="B19" t="s">
        <v>1098</v>
      </c>
      <c r="H19" s="6" t="s">
        <v>1109</v>
      </c>
      <c r="I19" s="9">
        <v>218384.94400000005</v>
      </c>
    </row>
    <row r="20" spans="1:9" x14ac:dyDescent="0.2">
      <c r="A20" s="6" t="s">
        <v>93</v>
      </c>
      <c r="B20" s="8">
        <v>1306305.1760000002</v>
      </c>
      <c r="H20" s="6" t="s">
        <v>1110</v>
      </c>
      <c r="I20" s="9">
        <v>323628.27100000012</v>
      </c>
    </row>
    <row r="21" spans="1:9" x14ac:dyDescent="0.2">
      <c r="A21" s="6" t="s">
        <v>98</v>
      </c>
      <c r="B21" s="8">
        <v>1113290.7120000005</v>
      </c>
      <c r="H21" s="6" t="s">
        <v>1111</v>
      </c>
      <c r="I21" s="9">
        <v>345768.89000000007</v>
      </c>
    </row>
    <row r="22" spans="1:9" x14ac:dyDescent="0.2">
      <c r="A22" s="6" t="s">
        <v>84</v>
      </c>
      <c r="B22" s="8">
        <v>1231567.1780000001</v>
      </c>
      <c r="H22" s="6" t="s">
        <v>1112</v>
      </c>
      <c r="I22" s="9">
        <v>288833.64</v>
      </c>
    </row>
    <row r="23" spans="1:9" x14ac:dyDescent="0.2">
      <c r="A23" s="6" t="s">
        <v>1097</v>
      </c>
      <c r="B23" s="8">
        <v>3651163.0660000006</v>
      </c>
      <c r="H23" s="6" t="s">
        <v>1097</v>
      </c>
      <c r="I23" s="9">
        <v>3651163.0660000006</v>
      </c>
    </row>
    <row r="26" spans="1:9" x14ac:dyDescent="0.2">
      <c r="A26" s="15" t="s">
        <v>1128</v>
      </c>
      <c r="B26" s="12"/>
    </row>
    <row r="27" spans="1:9" x14ac:dyDescent="0.2">
      <c r="A27" s="5" t="s">
        <v>1096</v>
      </c>
      <c r="B27" t="s">
        <v>1098</v>
      </c>
    </row>
    <row r="28" spans="1:9" x14ac:dyDescent="0.2">
      <c r="A28" s="6" t="s">
        <v>96</v>
      </c>
      <c r="B28" s="8">
        <v>1247920.7640000011</v>
      </c>
    </row>
    <row r="29" spans="1:9" x14ac:dyDescent="0.2">
      <c r="A29" s="6" t="s">
        <v>104</v>
      </c>
      <c r="B29" s="8">
        <v>1239942.1189999999</v>
      </c>
    </row>
    <row r="30" spans="1:9" x14ac:dyDescent="0.2">
      <c r="A30" s="6" t="s">
        <v>85</v>
      </c>
      <c r="B30" s="8">
        <v>1163300.1829999997</v>
      </c>
    </row>
    <row r="31" spans="1:9" x14ac:dyDescent="0.2">
      <c r="A31" s="6" t="s">
        <v>1097</v>
      </c>
      <c r="B31" s="8">
        <v>3651163.066000001</v>
      </c>
    </row>
  </sheetData>
  <mergeCells count="1">
    <mergeCell ref="A5:E5"/>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732C-3159-BE4F-9133-4FCA1C118934}">
  <dimension ref="A1:H15"/>
  <sheetViews>
    <sheetView showGridLines="0" zoomScale="102" zoomScaleNormal="100" workbookViewId="0">
      <pane ySplit="3" topLeftCell="A6" activePane="bottomLeft" state="frozen"/>
      <selection pane="bottomLeft" activeCell="B18" sqref="B18"/>
    </sheetView>
  </sheetViews>
  <sheetFormatPr baseColWidth="10" defaultRowHeight="16" x14ac:dyDescent="0.2"/>
  <cols>
    <col min="1" max="1" width="13" bestFit="1" customWidth="1"/>
    <col min="2" max="2" width="14.1640625" bestFit="1" customWidth="1"/>
    <col min="3" max="3" width="17.6640625" bestFit="1" customWidth="1"/>
    <col min="4" max="4" width="16" bestFit="1" customWidth="1"/>
    <col min="5" max="5" width="16.33203125" bestFit="1" customWidth="1"/>
    <col min="6" max="6" width="24" bestFit="1" customWidth="1"/>
    <col min="7" max="7" width="11.5" bestFit="1" customWidth="1"/>
  </cols>
  <sheetData>
    <row r="1" spans="1:8" x14ac:dyDescent="0.2">
      <c r="A1" s="21"/>
      <c r="B1" s="21"/>
      <c r="C1" s="21"/>
      <c r="D1" s="21"/>
      <c r="E1" s="21"/>
      <c r="F1" s="21"/>
      <c r="G1" s="21"/>
      <c r="H1" s="21"/>
    </row>
    <row r="2" spans="1:8" ht="27" x14ac:dyDescent="0.35">
      <c r="A2" s="24" t="s">
        <v>1138</v>
      </c>
      <c r="B2" s="24"/>
      <c r="C2" s="24"/>
      <c r="D2" s="24"/>
      <c r="E2" s="24"/>
      <c r="F2" s="24"/>
      <c r="G2" s="24"/>
      <c r="H2" s="24"/>
    </row>
    <row r="3" spans="1:8" x14ac:dyDescent="0.2">
      <c r="A3" s="21"/>
      <c r="B3" s="21"/>
      <c r="C3" s="21"/>
      <c r="D3" s="21"/>
      <c r="E3" s="21"/>
      <c r="F3" s="21"/>
      <c r="G3" s="21"/>
      <c r="H3" s="21"/>
    </row>
    <row r="6" spans="1:8" x14ac:dyDescent="0.2">
      <c r="A6" s="5" t="s">
        <v>1096</v>
      </c>
      <c r="B6" t="s">
        <v>1098</v>
      </c>
      <c r="C6" t="s">
        <v>1099</v>
      </c>
      <c r="D6" t="s">
        <v>1114</v>
      </c>
      <c r="E6" t="s">
        <v>1115</v>
      </c>
      <c r="F6" t="s">
        <v>1116</v>
      </c>
      <c r="G6" t="s">
        <v>1100</v>
      </c>
    </row>
    <row r="7" spans="1:8" x14ac:dyDescent="0.2">
      <c r="A7" s="6" t="s">
        <v>8</v>
      </c>
      <c r="B7" s="9">
        <v>813382.74400000006</v>
      </c>
      <c r="C7" s="9">
        <v>449628.74400000012</v>
      </c>
      <c r="D7" s="7">
        <v>0.22277360098602617</v>
      </c>
      <c r="E7" s="7">
        <v>0.22242422727731262</v>
      </c>
      <c r="F7" s="7">
        <v>0.55278864386628801</v>
      </c>
      <c r="G7">
        <v>142779</v>
      </c>
    </row>
    <row r="8" spans="1:8" x14ac:dyDescent="0.2">
      <c r="A8" s="6" t="s">
        <v>40</v>
      </c>
      <c r="B8" s="9">
        <v>1175365.9700000007</v>
      </c>
      <c r="C8" s="9">
        <v>624018.86999999976</v>
      </c>
      <c r="D8" s="7">
        <v>0.32191549617302151</v>
      </c>
      <c r="E8" s="7">
        <v>0.30869226404753985</v>
      </c>
      <c r="F8" s="7">
        <v>0.53091452868930633</v>
      </c>
      <c r="G8">
        <v>150258</v>
      </c>
    </row>
    <row r="9" spans="1:8" x14ac:dyDescent="0.2">
      <c r="A9" s="6" t="s">
        <v>56</v>
      </c>
      <c r="B9" s="9">
        <v>848260.12799999921</v>
      </c>
      <c r="C9" s="9">
        <v>498564.52800000028</v>
      </c>
      <c r="D9" s="7">
        <v>0.23232600480079438</v>
      </c>
      <c r="E9" s="7">
        <v>0.24663198553933671</v>
      </c>
      <c r="F9" s="7">
        <v>0.58774957297061681</v>
      </c>
      <c r="G9">
        <v>172050</v>
      </c>
    </row>
    <row r="10" spans="1:8" x14ac:dyDescent="0.2">
      <c r="A10" s="6" t="s">
        <v>25</v>
      </c>
      <c r="B10" s="9">
        <v>814154.22400000074</v>
      </c>
      <c r="C10" s="9">
        <v>449279.62400000042</v>
      </c>
      <c r="D10" s="7">
        <v>0.22298489804015797</v>
      </c>
      <c r="E10" s="7">
        <v>0.22225152313581095</v>
      </c>
      <c r="F10" s="7">
        <v>0.55183601675939964</v>
      </c>
      <c r="G10">
        <v>124418</v>
      </c>
    </row>
    <row r="11" spans="1:8" x14ac:dyDescent="0.2">
      <c r="A11" s="6" t="s">
        <v>1097</v>
      </c>
      <c r="B11" s="9">
        <v>3651163.0660000006</v>
      </c>
      <c r="C11" s="9">
        <v>2021491.7660000003</v>
      </c>
      <c r="D11" s="7">
        <v>1</v>
      </c>
      <c r="E11" s="7">
        <v>1</v>
      </c>
      <c r="F11" s="7">
        <v>0.55365693875037703</v>
      </c>
      <c r="G11">
        <v>589505</v>
      </c>
    </row>
    <row r="13" spans="1:8" x14ac:dyDescent="0.2">
      <c r="A13" s="15" t="s">
        <v>1118</v>
      </c>
      <c r="B13" s="12"/>
      <c r="C13" s="12"/>
      <c r="D13" s="12"/>
      <c r="E13" s="12"/>
      <c r="F13" s="12"/>
      <c r="G13" s="19"/>
    </row>
    <row r="14" spans="1:8" x14ac:dyDescent="0.2">
      <c r="A14" t="s">
        <v>1162</v>
      </c>
    </row>
    <row r="15" spans="1:8" x14ac:dyDescent="0.2">
      <c r="A15" s="6" t="s">
        <v>1144</v>
      </c>
    </row>
  </sheetData>
  <mergeCells count="3">
    <mergeCell ref="A1:H1"/>
    <mergeCell ref="A2:H2"/>
    <mergeCell ref="A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E5F8-A5EA-7446-BEAE-683D4E5E395E}">
  <dimension ref="A1:Z45"/>
  <sheetViews>
    <sheetView showGridLines="0" topLeftCell="A2" zoomScale="81" workbookViewId="0">
      <pane ySplit="2" topLeftCell="A30" activePane="bottomLeft" state="frozen"/>
      <selection activeCell="A2" sqref="A2"/>
      <selection pane="bottomLeft" activeCell="Q15" sqref="Q15"/>
    </sheetView>
  </sheetViews>
  <sheetFormatPr baseColWidth="10" defaultRowHeight="16" x14ac:dyDescent="0.2"/>
  <cols>
    <col min="1" max="1" width="20" bestFit="1" customWidth="1"/>
    <col min="2" max="2" width="17.1640625" customWidth="1"/>
    <col min="3" max="3" width="21" customWidth="1"/>
    <col min="4" max="4" width="11.5" bestFit="1" customWidth="1"/>
    <col min="5" max="5" width="18.33203125" bestFit="1" customWidth="1"/>
    <col min="6" max="6" width="19" bestFit="1" customWidth="1"/>
    <col min="17" max="17" width="20.6640625" bestFit="1" customWidth="1"/>
    <col min="18" max="18" width="14.83203125" bestFit="1" customWidth="1"/>
    <col min="19" max="19" width="18.83203125" bestFit="1" customWidth="1"/>
  </cols>
  <sheetData>
    <row r="1" spans="1:26" x14ac:dyDescent="0.2">
      <c r="A1" s="18"/>
      <c r="B1" s="18"/>
      <c r="C1" s="18"/>
      <c r="D1" s="18"/>
      <c r="E1" s="18"/>
      <c r="F1" s="18"/>
      <c r="G1" s="18"/>
      <c r="H1" s="18"/>
    </row>
    <row r="2" spans="1:26" ht="27" x14ac:dyDescent="0.35">
      <c r="A2" s="17" t="s">
        <v>1137</v>
      </c>
      <c r="B2" s="18"/>
      <c r="C2" s="18"/>
      <c r="D2" s="18"/>
      <c r="E2" s="18"/>
      <c r="F2" s="18"/>
      <c r="G2" s="18"/>
      <c r="H2" s="18"/>
    </row>
    <row r="3" spans="1:26" x14ac:dyDescent="0.2">
      <c r="A3" s="18"/>
      <c r="B3" s="18"/>
      <c r="C3" s="18"/>
      <c r="D3" s="18"/>
      <c r="E3" s="18"/>
      <c r="F3" s="18"/>
      <c r="G3" s="18"/>
      <c r="H3" s="18"/>
    </row>
    <row r="4" spans="1:26" x14ac:dyDescent="0.2">
      <c r="X4" s="6"/>
      <c r="Y4" s="8"/>
      <c r="Z4" s="7"/>
    </row>
    <row r="5" spans="1:26" x14ac:dyDescent="0.2">
      <c r="X5" s="6"/>
      <c r="Y5" s="8"/>
      <c r="Z5" s="7"/>
    </row>
    <row r="6" spans="1:26" x14ac:dyDescent="0.2">
      <c r="A6" t="s">
        <v>1145</v>
      </c>
      <c r="B6" t="s">
        <v>78</v>
      </c>
      <c r="C6" t="s">
        <v>1131</v>
      </c>
      <c r="X6" s="6"/>
      <c r="Y6" s="8"/>
      <c r="Z6" s="7"/>
    </row>
    <row r="7" spans="1:26" x14ac:dyDescent="0.2">
      <c r="A7" s="6" t="s">
        <v>57</v>
      </c>
      <c r="B7" s="8">
        <v>86821.078999999983</v>
      </c>
      <c r="C7" s="7">
        <v>0.62525690333795558</v>
      </c>
      <c r="X7" s="6"/>
      <c r="Y7" s="8"/>
      <c r="Z7" s="7"/>
    </row>
    <row r="8" spans="1:26" x14ac:dyDescent="0.2">
      <c r="A8" s="6" t="s">
        <v>69</v>
      </c>
      <c r="B8" s="8">
        <v>82327.314999999988</v>
      </c>
      <c r="C8" s="7">
        <v>0.62244973008047211</v>
      </c>
      <c r="X8" s="6"/>
      <c r="Y8" s="8"/>
      <c r="Z8" s="7"/>
    </row>
    <row r="9" spans="1:26" x14ac:dyDescent="0.2">
      <c r="A9" s="6" t="s">
        <v>59</v>
      </c>
      <c r="B9" s="8">
        <v>85405.347000000038</v>
      </c>
      <c r="C9" s="7">
        <v>0.61249732993883854</v>
      </c>
      <c r="X9" s="6"/>
      <c r="Y9" s="8"/>
      <c r="Z9" s="7"/>
    </row>
    <row r="10" spans="1:26" x14ac:dyDescent="0.2">
      <c r="A10" s="6" t="s">
        <v>61</v>
      </c>
      <c r="B10" s="8">
        <v>102306.89500000002</v>
      </c>
      <c r="C10" s="7">
        <v>0.58827212965460418</v>
      </c>
      <c r="X10" s="6"/>
      <c r="Y10" s="8"/>
      <c r="Z10" s="7"/>
    </row>
    <row r="11" spans="1:26" x14ac:dyDescent="0.2">
      <c r="A11" s="6" t="s">
        <v>65</v>
      </c>
      <c r="B11" s="8">
        <v>67480.875000000015</v>
      </c>
      <c r="C11" s="7">
        <v>0.58412661365164564</v>
      </c>
      <c r="X11" s="6"/>
      <c r="Y11" s="8"/>
      <c r="Z11" s="7"/>
    </row>
    <row r="12" spans="1:26" x14ac:dyDescent="0.2">
      <c r="A12" s="6" t="s">
        <v>26</v>
      </c>
      <c r="B12" s="8">
        <v>118979.09</v>
      </c>
      <c r="C12" s="7">
        <v>0.57829985083933655</v>
      </c>
      <c r="X12" s="6"/>
      <c r="Y12" s="8"/>
      <c r="Z12" s="7"/>
    </row>
    <row r="13" spans="1:26" x14ac:dyDescent="0.2">
      <c r="A13" s="6" t="s">
        <v>21</v>
      </c>
      <c r="B13" s="8">
        <v>161024.51400000002</v>
      </c>
      <c r="C13" s="7">
        <v>0.57299669291347788</v>
      </c>
      <c r="X13" s="6"/>
      <c r="Y13" s="8"/>
      <c r="Z13" s="7"/>
    </row>
    <row r="14" spans="1:26" x14ac:dyDescent="0.2">
      <c r="A14" s="6" t="s">
        <v>67</v>
      </c>
      <c r="B14" s="8">
        <v>221678.24699999997</v>
      </c>
      <c r="C14" s="7">
        <v>0.57056499097992242</v>
      </c>
      <c r="X14" s="6"/>
      <c r="Y14" s="8"/>
      <c r="Z14" s="7"/>
    </row>
    <row r="15" spans="1:26" x14ac:dyDescent="0.2">
      <c r="A15" s="6" t="s">
        <v>11</v>
      </c>
      <c r="B15" s="8">
        <v>121604.13400000001</v>
      </c>
      <c r="C15" s="7">
        <v>0.57011658830611811</v>
      </c>
      <c r="X15" s="6"/>
      <c r="Y15" s="8"/>
      <c r="Z15" s="7"/>
    </row>
    <row r="16" spans="1:26" x14ac:dyDescent="0.2">
      <c r="A16" s="6" t="s">
        <v>63</v>
      </c>
      <c r="B16" s="8">
        <v>202240.37</v>
      </c>
      <c r="C16" s="7">
        <v>0.56685205827105611</v>
      </c>
      <c r="X16" s="6"/>
      <c r="Y16" s="8"/>
      <c r="Z16" s="7"/>
    </row>
    <row r="17" spans="1:26" x14ac:dyDescent="0.2">
      <c r="A17" s="6" t="s">
        <v>34</v>
      </c>
      <c r="B17" s="8">
        <v>100553.00499999999</v>
      </c>
      <c r="C17" s="7">
        <v>0.56348196655087546</v>
      </c>
      <c r="X17" s="6"/>
      <c r="Y17" s="8"/>
      <c r="Z17" s="7"/>
    </row>
    <row r="18" spans="1:26" x14ac:dyDescent="0.2">
      <c r="A18" s="6" t="s">
        <v>9</v>
      </c>
      <c r="B18" s="8">
        <v>188130.63</v>
      </c>
      <c r="C18" s="7">
        <v>0.55547270532182891</v>
      </c>
      <c r="X18" s="6"/>
      <c r="Y18" s="8"/>
      <c r="Z18" s="7"/>
    </row>
    <row r="19" spans="1:26" x14ac:dyDescent="0.2">
      <c r="A19" s="6" t="s">
        <v>36</v>
      </c>
      <c r="B19" s="8">
        <v>121421.67000000003</v>
      </c>
      <c r="C19" s="7">
        <v>0.55288705879271793</v>
      </c>
      <c r="X19" s="6"/>
      <c r="Y19" s="8"/>
      <c r="Z19" s="7"/>
    </row>
    <row r="20" spans="1:26" x14ac:dyDescent="0.2">
      <c r="A20" s="6" t="s">
        <v>32</v>
      </c>
      <c r="B20" s="8">
        <v>93212.559000000008</v>
      </c>
      <c r="C20" s="7">
        <v>0.55035565540047027</v>
      </c>
      <c r="X20" s="6"/>
      <c r="Y20" s="8"/>
      <c r="Z20" s="7"/>
    </row>
    <row r="21" spans="1:26" x14ac:dyDescent="0.2">
      <c r="A21" s="6" t="s">
        <v>28</v>
      </c>
      <c r="B21" s="8">
        <v>203030.766</v>
      </c>
      <c r="C21" s="7">
        <v>0.54485518711976899</v>
      </c>
      <c r="X21" s="6"/>
      <c r="Y21" s="8"/>
      <c r="Z21" s="7"/>
    </row>
    <row r="22" spans="1:26" x14ac:dyDescent="0.2">
      <c r="A22" s="6" t="s">
        <v>13</v>
      </c>
      <c r="B22" s="8">
        <v>118709.22499999999</v>
      </c>
      <c r="C22" s="7">
        <v>0.54155542671599455</v>
      </c>
      <c r="X22" s="6"/>
      <c r="Y22" s="8"/>
      <c r="Z22" s="7"/>
    </row>
    <row r="23" spans="1:26" x14ac:dyDescent="0.2">
      <c r="A23" s="6" t="s">
        <v>30</v>
      </c>
      <c r="B23" s="8">
        <v>73801.681000000011</v>
      </c>
      <c r="C23" s="7">
        <v>0.53757421866854205</v>
      </c>
      <c r="X23" s="6"/>
      <c r="Y23" s="8"/>
      <c r="Z23" s="7"/>
    </row>
    <row r="24" spans="1:26" x14ac:dyDescent="0.2">
      <c r="A24" s="6" t="s">
        <v>49</v>
      </c>
      <c r="B24" s="8">
        <v>228865.58499999999</v>
      </c>
      <c r="C24" s="7">
        <v>0.53744028399901189</v>
      </c>
      <c r="X24" s="6"/>
      <c r="Y24" s="8"/>
      <c r="Z24" s="7"/>
    </row>
    <row r="25" spans="1:26" x14ac:dyDescent="0.2">
      <c r="A25" s="6" t="s">
        <v>45</v>
      </c>
      <c r="B25" s="8">
        <v>234694.85399999996</v>
      </c>
      <c r="C25" s="7">
        <v>0.53642145046776368</v>
      </c>
      <c r="X25" s="6"/>
      <c r="Y25" s="8"/>
      <c r="Z25" s="7"/>
    </row>
    <row r="26" spans="1:26" x14ac:dyDescent="0.2">
      <c r="A26" s="6" t="s">
        <v>23</v>
      </c>
      <c r="B26" s="8">
        <v>70802.810000000012</v>
      </c>
      <c r="C26" s="7">
        <v>0.53639693113875009</v>
      </c>
      <c r="X26" s="6"/>
      <c r="Y26" s="8"/>
      <c r="Z26" s="7"/>
    </row>
    <row r="27" spans="1:26" x14ac:dyDescent="0.2">
      <c r="A27" s="6" t="s">
        <v>38</v>
      </c>
      <c r="B27" s="8">
        <v>103155.45299999999</v>
      </c>
      <c r="C27" s="7">
        <v>0.53400427605121381</v>
      </c>
      <c r="X27" s="6"/>
      <c r="Y27" s="8"/>
      <c r="Z27" s="7"/>
    </row>
    <row r="28" spans="1:26" x14ac:dyDescent="0.2">
      <c r="A28" s="6" t="s">
        <v>43</v>
      </c>
      <c r="B28" s="8">
        <v>241135.68600000002</v>
      </c>
      <c r="C28" s="7">
        <v>0.53163796751344383</v>
      </c>
      <c r="X28" s="6"/>
      <c r="Y28" s="8"/>
      <c r="Z28" s="7"/>
    </row>
    <row r="29" spans="1:26" x14ac:dyDescent="0.2">
      <c r="A29" s="6" t="s">
        <v>19</v>
      </c>
      <c r="B29" s="8">
        <v>153111.43099999998</v>
      </c>
      <c r="C29" s="7">
        <v>0.53076527643452054</v>
      </c>
      <c r="X29" s="6"/>
      <c r="Y29" s="8"/>
      <c r="Z29" s="7"/>
    </row>
    <row r="30" spans="1:26" x14ac:dyDescent="0.2">
      <c r="A30" s="6" t="s">
        <v>53</v>
      </c>
      <c r="B30" s="8">
        <v>148050.61499999999</v>
      </c>
      <c r="C30" s="7">
        <v>0.529065110604235</v>
      </c>
    </row>
    <row r="31" spans="1:26" x14ac:dyDescent="0.2">
      <c r="A31" s="6" t="s">
        <v>47</v>
      </c>
      <c r="B31" s="8">
        <v>105948.125</v>
      </c>
      <c r="C31" s="7">
        <v>0.52877882454267133</v>
      </c>
    </row>
    <row r="32" spans="1:26" x14ac:dyDescent="0.2">
      <c r="A32" s="6" t="s">
        <v>41</v>
      </c>
      <c r="B32" s="8">
        <v>111916.02900000001</v>
      </c>
      <c r="C32" s="7">
        <v>0.52016167407083391</v>
      </c>
    </row>
    <row r="33" spans="1:6" x14ac:dyDescent="0.2">
      <c r="A33" s="6" t="s">
        <v>51</v>
      </c>
      <c r="B33" s="8">
        <v>104755.07599999999</v>
      </c>
      <c r="C33" s="7">
        <v>0.5189159139171452</v>
      </c>
    </row>
    <row r="34" spans="1:6" x14ac:dyDescent="0.2">
      <c r="B34" s="8"/>
      <c r="C34" s="9"/>
    </row>
    <row r="42" spans="1:6" x14ac:dyDescent="0.2">
      <c r="A42" s="12" t="s">
        <v>1118</v>
      </c>
      <c r="B42" s="12"/>
      <c r="C42" s="12"/>
      <c r="D42" s="12"/>
      <c r="E42" s="12"/>
      <c r="F42" s="12"/>
    </row>
    <row r="43" spans="1:6" x14ac:dyDescent="0.2">
      <c r="A43" t="s">
        <v>1146</v>
      </c>
    </row>
    <row r="44" spans="1:6" x14ac:dyDescent="0.2">
      <c r="A44" t="s">
        <v>1147</v>
      </c>
    </row>
    <row r="45" spans="1:6" x14ac:dyDescent="0.2">
      <c r="A45" t="s">
        <v>1148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13C4-1449-544E-B978-AC51B2D08574}">
  <dimension ref="A1:N31"/>
  <sheetViews>
    <sheetView showGridLines="0" zoomScale="87" workbookViewId="0">
      <pane ySplit="3" topLeftCell="A4" activePane="bottomLeft" state="frozen"/>
      <selection pane="bottomLeft" activeCell="A4" sqref="A4"/>
    </sheetView>
  </sheetViews>
  <sheetFormatPr baseColWidth="10" defaultRowHeight="16" x14ac:dyDescent="0.2"/>
  <cols>
    <col min="1" max="1" width="14.1640625" bestFit="1" customWidth="1"/>
    <col min="2" max="2" width="9.5" bestFit="1" customWidth="1"/>
    <col min="3" max="3" width="9.1640625" bestFit="1" customWidth="1"/>
    <col min="4" max="4" width="11.83203125" bestFit="1" customWidth="1"/>
    <col min="5" max="5" width="10.5" bestFit="1" customWidth="1"/>
    <col min="9" max="9" width="18.33203125" bestFit="1" customWidth="1"/>
    <col min="10" max="10" width="9.5" bestFit="1" customWidth="1"/>
    <col min="11" max="11" width="7.1640625" bestFit="1" customWidth="1"/>
    <col min="12" max="12" width="11.83203125" bestFit="1" customWidth="1"/>
    <col min="13" max="13" width="10.5" bestFit="1" customWidth="1"/>
    <col min="16" max="16" width="18.33203125" bestFit="1" customWidth="1"/>
    <col min="17" max="17" width="16" bestFit="1" customWidth="1"/>
    <col min="18" max="18" width="7.1640625" bestFit="1" customWidth="1"/>
    <col min="19" max="19" width="11.83203125" bestFit="1" customWidth="1"/>
    <col min="20" max="20" width="10.5" bestFit="1" customWidth="1"/>
    <col min="21" max="21" width="18.33203125" bestFit="1" customWidth="1"/>
    <col min="22" max="22" width="21.6640625" bestFit="1" customWidth="1"/>
    <col min="23" max="23" width="22.83203125" bestFit="1" customWidth="1"/>
    <col min="24" max="24" width="26" bestFit="1" customWidth="1"/>
  </cols>
  <sheetData>
    <row r="1" spans="1:14" x14ac:dyDescent="0.2">
      <c r="A1" s="10"/>
      <c r="B1" s="10"/>
      <c r="C1" s="10"/>
      <c r="D1" s="10"/>
      <c r="E1" s="10"/>
      <c r="F1" s="10"/>
      <c r="G1" s="10"/>
      <c r="H1" s="10"/>
      <c r="I1" s="10"/>
      <c r="J1" s="10"/>
      <c r="K1" s="10"/>
      <c r="L1" s="10"/>
      <c r="M1" s="10"/>
      <c r="N1" s="10"/>
    </row>
    <row r="2" spans="1:14" ht="27" x14ac:dyDescent="0.35">
      <c r="A2" s="17" t="s">
        <v>1136</v>
      </c>
      <c r="B2" s="10"/>
      <c r="C2" s="10"/>
      <c r="D2" s="10"/>
      <c r="E2" s="10"/>
      <c r="F2" s="10"/>
      <c r="G2" s="10"/>
      <c r="H2" s="10"/>
      <c r="I2" s="10"/>
      <c r="J2" s="10"/>
      <c r="K2" s="10"/>
      <c r="L2" s="10"/>
      <c r="M2" s="10"/>
      <c r="N2" s="10"/>
    </row>
    <row r="3" spans="1:14" x14ac:dyDescent="0.2">
      <c r="A3" s="10"/>
      <c r="B3" s="10"/>
      <c r="C3" s="10"/>
      <c r="D3" s="10"/>
      <c r="E3" s="10"/>
      <c r="F3" s="10"/>
      <c r="G3" s="10"/>
      <c r="H3" s="10"/>
      <c r="I3" s="10"/>
      <c r="J3" s="10"/>
      <c r="K3" s="10"/>
      <c r="L3" s="10"/>
      <c r="M3" s="10"/>
      <c r="N3" s="10"/>
    </row>
    <row r="6" spans="1:14" x14ac:dyDescent="0.2">
      <c r="A6" s="5" t="s">
        <v>1098</v>
      </c>
      <c r="I6" s="5" t="s">
        <v>1131</v>
      </c>
    </row>
    <row r="7" spans="1:14" x14ac:dyDescent="0.2">
      <c r="B7" t="s">
        <v>96</v>
      </c>
      <c r="C7" t="s">
        <v>104</v>
      </c>
      <c r="D7" t="s">
        <v>85</v>
      </c>
      <c r="E7" t="s">
        <v>1097</v>
      </c>
      <c r="J7" t="s">
        <v>96</v>
      </c>
      <c r="K7" t="s">
        <v>104</v>
      </c>
      <c r="L7" t="s">
        <v>85</v>
      </c>
      <c r="M7" t="s">
        <v>1097</v>
      </c>
    </row>
    <row r="8" spans="1:14" x14ac:dyDescent="0.2">
      <c r="A8" s="6" t="s">
        <v>93</v>
      </c>
      <c r="B8" s="8">
        <v>493778.91700000042</v>
      </c>
      <c r="C8" s="8">
        <v>389695.31400000007</v>
      </c>
      <c r="D8" s="8">
        <v>422830.94500000012</v>
      </c>
      <c r="E8" s="8">
        <v>1306305.1760000007</v>
      </c>
      <c r="I8" s="6" t="s">
        <v>93</v>
      </c>
      <c r="J8" s="7">
        <v>0.54063976368598143</v>
      </c>
      <c r="K8" s="7">
        <v>0.56088001612459715</v>
      </c>
      <c r="L8" s="7">
        <v>0.55778331219348187</v>
      </c>
      <c r="M8" s="7">
        <v>0.55222691393515511</v>
      </c>
    </row>
    <row r="9" spans="1:14" x14ac:dyDescent="0.2">
      <c r="A9" s="6" t="s">
        <v>98</v>
      </c>
      <c r="B9" s="8">
        <v>345340.98200000002</v>
      </c>
      <c r="C9" s="8">
        <v>429052.54099999997</v>
      </c>
      <c r="D9" s="8">
        <v>338897.1889999999</v>
      </c>
      <c r="E9" s="8">
        <v>1113290.7119999998</v>
      </c>
      <c r="I9" s="6" t="s">
        <v>98</v>
      </c>
      <c r="J9" s="7">
        <v>0.53961820841755714</v>
      </c>
      <c r="K9" s="7">
        <v>0.55756723976609679</v>
      </c>
      <c r="L9" s="7">
        <v>0.54805083968990997</v>
      </c>
      <c r="M9" s="7">
        <v>0.54910258875850482</v>
      </c>
    </row>
    <row r="10" spans="1:14" x14ac:dyDescent="0.2">
      <c r="A10" s="6" t="s">
        <v>84</v>
      </c>
      <c r="B10" s="8">
        <v>408800.86499999993</v>
      </c>
      <c r="C10" s="8">
        <v>421194.26399999985</v>
      </c>
      <c r="D10" s="8">
        <v>401572.04900000006</v>
      </c>
      <c r="E10" s="8">
        <v>1231567.1779999998</v>
      </c>
      <c r="I10" s="6" t="s">
        <v>84</v>
      </c>
      <c r="J10" s="7">
        <v>0.56172866708586844</v>
      </c>
      <c r="K10" s="7">
        <v>0.56001751248920151</v>
      </c>
      <c r="L10" s="7">
        <v>0.55604654147629684</v>
      </c>
      <c r="M10" s="7">
        <v>0.55929070724228147</v>
      </c>
    </row>
    <row r="11" spans="1:14" x14ac:dyDescent="0.2">
      <c r="A11" s="6" t="s">
        <v>1097</v>
      </c>
      <c r="B11" s="8">
        <v>1247920.7640000004</v>
      </c>
      <c r="C11" s="8">
        <v>1239942.1189999999</v>
      </c>
      <c r="D11" s="8">
        <v>1163300.1830000002</v>
      </c>
      <c r="E11" s="8">
        <v>3651163.0660000001</v>
      </c>
      <c r="I11" s="6" t="s">
        <v>1097</v>
      </c>
      <c r="J11" s="7">
        <v>0.54726548648083828</v>
      </c>
      <c r="K11" s="7">
        <v>0.55944072579729776</v>
      </c>
      <c r="L11" s="7">
        <v>0.55434847550436561</v>
      </c>
      <c r="M11" s="7">
        <v>0.55365693875037658</v>
      </c>
    </row>
    <row r="30" spans="1:12" x14ac:dyDescent="0.2">
      <c r="A30" s="20" t="s">
        <v>1119</v>
      </c>
      <c r="B30" s="20"/>
      <c r="C30" s="20"/>
      <c r="D30" s="20"/>
      <c r="E30" s="20"/>
      <c r="F30" s="20"/>
      <c r="G30" s="20"/>
      <c r="H30" s="20"/>
      <c r="I30" s="20"/>
      <c r="J30" s="20"/>
      <c r="K30" s="20"/>
      <c r="L30" s="20"/>
    </row>
    <row r="31" spans="1:12" x14ac:dyDescent="0.2">
      <c r="A31" t="s">
        <v>1149</v>
      </c>
    </row>
  </sheetData>
  <mergeCells count="1">
    <mergeCell ref="A30:L30"/>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D42D-B0A7-5744-8A15-004EEE4C3EE3}">
  <dimension ref="A1:M39"/>
  <sheetViews>
    <sheetView showGridLines="0" zoomScale="75" workbookViewId="0">
      <pane ySplit="3" topLeftCell="A4" activePane="bottomLeft" state="frozen"/>
      <selection pane="bottomLeft" activeCell="A16" sqref="A16"/>
    </sheetView>
  </sheetViews>
  <sheetFormatPr baseColWidth="10" defaultRowHeight="16" x14ac:dyDescent="0.2"/>
  <cols>
    <col min="1" max="1" width="14.1640625" bestFit="1" customWidth="1"/>
    <col min="2" max="2" width="12.33203125" bestFit="1" customWidth="1"/>
    <col min="3" max="3" width="15.5" bestFit="1" customWidth="1"/>
    <col min="4" max="4" width="18.6640625" bestFit="1" customWidth="1"/>
    <col min="5" max="5" width="14.33203125" bestFit="1" customWidth="1"/>
    <col min="6" max="6" width="12.5" bestFit="1" customWidth="1"/>
    <col min="7" max="7" width="11.1640625" bestFit="1" customWidth="1"/>
    <col min="8" max="8" width="12.5" bestFit="1" customWidth="1"/>
    <col min="9" max="9" width="13.33203125" bestFit="1" customWidth="1"/>
    <col min="10" max="10" width="8.6640625" bestFit="1" customWidth="1"/>
    <col min="11" max="11" width="12.33203125" bestFit="1" customWidth="1"/>
    <col min="12" max="12" width="12.1640625" bestFit="1" customWidth="1"/>
    <col min="13" max="13" width="12.5" bestFit="1" customWidth="1"/>
    <col min="14" max="14" width="13.33203125" bestFit="1" customWidth="1"/>
    <col min="15" max="15" width="8.6640625" bestFit="1" customWidth="1"/>
    <col min="16" max="16" width="13.33203125" bestFit="1" customWidth="1"/>
    <col min="17" max="17" width="12.33203125" bestFit="1" customWidth="1"/>
    <col min="18" max="18" width="12.5" bestFit="1" customWidth="1"/>
    <col min="19" max="19" width="13.33203125" bestFit="1" customWidth="1"/>
    <col min="20" max="20" width="8.6640625" bestFit="1" customWidth="1"/>
    <col min="21" max="21" width="13.6640625" bestFit="1" customWidth="1"/>
    <col min="22" max="22" width="10.6640625" bestFit="1" customWidth="1"/>
  </cols>
  <sheetData>
    <row r="1" spans="1:13" x14ac:dyDescent="0.2">
      <c r="A1" s="10"/>
      <c r="B1" s="10"/>
      <c r="C1" s="10"/>
      <c r="D1" s="10"/>
      <c r="E1" s="10"/>
      <c r="F1" s="10"/>
      <c r="G1" s="10"/>
      <c r="H1" s="10"/>
      <c r="I1" s="10"/>
      <c r="J1" s="10"/>
      <c r="K1" s="10"/>
      <c r="L1" s="10"/>
      <c r="M1" s="10"/>
    </row>
    <row r="2" spans="1:13" ht="27" x14ac:dyDescent="0.35">
      <c r="A2" s="17" t="s">
        <v>1135</v>
      </c>
      <c r="B2" s="10"/>
      <c r="C2" s="10"/>
      <c r="D2" s="10"/>
      <c r="E2" s="10"/>
      <c r="F2" s="10"/>
      <c r="G2" s="10"/>
      <c r="H2" s="10"/>
      <c r="I2" s="10"/>
      <c r="J2" s="10"/>
      <c r="K2" s="10"/>
      <c r="L2" s="10"/>
      <c r="M2" s="10"/>
    </row>
    <row r="3" spans="1:13" x14ac:dyDescent="0.2">
      <c r="A3" s="10"/>
      <c r="B3" s="10"/>
      <c r="C3" s="10"/>
      <c r="D3" s="10"/>
      <c r="E3" s="10"/>
      <c r="F3" s="10"/>
      <c r="G3" s="10"/>
      <c r="H3" s="10"/>
      <c r="I3" s="10"/>
      <c r="J3" s="10"/>
      <c r="K3" s="10"/>
      <c r="L3" s="10"/>
      <c r="M3" s="10"/>
    </row>
    <row r="5" spans="1:13" x14ac:dyDescent="0.2">
      <c r="A5" s="12" t="s">
        <v>1124</v>
      </c>
      <c r="B5" s="12"/>
      <c r="C5" s="12"/>
      <c r="D5" s="12"/>
      <c r="E5" s="12"/>
      <c r="F5" s="12"/>
    </row>
    <row r="6" spans="1:13" x14ac:dyDescent="0.2">
      <c r="A6" s="5" t="s">
        <v>1096</v>
      </c>
      <c r="B6" t="s">
        <v>1098</v>
      </c>
      <c r="C6" t="s">
        <v>1099</v>
      </c>
      <c r="D6" t="s">
        <v>1131</v>
      </c>
      <c r="E6" t="s">
        <v>1113</v>
      </c>
      <c r="F6" t="s">
        <v>1100</v>
      </c>
    </row>
    <row r="7" spans="1:13" x14ac:dyDescent="0.2">
      <c r="A7" s="6" t="s">
        <v>86</v>
      </c>
      <c r="B7" s="8">
        <v>2423826.5500000012</v>
      </c>
      <c r="C7" s="8">
        <v>1423804.9499999995</v>
      </c>
      <c r="D7" s="7">
        <v>0.58742031272823492</v>
      </c>
      <c r="E7" s="8">
        <v>0</v>
      </c>
      <c r="F7">
        <v>354465</v>
      </c>
    </row>
    <row r="8" spans="1:13" x14ac:dyDescent="0.2">
      <c r="A8" s="6" t="s">
        <v>89</v>
      </c>
      <c r="B8" s="8">
        <v>1227336.5160000003</v>
      </c>
      <c r="C8" s="8">
        <v>597686.81600000022</v>
      </c>
      <c r="D8" s="7">
        <v>0.48697876108821003</v>
      </c>
      <c r="E8" s="8">
        <v>309520.78399999987</v>
      </c>
      <c r="F8">
        <v>235040</v>
      </c>
    </row>
    <row r="10" spans="1:13" x14ac:dyDescent="0.2">
      <c r="A10" s="13" t="s">
        <v>1119</v>
      </c>
    </row>
    <row r="11" spans="1:13" ht="36" customHeight="1" x14ac:dyDescent="0.2">
      <c r="A11" s="25" t="s">
        <v>1150</v>
      </c>
      <c r="B11" s="25"/>
      <c r="C11" s="25"/>
      <c r="D11" s="25"/>
      <c r="E11" s="25"/>
      <c r="F11" s="25"/>
    </row>
    <row r="12" spans="1:13" ht="36" customHeight="1" x14ac:dyDescent="0.2">
      <c r="A12" s="25" t="s">
        <v>1151</v>
      </c>
      <c r="B12" s="25"/>
      <c r="C12" s="25"/>
      <c r="D12" s="25"/>
      <c r="E12" s="25"/>
      <c r="F12" s="25"/>
    </row>
    <row r="15" spans="1:13" x14ac:dyDescent="0.2">
      <c r="A15" s="12" t="s">
        <v>1120</v>
      </c>
      <c r="B15" s="12"/>
      <c r="C15" s="12"/>
      <c r="D15" s="12"/>
      <c r="E15" s="12"/>
      <c r="F15" s="12"/>
    </row>
    <row r="16" spans="1:13" x14ac:dyDescent="0.2">
      <c r="A16" s="5" t="s">
        <v>1096</v>
      </c>
      <c r="B16" t="s">
        <v>1100</v>
      </c>
      <c r="C16" t="s">
        <v>1098</v>
      </c>
      <c r="D16" t="s">
        <v>1099</v>
      </c>
      <c r="E16" t="s">
        <v>1131</v>
      </c>
    </row>
    <row r="17" spans="1:6" x14ac:dyDescent="0.2">
      <c r="A17" s="6" t="s">
        <v>87</v>
      </c>
      <c r="B17" s="27">
        <v>354465</v>
      </c>
      <c r="C17" s="8">
        <v>2423826.5500000012</v>
      </c>
      <c r="D17" s="8">
        <v>1423804.9499999995</v>
      </c>
      <c r="E17" s="7">
        <v>0.58742031272823492</v>
      </c>
    </row>
    <row r="18" spans="1:6" x14ac:dyDescent="0.2">
      <c r="A18" s="6" t="s">
        <v>99</v>
      </c>
      <c r="B18" s="27">
        <v>87096</v>
      </c>
      <c r="C18" s="8">
        <v>470562.25199999998</v>
      </c>
      <c r="D18" s="8">
        <v>230295.35200000004</v>
      </c>
      <c r="E18" s="7">
        <v>0.48940464523278432</v>
      </c>
    </row>
    <row r="19" spans="1:6" x14ac:dyDescent="0.2">
      <c r="A19" s="6" t="s">
        <v>90</v>
      </c>
      <c r="B19" s="27">
        <v>74621</v>
      </c>
      <c r="C19" s="8">
        <v>386650.38300000003</v>
      </c>
      <c r="D19" s="8">
        <v>187904.98299999995</v>
      </c>
      <c r="E19" s="7">
        <v>0.48598162904186215</v>
      </c>
    </row>
    <row r="20" spans="1:6" x14ac:dyDescent="0.2">
      <c r="A20" s="6" t="s">
        <v>94</v>
      </c>
      <c r="B20" s="27">
        <v>73323</v>
      </c>
      <c r="C20" s="8">
        <v>370123.88100000011</v>
      </c>
      <c r="D20" s="8">
        <v>179486.48099999997</v>
      </c>
      <c r="E20" s="7">
        <v>0.48493623409293041</v>
      </c>
    </row>
    <row r="21" spans="1:6" x14ac:dyDescent="0.2">
      <c r="A21" s="6" t="s">
        <v>1097</v>
      </c>
      <c r="B21" s="27">
        <v>589505</v>
      </c>
      <c r="C21" s="8">
        <v>3651163.0660000015</v>
      </c>
      <c r="D21" s="8">
        <v>2021491.7659999994</v>
      </c>
      <c r="E21" s="7">
        <v>0.55365693875037703</v>
      </c>
    </row>
    <row r="23" spans="1:6" x14ac:dyDescent="0.2">
      <c r="A23" s="14" t="s">
        <v>1119</v>
      </c>
    </row>
    <row r="24" spans="1:6" x14ac:dyDescent="0.2">
      <c r="A24" s="6" t="s">
        <v>1121</v>
      </c>
    </row>
    <row r="25" spans="1:6" x14ac:dyDescent="0.2">
      <c r="A25" s="6" t="s">
        <v>1122</v>
      </c>
    </row>
    <row r="29" spans="1:6" x14ac:dyDescent="0.2">
      <c r="A29" s="12" t="s">
        <v>1123</v>
      </c>
      <c r="B29" s="12"/>
      <c r="C29" s="12"/>
      <c r="D29" s="12"/>
      <c r="E29" s="12"/>
      <c r="F29" s="12"/>
    </row>
    <row r="30" spans="1:6" x14ac:dyDescent="0.2">
      <c r="A30" s="5" t="s">
        <v>1131</v>
      </c>
      <c r="B30" s="5" t="s">
        <v>1117</v>
      </c>
    </row>
    <row r="31" spans="1:6" x14ac:dyDescent="0.2">
      <c r="A31" s="5" t="s">
        <v>1096</v>
      </c>
      <c r="B31" t="s">
        <v>94</v>
      </c>
      <c r="C31" t="s">
        <v>87</v>
      </c>
      <c r="D31" t="s">
        <v>99</v>
      </c>
      <c r="E31" t="s">
        <v>90</v>
      </c>
    </row>
    <row r="32" spans="1:6" x14ac:dyDescent="0.2">
      <c r="A32" s="6" t="s">
        <v>8</v>
      </c>
      <c r="B32" s="7">
        <v>0.49238321924889611</v>
      </c>
      <c r="C32" s="7">
        <v>0.58555333159275402</v>
      </c>
      <c r="D32" s="7">
        <v>0.4859162720703108</v>
      </c>
      <c r="E32" s="7">
        <v>0.4913697324972251</v>
      </c>
    </row>
    <row r="33" spans="1:6" x14ac:dyDescent="0.2">
      <c r="A33" s="6" t="s">
        <v>40</v>
      </c>
      <c r="B33" s="7">
        <v>0.45830601128351883</v>
      </c>
      <c r="C33" s="7">
        <v>0.56854695859509496</v>
      </c>
      <c r="D33" s="7">
        <v>0.45906332677675304</v>
      </c>
      <c r="E33" s="7">
        <v>0.43488762399176201</v>
      </c>
    </row>
    <row r="34" spans="1:6" x14ac:dyDescent="0.2">
      <c r="A34" s="6" t="s">
        <v>56</v>
      </c>
      <c r="B34" s="7">
        <v>0.53716899943559926</v>
      </c>
      <c r="C34" s="7">
        <v>0.61995504673141721</v>
      </c>
      <c r="D34" s="7">
        <v>0.53222836773583904</v>
      </c>
      <c r="E34" s="7">
        <v>0.5362719545180481</v>
      </c>
    </row>
    <row r="35" spans="1:6" x14ac:dyDescent="0.2">
      <c r="A35" s="6" t="s">
        <v>25</v>
      </c>
      <c r="B35" s="7">
        <v>0.45894681912102431</v>
      </c>
      <c r="C35" s="7">
        <v>0.58531969972532261</v>
      </c>
      <c r="D35" s="7">
        <v>0.49770447362534892</v>
      </c>
      <c r="E35" s="7">
        <v>0.46642403659737058</v>
      </c>
    </row>
    <row r="37" spans="1:6" x14ac:dyDescent="0.2">
      <c r="A37" s="14" t="s">
        <v>1119</v>
      </c>
    </row>
    <row r="38" spans="1:6" ht="36" customHeight="1" x14ac:dyDescent="0.2">
      <c r="A38" s="25" t="s">
        <v>1152</v>
      </c>
      <c r="B38" s="25"/>
      <c r="C38" s="25"/>
      <c r="D38" s="25"/>
      <c r="E38" s="25"/>
      <c r="F38" s="25"/>
    </row>
    <row r="39" spans="1:6" ht="32" customHeight="1" x14ac:dyDescent="0.2">
      <c r="A39" s="26" t="s">
        <v>1125</v>
      </c>
      <c r="B39" s="26"/>
      <c r="C39" s="26"/>
      <c r="D39" s="26"/>
      <c r="E39" s="26"/>
      <c r="F39" s="26"/>
    </row>
  </sheetData>
  <mergeCells count="4">
    <mergeCell ref="A11:F11"/>
    <mergeCell ref="A39:F39"/>
    <mergeCell ref="A12:F12"/>
    <mergeCell ref="A38:F38"/>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Product_Master</vt:lpstr>
      <vt:lpstr>Raw Data</vt:lpstr>
      <vt:lpstr>Revenue Dashboard</vt:lpstr>
      <vt:lpstr>Category Analysis</vt:lpstr>
      <vt:lpstr>Product-level Analysis</vt:lpstr>
      <vt:lpstr>Country x Channel</vt:lpstr>
      <vt:lpstr>Promotion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Le</dc:creator>
  <cp:lastModifiedBy>Linh Le</cp:lastModifiedBy>
  <dcterms:created xsi:type="dcterms:W3CDTF">2026-10-02T17:59:21Z</dcterms:created>
  <dcterms:modified xsi:type="dcterms:W3CDTF">2026-10-08T09:54:26Z</dcterms:modified>
</cp:coreProperties>
</file>